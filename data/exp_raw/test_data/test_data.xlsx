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3"/>
  <workbookPr dateCompatibility="0"/>
  <mc:AlternateContent xmlns:mc="http://schemas.openxmlformats.org/markup-compatibility/2006">
    <mc:Choice Requires="x15">
      <x15ac:absPath xmlns:x15ac="http://schemas.microsoft.com/office/spreadsheetml/2010/11/ac" url="/Users/ethan/LocalFiles/ResearchFile/SystemicRisk_code/data/test_data/"/>
    </mc:Choice>
  </mc:AlternateContent>
  <xr:revisionPtr revIDLastSave="0" documentId="13_ncr:9_{5C0F7C71-D75E-F24B-A994-90498DC1432E}" xr6:coauthVersionLast="47" xr6:coauthVersionMax="47" xr10:uidLastSave="{00000000-0000-0000-0000-000000000000}"/>
  <bookViews>
    <workbookView xWindow="0" yWindow="0" windowWidth="33600" windowHeight="16940" activeTab="3" xr2:uid="{8802EC6D-7593-8E4B-9500-0A70DE8D583D}"/>
  </bookViews>
  <sheets>
    <sheet name="说明" sheetId="6" r:id="rId1"/>
    <sheet name="参数" sheetId="3" r:id="rId2"/>
    <sheet name="BB之过程-theta_Shock_exBI_t=1" sheetId="7" r:id="rId3"/>
    <sheet name="BI之过程-theta_Shock_exBI_t=1" sheetId="8" r:id="rId4"/>
    <sheet name="BB之过程-theta_Shock_exBI_t=0_0313" sheetId="18" r:id="rId5"/>
    <sheet name="BI之过程-theta_Shock_exBI_t=0_0313" sheetId="19" r:id="rId6"/>
    <sheet name="BB之过程-theta_Shock_exBI_t=0" sheetId="16" r:id="rId7"/>
    <sheet name="BI之过程-theta_Shock_exBI_t=0" sheetId="17" r:id="rId8"/>
    <sheet name="原始节点权重" sheetId="1" r:id="rId9"/>
    <sheet name="按照书中认为的设定的节点权重" sheetId="4" r:id="rId10"/>
    <sheet name="原始资产负债表" sheetId="2" r:id="rId11"/>
    <sheet name="我设定的Bank之初始" sheetId="5" r:id="rId12"/>
    <sheet name="我设定的Bank Interbank之初始" sheetId="9" r:id="rId13"/>
    <sheet name="我设定的Bank之过程-20220307" sheetId="14" r:id="rId14"/>
    <sheet name="我设定的Bank Interbank之过程-20220307" sheetId="15" r:id="rId15"/>
    <sheet name="我设定的Bank之过程-20220306" sheetId="12" r:id="rId16"/>
    <sheet name="我设定的Bank Interbank之过程-20220306" sheetId="13" r:id="rId17"/>
    <sheet name="我设定的Bank之过程-20220305" sheetId="10" r:id="rId18"/>
    <sheet name="我设定的Bank Interbank之过程-20220305" sheetId="11" r:id="rId19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AJ42" i="18" l="1"/>
  <c r="AI42" i="18"/>
  <c r="AH42" i="18"/>
  <c r="AG42" i="18"/>
  <c r="AF42" i="18"/>
  <c r="AE42" i="18"/>
  <c r="AD42" i="18"/>
  <c r="AC42" i="18"/>
  <c r="AB42" i="18"/>
  <c r="AA42" i="18"/>
  <c r="X42" i="18"/>
  <c r="W42" i="18"/>
  <c r="V42" i="18"/>
  <c r="U42" i="18"/>
  <c r="T42" i="18"/>
  <c r="S42" i="18"/>
  <c r="P42" i="18"/>
  <c r="N42" i="18"/>
  <c r="M42" i="18"/>
  <c r="K42" i="18"/>
  <c r="I42" i="18"/>
  <c r="H42" i="18"/>
  <c r="G42" i="18"/>
  <c r="F42" i="18"/>
  <c r="AL41" i="18"/>
  <c r="AN41" i="18" s="1"/>
  <c r="AK41" i="18"/>
  <c r="AM41" i="18" s="1"/>
  <c r="Z41" i="18"/>
  <c r="Y41" i="18"/>
  <c r="Q41" i="18"/>
  <c r="O41" i="18"/>
  <c r="J41" i="18"/>
  <c r="L41" i="18" s="1"/>
  <c r="R41" i="18" s="1"/>
  <c r="AM40" i="18"/>
  <c r="AL40" i="18"/>
  <c r="Z40" i="18" s="1"/>
  <c r="AK40" i="18"/>
  <c r="Y40" i="18"/>
  <c r="O40" i="18"/>
  <c r="Q40" i="18" s="1"/>
  <c r="J40" i="18"/>
  <c r="L40" i="18" s="1"/>
  <c r="R40" i="18" s="1"/>
  <c r="AM39" i="18"/>
  <c r="AL39" i="18"/>
  <c r="AN39" i="18" s="1"/>
  <c r="AK39" i="18"/>
  <c r="Y39" i="18"/>
  <c r="Y42" i="18" s="1"/>
  <c r="O39" i="18"/>
  <c r="Q39" i="18" s="1"/>
  <c r="L39" i="18"/>
  <c r="R39" i="18" s="1"/>
  <c r="J39" i="18"/>
  <c r="AL38" i="18"/>
  <c r="Z38" i="18" s="1"/>
  <c r="AK38" i="18"/>
  <c r="AM38" i="18" s="1"/>
  <c r="Y38" i="18"/>
  <c r="O38" i="18"/>
  <c r="Q38" i="18" s="1"/>
  <c r="J38" i="18"/>
  <c r="L38" i="18" s="1"/>
  <c r="R38" i="18" s="1"/>
  <c r="AL37" i="18"/>
  <c r="AK37" i="18"/>
  <c r="AM37" i="18" s="1"/>
  <c r="AM42" i="18" s="1"/>
  <c r="Z37" i="18"/>
  <c r="Y37" i="18"/>
  <c r="O37" i="18"/>
  <c r="O42" i="18" s="1"/>
  <c r="J37" i="18"/>
  <c r="L37" i="18" s="1"/>
  <c r="J44" i="18"/>
  <c r="J49" i="18" s="1"/>
  <c r="O44" i="18"/>
  <c r="Q44" i="18" s="1"/>
  <c r="Q49" i="18" s="1"/>
  <c r="Y44" i="18"/>
  <c r="Y49" i="18" s="1"/>
  <c r="AK44" i="18"/>
  <c r="AL44" i="18"/>
  <c r="Z44" i="18" s="1"/>
  <c r="AM44" i="18"/>
  <c r="AN44" i="18"/>
  <c r="J45" i="18"/>
  <c r="L45" i="18"/>
  <c r="O45" i="18"/>
  <c r="Q45" i="18"/>
  <c r="R45" i="18"/>
  <c r="Y45" i="18"/>
  <c r="Z45" i="18"/>
  <c r="AK45" i="18"/>
  <c r="AL45" i="18"/>
  <c r="AM45" i="18"/>
  <c r="AN45" i="18"/>
  <c r="J46" i="18"/>
  <c r="L46" i="18" s="1"/>
  <c r="O46" i="18"/>
  <c r="Q46" i="18" s="1"/>
  <c r="Y46" i="18"/>
  <c r="Z46" i="18"/>
  <c r="AK46" i="18"/>
  <c r="AM46" i="18" s="1"/>
  <c r="AM49" i="18" s="1"/>
  <c r="AL46" i="18"/>
  <c r="AN46" i="18"/>
  <c r="J47" i="18"/>
  <c r="L47" i="18"/>
  <c r="O47" i="18"/>
  <c r="Q47" i="18"/>
  <c r="R47" i="18"/>
  <c r="Y47" i="18"/>
  <c r="AK47" i="18"/>
  <c r="AM47" i="18" s="1"/>
  <c r="AL47" i="18"/>
  <c r="AN47" i="18" s="1"/>
  <c r="J48" i="18"/>
  <c r="L48" i="18"/>
  <c r="O48" i="18"/>
  <c r="Q48" i="18" s="1"/>
  <c r="R48" i="18" s="1"/>
  <c r="Y48" i="18"/>
  <c r="AK48" i="18"/>
  <c r="AL48" i="18"/>
  <c r="AN48" i="18" s="1"/>
  <c r="AM48" i="18"/>
  <c r="F49" i="18"/>
  <c r="G49" i="18"/>
  <c r="H49" i="18"/>
  <c r="I49" i="18"/>
  <c r="K49" i="18"/>
  <c r="M49" i="18"/>
  <c r="N49" i="18"/>
  <c r="O49" i="18"/>
  <c r="P49" i="18"/>
  <c r="S49" i="18"/>
  <c r="T49" i="18"/>
  <c r="U49" i="18"/>
  <c r="V49" i="18"/>
  <c r="W49" i="18"/>
  <c r="X49" i="18"/>
  <c r="AA49" i="18"/>
  <c r="AB49" i="18"/>
  <c r="AC49" i="18"/>
  <c r="AD49" i="18"/>
  <c r="AE49" i="18"/>
  <c r="AF49" i="18"/>
  <c r="AG49" i="18"/>
  <c r="AH49" i="18"/>
  <c r="AI49" i="18"/>
  <c r="AJ49" i="18"/>
  <c r="J51" i="18"/>
  <c r="L51" i="18" s="1"/>
  <c r="O51" i="18"/>
  <c r="Q51" i="18"/>
  <c r="Y51" i="18"/>
  <c r="Y56" i="18" s="1"/>
  <c r="AK51" i="18"/>
  <c r="AK56" i="18" s="1"/>
  <c r="AL51" i="18"/>
  <c r="AL56" i="18" s="1"/>
  <c r="AM51" i="18"/>
  <c r="AM56" i="18" s="1"/>
  <c r="AN51" i="18"/>
  <c r="AN56" i="18" s="1"/>
  <c r="J52" i="18"/>
  <c r="L52" i="18" s="1"/>
  <c r="R52" i="18" s="1"/>
  <c r="O52" i="18"/>
  <c r="Q52" i="18"/>
  <c r="Y52" i="18"/>
  <c r="AK52" i="18"/>
  <c r="AL52" i="18"/>
  <c r="Z52" i="18" s="1"/>
  <c r="AM52" i="18"/>
  <c r="AN52" i="18"/>
  <c r="J53" i="18"/>
  <c r="L53" i="18"/>
  <c r="O53" i="18"/>
  <c r="Q53" i="18" s="1"/>
  <c r="Q56" i="18" s="1"/>
  <c r="Y53" i="18"/>
  <c r="AK53" i="18"/>
  <c r="AL53" i="18"/>
  <c r="Z53" i="18" s="1"/>
  <c r="AM53" i="18"/>
  <c r="AN53" i="18"/>
  <c r="J54" i="18"/>
  <c r="L54" i="18"/>
  <c r="O54" i="18"/>
  <c r="Q54" i="18" s="1"/>
  <c r="Y54" i="18"/>
  <c r="AK54" i="18"/>
  <c r="AL54" i="18"/>
  <c r="Z54" i="18" s="1"/>
  <c r="AM54" i="18"/>
  <c r="AN54" i="18"/>
  <c r="J55" i="18"/>
  <c r="L55" i="18"/>
  <c r="R55" i="18" s="1"/>
  <c r="O55" i="18"/>
  <c r="Q55" i="18"/>
  <c r="Y55" i="18"/>
  <c r="AK55" i="18"/>
  <c r="AL55" i="18"/>
  <c r="Z55" i="18" s="1"/>
  <c r="AM55" i="18"/>
  <c r="AN55" i="18"/>
  <c r="F56" i="18"/>
  <c r="G56" i="18"/>
  <c r="H56" i="18"/>
  <c r="I56" i="18"/>
  <c r="J56" i="18"/>
  <c r="K56" i="18"/>
  <c r="M56" i="18"/>
  <c r="N56" i="18"/>
  <c r="P56" i="18"/>
  <c r="S56" i="18"/>
  <c r="T56" i="18"/>
  <c r="U56" i="18"/>
  <c r="V56" i="18"/>
  <c r="W56" i="18"/>
  <c r="X56" i="18"/>
  <c r="AA56" i="18"/>
  <c r="AB56" i="18"/>
  <c r="AC56" i="18"/>
  <c r="AD56" i="18"/>
  <c r="AE56" i="18"/>
  <c r="AF56" i="18"/>
  <c r="AG56" i="18"/>
  <c r="AH56" i="18"/>
  <c r="AI56" i="18"/>
  <c r="AJ56" i="18"/>
  <c r="J58" i="18"/>
  <c r="J63" i="18" s="1"/>
  <c r="L58" i="18"/>
  <c r="O58" i="18"/>
  <c r="Q58" i="18"/>
  <c r="Q63" i="18" s="1"/>
  <c r="R58" i="18"/>
  <c r="Y58" i="18"/>
  <c r="Y63" i="18" s="1"/>
  <c r="AK58" i="18"/>
  <c r="AL58" i="18"/>
  <c r="Z58" i="18" s="1"/>
  <c r="AM58" i="18"/>
  <c r="AN58" i="18"/>
  <c r="J59" i="18"/>
  <c r="L59" i="18"/>
  <c r="O59" i="18"/>
  <c r="Q59" i="18"/>
  <c r="R59" i="18"/>
  <c r="Y59" i="18"/>
  <c r="Z59" i="18"/>
  <c r="AK59" i="18"/>
  <c r="AL59" i="18"/>
  <c r="AM59" i="18"/>
  <c r="AN59" i="18"/>
  <c r="J60" i="18"/>
  <c r="L60" i="18"/>
  <c r="O60" i="18"/>
  <c r="Q60" i="18"/>
  <c r="R60" i="18"/>
  <c r="Y60" i="18"/>
  <c r="Z60" i="18"/>
  <c r="AK60" i="18"/>
  <c r="AM60" i="18" s="1"/>
  <c r="AM63" i="18" s="1"/>
  <c r="AL60" i="18"/>
  <c r="AN60" i="18"/>
  <c r="J61" i="18"/>
  <c r="L61" i="18" s="1"/>
  <c r="O61" i="18"/>
  <c r="Q61" i="18"/>
  <c r="Y61" i="18"/>
  <c r="AK61" i="18"/>
  <c r="AM61" i="18" s="1"/>
  <c r="AL61" i="18"/>
  <c r="AN61" i="18" s="1"/>
  <c r="AN63" i="18" s="1"/>
  <c r="J62" i="18"/>
  <c r="L62" i="18"/>
  <c r="O62" i="18"/>
  <c r="Q62" i="18"/>
  <c r="R62" i="18"/>
  <c r="Y62" i="18"/>
  <c r="AK62" i="18"/>
  <c r="AL62" i="18"/>
  <c r="AN62" i="18" s="1"/>
  <c r="AM62" i="18"/>
  <c r="F63" i="18"/>
  <c r="G63" i="18"/>
  <c r="H63" i="18"/>
  <c r="I63" i="18"/>
  <c r="K63" i="18"/>
  <c r="M63" i="18"/>
  <c r="N63" i="18"/>
  <c r="O63" i="18"/>
  <c r="P63" i="18"/>
  <c r="S63" i="18"/>
  <c r="T63" i="18"/>
  <c r="U63" i="18"/>
  <c r="V63" i="18"/>
  <c r="W63" i="18"/>
  <c r="X63" i="18"/>
  <c r="AA63" i="18"/>
  <c r="AB63" i="18"/>
  <c r="AC63" i="18"/>
  <c r="AD63" i="18"/>
  <c r="AE63" i="18"/>
  <c r="AF63" i="18"/>
  <c r="AG63" i="18"/>
  <c r="AH63" i="18"/>
  <c r="AI63" i="18"/>
  <c r="AJ63" i="18"/>
  <c r="J65" i="18"/>
  <c r="L65" i="18" s="1"/>
  <c r="O65" i="18"/>
  <c r="Q65" i="18"/>
  <c r="Y65" i="18"/>
  <c r="Y70" i="18" s="1"/>
  <c r="AK65" i="18"/>
  <c r="AK70" i="18" s="1"/>
  <c r="AL65" i="18"/>
  <c r="AL70" i="18" s="1"/>
  <c r="AM65" i="18"/>
  <c r="AM70" i="18" s="1"/>
  <c r="AN65" i="18"/>
  <c r="AN70" i="18" s="1"/>
  <c r="J66" i="18"/>
  <c r="L66" i="18" s="1"/>
  <c r="R66" i="18" s="1"/>
  <c r="O66" i="18"/>
  <c r="Q66" i="18"/>
  <c r="Y66" i="18"/>
  <c r="AK66" i="18"/>
  <c r="AL66" i="18"/>
  <c r="Z66" i="18" s="1"/>
  <c r="AM66" i="18"/>
  <c r="AN66" i="18"/>
  <c r="J67" i="18"/>
  <c r="L67" i="18"/>
  <c r="O67" i="18"/>
  <c r="Q67" i="18" s="1"/>
  <c r="Q70" i="18" s="1"/>
  <c r="Y67" i="18"/>
  <c r="AK67" i="18"/>
  <c r="AL67" i="18"/>
  <c r="Z67" i="18" s="1"/>
  <c r="AM67" i="18"/>
  <c r="AN67" i="18"/>
  <c r="J68" i="18"/>
  <c r="L68" i="18"/>
  <c r="O68" i="18"/>
  <c r="Q68" i="18" s="1"/>
  <c r="Y68" i="18"/>
  <c r="AK68" i="18"/>
  <c r="AL68" i="18"/>
  <c r="Z68" i="18" s="1"/>
  <c r="AM68" i="18"/>
  <c r="AN68" i="18"/>
  <c r="J69" i="18"/>
  <c r="L69" i="18"/>
  <c r="R69" i="18" s="1"/>
  <c r="O69" i="18"/>
  <c r="Q69" i="18"/>
  <c r="Y69" i="18"/>
  <c r="AK69" i="18"/>
  <c r="AL69" i="18"/>
  <c r="Z69" i="18" s="1"/>
  <c r="AM69" i="18"/>
  <c r="AN69" i="18"/>
  <c r="F70" i="18"/>
  <c r="G70" i="18"/>
  <c r="H70" i="18"/>
  <c r="I70" i="18"/>
  <c r="J70" i="18"/>
  <c r="K70" i="18"/>
  <c r="M70" i="18"/>
  <c r="N70" i="18"/>
  <c r="P70" i="18"/>
  <c r="S70" i="18"/>
  <c r="T70" i="18"/>
  <c r="U70" i="18"/>
  <c r="V70" i="18"/>
  <c r="W70" i="18"/>
  <c r="X70" i="18"/>
  <c r="AA70" i="18"/>
  <c r="AB70" i="18"/>
  <c r="AC70" i="18"/>
  <c r="AD70" i="18"/>
  <c r="AE70" i="18"/>
  <c r="AF70" i="18"/>
  <c r="AG70" i="18"/>
  <c r="AH70" i="18"/>
  <c r="AI70" i="18"/>
  <c r="AJ70" i="18"/>
  <c r="AG7" i="18"/>
  <c r="AG14" i="18"/>
  <c r="AG21" i="18"/>
  <c r="AG28" i="18"/>
  <c r="AG35" i="18"/>
  <c r="BN35" i="19"/>
  <c r="BM35" i="19"/>
  <c r="BL35" i="19"/>
  <c r="BK35" i="19"/>
  <c r="BJ35" i="19"/>
  <c r="BG35" i="19"/>
  <c r="BF35" i="19"/>
  <c r="BE35" i="19"/>
  <c r="BD35" i="19"/>
  <c r="BC35" i="19"/>
  <c r="AZ35" i="19"/>
  <c r="AY35" i="19"/>
  <c r="AX35" i="19"/>
  <c r="AW35" i="19"/>
  <c r="AV35" i="19"/>
  <c r="AS35" i="19"/>
  <c r="AR35" i="19"/>
  <c r="AQ35" i="19"/>
  <c r="AP35" i="19"/>
  <c r="AO35" i="19"/>
  <c r="AL35" i="19"/>
  <c r="AK35" i="19"/>
  <c r="AJ35" i="19"/>
  <c r="AI35" i="19"/>
  <c r="AH35" i="19"/>
  <c r="AE35" i="19"/>
  <c r="AD35" i="19"/>
  <c r="AC35" i="19"/>
  <c r="AB35" i="19"/>
  <c r="AA35" i="19"/>
  <c r="X35" i="19"/>
  <c r="W35" i="19"/>
  <c r="V35" i="19"/>
  <c r="U35" i="19"/>
  <c r="T35" i="19"/>
  <c r="Q35" i="19"/>
  <c r="P35" i="19"/>
  <c r="O35" i="19"/>
  <c r="N35" i="19"/>
  <c r="M35" i="19"/>
  <c r="J35" i="19"/>
  <c r="I35" i="19"/>
  <c r="H35" i="19"/>
  <c r="G35" i="19"/>
  <c r="F35" i="19"/>
  <c r="BU34" i="19"/>
  <c r="BT34" i="19"/>
  <c r="BS34" i="19"/>
  <c r="BR34" i="19"/>
  <c r="BQ34" i="19"/>
  <c r="BV34" i="19" s="1"/>
  <c r="BO34" i="19"/>
  <c r="BH34" i="19"/>
  <c r="BA34" i="19"/>
  <c r="AT34" i="19"/>
  <c r="AM34" i="19"/>
  <c r="AF34" i="19"/>
  <c r="Y34" i="19"/>
  <c r="R34" i="19"/>
  <c r="K34" i="19"/>
  <c r="BU33" i="19"/>
  <c r="BT33" i="19"/>
  <c r="BS33" i="19"/>
  <c r="BR33" i="19"/>
  <c r="BQ33" i="19"/>
  <c r="BV33" i="19" s="1"/>
  <c r="BO33" i="19"/>
  <c r="BH33" i="19"/>
  <c r="BA33" i="19"/>
  <c r="AT33" i="19"/>
  <c r="AM33" i="19"/>
  <c r="AF33" i="19"/>
  <c r="Y33" i="19"/>
  <c r="R33" i="19"/>
  <c r="K33" i="19"/>
  <c r="BU32" i="19"/>
  <c r="BT32" i="19"/>
  <c r="BS32" i="19"/>
  <c r="BR32" i="19"/>
  <c r="BQ32" i="19"/>
  <c r="BO32" i="19"/>
  <c r="BH32" i="19"/>
  <c r="BA32" i="19"/>
  <c r="AT32" i="19"/>
  <c r="AM32" i="19"/>
  <c r="AF32" i="19"/>
  <c r="Y32" i="19"/>
  <c r="R32" i="19"/>
  <c r="K32" i="19"/>
  <c r="BU31" i="19"/>
  <c r="BT31" i="19"/>
  <c r="BS31" i="19"/>
  <c r="BR31" i="19"/>
  <c r="BQ31" i="19"/>
  <c r="BO31" i="19"/>
  <c r="BH31" i="19"/>
  <c r="BA31" i="19"/>
  <c r="AT31" i="19"/>
  <c r="AM31" i="19"/>
  <c r="AF31" i="19"/>
  <c r="Y31" i="19"/>
  <c r="Y35" i="19" s="1"/>
  <c r="R31" i="19"/>
  <c r="K31" i="19"/>
  <c r="K35" i="19" s="1"/>
  <c r="BU30" i="19"/>
  <c r="BU35" i="19" s="1"/>
  <c r="BT30" i="19"/>
  <c r="BT35" i="19" s="1"/>
  <c r="BS30" i="19"/>
  <c r="BS35" i="19" s="1"/>
  <c r="BR30" i="19"/>
  <c r="BR35" i="19" s="1"/>
  <c r="BQ30" i="19"/>
  <c r="BO30" i="19"/>
  <c r="BO35" i="19" s="1"/>
  <c r="BH30" i="19"/>
  <c r="BA30" i="19"/>
  <c r="BA35" i="19" s="1"/>
  <c r="AT30" i="19"/>
  <c r="AM30" i="19"/>
  <c r="AM35" i="19" s="1"/>
  <c r="AF30" i="19"/>
  <c r="Y30" i="19"/>
  <c r="R30" i="19"/>
  <c r="R35" i="19" s="1"/>
  <c r="K30" i="19"/>
  <c r="BN28" i="19"/>
  <c r="BM28" i="19"/>
  <c r="BL28" i="19"/>
  <c r="BK28" i="19"/>
  <c r="BJ28" i="19"/>
  <c r="BG28" i="19"/>
  <c r="BF28" i="19"/>
  <c r="BE28" i="19"/>
  <c r="BD28" i="19"/>
  <c r="BC28" i="19"/>
  <c r="AZ28" i="19"/>
  <c r="AY28" i="19"/>
  <c r="AX28" i="19"/>
  <c r="AW28" i="19"/>
  <c r="AV28" i="19"/>
  <c r="AS28" i="19"/>
  <c r="AR28" i="19"/>
  <c r="AQ28" i="19"/>
  <c r="AP28" i="19"/>
  <c r="AO28" i="19"/>
  <c r="AL28" i="19"/>
  <c r="AK28" i="19"/>
  <c r="AJ28" i="19"/>
  <c r="AI28" i="19"/>
  <c r="AH28" i="19"/>
  <c r="AE28" i="19"/>
  <c r="AD28" i="19"/>
  <c r="AC28" i="19"/>
  <c r="AB28" i="19"/>
  <c r="AA28" i="19"/>
  <c r="X28" i="19"/>
  <c r="W28" i="19"/>
  <c r="V28" i="19"/>
  <c r="U28" i="19"/>
  <c r="T28" i="19"/>
  <c r="Q28" i="19"/>
  <c r="P28" i="19"/>
  <c r="O28" i="19"/>
  <c r="N28" i="19"/>
  <c r="M28" i="19"/>
  <c r="J28" i="19"/>
  <c r="I28" i="19"/>
  <c r="H28" i="19"/>
  <c r="G28" i="19"/>
  <c r="F28" i="19"/>
  <c r="BU27" i="19"/>
  <c r="BT27" i="19"/>
  <c r="BS27" i="19"/>
  <c r="BR27" i="19"/>
  <c r="BQ27" i="19"/>
  <c r="BV27" i="19" s="1"/>
  <c r="BO27" i="19"/>
  <c r="BH27" i="19"/>
  <c r="BA27" i="19"/>
  <c r="AT27" i="19"/>
  <c r="AM27" i="19"/>
  <c r="AF27" i="19"/>
  <c r="Y27" i="19"/>
  <c r="R27" i="19"/>
  <c r="K27" i="19"/>
  <c r="BU26" i="19"/>
  <c r="BT26" i="19"/>
  <c r="BS26" i="19"/>
  <c r="BR26" i="19"/>
  <c r="BQ26" i="19"/>
  <c r="BV26" i="19" s="1"/>
  <c r="BO26" i="19"/>
  <c r="BH26" i="19"/>
  <c r="BA26" i="19"/>
  <c r="AT26" i="19"/>
  <c r="AM26" i="19"/>
  <c r="AF26" i="19"/>
  <c r="Y26" i="19"/>
  <c r="R26" i="19"/>
  <c r="K26" i="19"/>
  <c r="BU25" i="19"/>
  <c r="BT25" i="19"/>
  <c r="BS25" i="19"/>
  <c r="BR25" i="19"/>
  <c r="BQ25" i="19"/>
  <c r="BV25" i="19" s="1"/>
  <c r="BO25" i="19"/>
  <c r="BH25" i="19"/>
  <c r="BA25" i="19"/>
  <c r="AT25" i="19"/>
  <c r="AM25" i="19"/>
  <c r="AF25" i="19"/>
  <c r="Y25" i="19"/>
  <c r="R25" i="19"/>
  <c r="K25" i="19"/>
  <c r="BU24" i="19"/>
  <c r="BT24" i="19"/>
  <c r="BS24" i="19"/>
  <c r="BR24" i="19"/>
  <c r="BQ24" i="19"/>
  <c r="BO24" i="19"/>
  <c r="BH24" i="19"/>
  <c r="BA24" i="19"/>
  <c r="AT24" i="19"/>
  <c r="AM24" i="19"/>
  <c r="AF24" i="19"/>
  <c r="Y24" i="19"/>
  <c r="R24" i="19"/>
  <c r="K24" i="19"/>
  <c r="BU23" i="19"/>
  <c r="BU28" i="19" s="1"/>
  <c r="BT23" i="19"/>
  <c r="BT28" i="19" s="1"/>
  <c r="BS23" i="19"/>
  <c r="BS28" i="19" s="1"/>
  <c r="BR23" i="19"/>
  <c r="BR28" i="19" s="1"/>
  <c r="BQ23" i="19"/>
  <c r="BV23" i="19" s="1"/>
  <c r="BO23" i="19"/>
  <c r="BO28" i="19" s="1"/>
  <c r="BH23" i="19"/>
  <c r="BH28" i="19" s="1"/>
  <c r="BA23" i="19"/>
  <c r="BA28" i="19" s="1"/>
  <c r="AT23" i="19"/>
  <c r="AM23" i="19"/>
  <c r="AM28" i="19" s="1"/>
  <c r="AF23" i="19"/>
  <c r="AF28" i="19" s="1"/>
  <c r="Y23" i="19"/>
  <c r="Y28" i="19" s="1"/>
  <c r="R23" i="19"/>
  <c r="K23" i="19"/>
  <c r="K28" i="19" s="1"/>
  <c r="Y7" i="7"/>
  <c r="Z7" i="7"/>
  <c r="Y14" i="7"/>
  <c r="Z14" i="7"/>
  <c r="Y21" i="7"/>
  <c r="Z21" i="7"/>
  <c r="Y28" i="7"/>
  <c r="Z28" i="7"/>
  <c r="Y35" i="7"/>
  <c r="Z35" i="7"/>
  <c r="Y42" i="7"/>
  <c r="Z42" i="7"/>
  <c r="Y49" i="7"/>
  <c r="Z49" i="7"/>
  <c r="Y56" i="7"/>
  <c r="Z56" i="7"/>
  <c r="Y63" i="7"/>
  <c r="Z63" i="7"/>
  <c r="Y70" i="7"/>
  <c r="Z70" i="7"/>
  <c r="Y77" i="7"/>
  <c r="Z77" i="7"/>
  <c r="Y34" i="18"/>
  <c r="Y33" i="18"/>
  <c r="Y32" i="18"/>
  <c r="Y31" i="18"/>
  <c r="Y30" i="18"/>
  <c r="Y27" i="18"/>
  <c r="Y26" i="18"/>
  <c r="Y25" i="18"/>
  <c r="Y24" i="18"/>
  <c r="Y23" i="18"/>
  <c r="Y20" i="18"/>
  <c r="Y19" i="18"/>
  <c r="Y18" i="18"/>
  <c r="Y17" i="18"/>
  <c r="Y16" i="18"/>
  <c r="Y13" i="18"/>
  <c r="Y12" i="18"/>
  <c r="Y11" i="18"/>
  <c r="Y10" i="18"/>
  <c r="Y9" i="18"/>
  <c r="Y6" i="18"/>
  <c r="Y5" i="18"/>
  <c r="Y4" i="18"/>
  <c r="Y3" i="18"/>
  <c r="Y2" i="18"/>
  <c r="AA76" i="7"/>
  <c r="AA75" i="7"/>
  <c r="AA74" i="7"/>
  <c r="AA73" i="7"/>
  <c r="AA72" i="7"/>
  <c r="AA69" i="7"/>
  <c r="AA68" i="7"/>
  <c r="AA67" i="7"/>
  <c r="AA66" i="7"/>
  <c r="AA65" i="7"/>
  <c r="AA62" i="7"/>
  <c r="AA61" i="7"/>
  <c r="AA60" i="7"/>
  <c r="AA59" i="7"/>
  <c r="AA63" i="7" s="1"/>
  <c r="AA58" i="7"/>
  <c r="AA55" i="7"/>
  <c r="AA54" i="7"/>
  <c r="AA53" i="7"/>
  <c r="AA52" i="7"/>
  <c r="AA51" i="7"/>
  <c r="AA48" i="7"/>
  <c r="AA47" i="7"/>
  <c r="AA46" i="7"/>
  <c r="AA45" i="7"/>
  <c r="AA44" i="7"/>
  <c r="AA41" i="7"/>
  <c r="AA40" i="7"/>
  <c r="AA39" i="7"/>
  <c r="AA38" i="7"/>
  <c r="AA37" i="7"/>
  <c r="AA34" i="7"/>
  <c r="AA33" i="7"/>
  <c r="AA32" i="7"/>
  <c r="AA31" i="7"/>
  <c r="AA30" i="7"/>
  <c r="AA27" i="7"/>
  <c r="AA26" i="7"/>
  <c r="AA25" i="7"/>
  <c r="AA24" i="7"/>
  <c r="AA23" i="7"/>
  <c r="AA20" i="7"/>
  <c r="AA19" i="7"/>
  <c r="AA18" i="7"/>
  <c r="AA17" i="7"/>
  <c r="AA16" i="7"/>
  <c r="AA13" i="7"/>
  <c r="AA12" i="7"/>
  <c r="AA11" i="7"/>
  <c r="AA10" i="7"/>
  <c r="AA9" i="7"/>
  <c r="AA3" i="7"/>
  <c r="AA4" i="7"/>
  <c r="AA5" i="7"/>
  <c r="AA6" i="7"/>
  <c r="AA2" i="7"/>
  <c r="AA35" i="18"/>
  <c r="AA28" i="18"/>
  <c r="AA21" i="18"/>
  <c r="AA14" i="18"/>
  <c r="AE49" i="7"/>
  <c r="AC49" i="7"/>
  <c r="AE42" i="7"/>
  <c r="AC42" i="7"/>
  <c r="AE35" i="7"/>
  <c r="AC35" i="7"/>
  <c r="AE28" i="7"/>
  <c r="AC28" i="7"/>
  <c r="AE21" i="7"/>
  <c r="AC21" i="7"/>
  <c r="AE14" i="7"/>
  <c r="AC14" i="7"/>
  <c r="AE7" i="7"/>
  <c r="AC7" i="7"/>
  <c r="AC35" i="18"/>
  <c r="AC28" i="18"/>
  <c r="AC21" i="18"/>
  <c r="AC14" i="18"/>
  <c r="AC7" i="18"/>
  <c r="AA7" i="18"/>
  <c r="X77" i="7"/>
  <c r="W77" i="7"/>
  <c r="V77" i="7"/>
  <c r="U77" i="7"/>
  <c r="T77" i="7"/>
  <c r="S77" i="7"/>
  <c r="X70" i="7"/>
  <c r="W70" i="7"/>
  <c r="V70" i="7"/>
  <c r="U70" i="7"/>
  <c r="T70" i="7"/>
  <c r="S70" i="7"/>
  <c r="X63" i="7"/>
  <c r="W63" i="7"/>
  <c r="V63" i="7"/>
  <c r="U63" i="7"/>
  <c r="T63" i="7"/>
  <c r="S63" i="7"/>
  <c r="X56" i="7"/>
  <c r="W56" i="7"/>
  <c r="V56" i="7"/>
  <c r="U56" i="7"/>
  <c r="T56" i="7"/>
  <c r="S56" i="7"/>
  <c r="X49" i="7"/>
  <c r="W49" i="7"/>
  <c r="V49" i="7"/>
  <c r="U49" i="7"/>
  <c r="T49" i="7"/>
  <c r="S49" i="7"/>
  <c r="X42" i="7"/>
  <c r="W42" i="7"/>
  <c r="V42" i="7"/>
  <c r="U42" i="7"/>
  <c r="T42" i="7"/>
  <c r="S42" i="7"/>
  <c r="X35" i="7"/>
  <c r="W35" i="7"/>
  <c r="V35" i="7"/>
  <c r="U35" i="7"/>
  <c r="T35" i="7"/>
  <c r="S35" i="7"/>
  <c r="X28" i="7"/>
  <c r="W28" i="7"/>
  <c r="V28" i="7"/>
  <c r="U28" i="7"/>
  <c r="T28" i="7"/>
  <c r="S28" i="7"/>
  <c r="X21" i="7"/>
  <c r="W21" i="7"/>
  <c r="V21" i="7"/>
  <c r="U21" i="7"/>
  <c r="T21" i="7"/>
  <c r="S21" i="7"/>
  <c r="X14" i="7"/>
  <c r="W14" i="7"/>
  <c r="V14" i="7"/>
  <c r="U14" i="7"/>
  <c r="T14" i="7"/>
  <c r="S14" i="7"/>
  <c r="X7" i="7"/>
  <c r="W7" i="7"/>
  <c r="V7" i="7"/>
  <c r="U7" i="7"/>
  <c r="T7" i="7"/>
  <c r="S7" i="7"/>
  <c r="T35" i="18"/>
  <c r="T28" i="18"/>
  <c r="T21" i="18"/>
  <c r="T14" i="18"/>
  <c r="T7" i="18"/>
  <c r="S35" i="18"/>
  <c r="S28" i="18"/>
  <c r="S21" i="18"/>
  <c r="S14" i="18"/>
  <c r="S7" i="18"/>
  <c r="AJ28" i="18"/>
  <c r="AH28" i="18"/>
  <c r="AF28" i="18"/>
  <c r="AI28" i="18"/>
  <c r="AE28" i="18"/>
  <c r="AB28" i="18"/>
  <c r="AD28" i="18"/>
  <c r="X28" i="18"/>
  <c r="W28" i="18"/>
  <c r="V28" i="18"/>
  <c r="U28" i="18"/>
  <c r="P28" i="18"/>
  <c r="N28" i="18"/>
  <c r="M28" i="18"/>
  <c r="K28" i="18"/>
  <c r="I28" i="18"/>
  <c r="H28" i="18"/>
  <c r="G28" i="18"/>
  <c r="F28" i="18"/>
  <c r="AL27" i="18"/>
  <c r="AN27" i="18" s="1"/>
  <c r="AK27" i="18"/>
  <c r="AM27" i="18" s="1"/>
  <c r="O27" i="18"/>
  <c r="Q27" i="18" s="1"/>
  <c r="J27" i="18"/>
  <c r="L27" i="18" s="1"/>
  <c r="AL26" i="18"/>
  <c r="AN26" i="18" s="1"/>
  <c r="AK26" i="18"/>
  <c r="AM26" i="18" s="1"/>
  <c r="O26" i="18"/>
  <c r="Q26" i="18" s="1"/>
  <c r="J26" i="18"/>
  <c r="L26" i="18" s="1"/>
  <c r="AL25" i="18"/>
  <c r="AN25" i="18" s="1"/>
  <c r="AK25" i="18"/>
  <c r="AM25" i="18" s="1"/>
  <c r="O25" i="18"/>
  <c r="Q25" i="18" s="1"/>
  <c r="J25" i="18"/>
  <c r="L25" i="18" s="1"/>
  <c r="AL24" i="18"/>
  <c r="AN24" i="18" s="1"/>
  <c r="AK24" i="18"/>
  <c r="AM24" i="18" s="1"/>
  <c r="O24" i="18"/>
  <c r="J24" i="18"/>
  <c r="L24" i="18" s="1"/>
  <c r="AL23" i="18"/>
  <c r="AN23" i="18" s="1"/>
  <c r="AK23" i="18"/>
  <c r="AM23" i="18" s="1"/>
  <c r="O23" i="18"/>
  <c r="Q23" i="18" s="1"/>
  <c r="J23" i="18"/>
  <c r="AJ14" i="18"/>
  <c r="AH14" i="18"/>
  <c r="AF14" i="18"/>
  <c r="AI14" i="18"/>
  <c r="AE14" i="18"/>
  <c r="AB14" i="18"/>
  <c r="AD14" i="18"/>
  <c r="X14" i="18"/>
  <c r="W14" i="18"/>
  <c r="V14" i="18"/>
  <c r="U14" i="18"/>
  <c r="P14" i="18"/>
  <c r="N14" i="18"/>
  <c r="M14" i="18"/>
  <c r="K14" i="18"/>
  <c r="I14" i="18"/>
  <c r="H14" i="18"/>
  <c r="G14" i="18"/>
  <c r="F14" i="18"/>
  <c r="AL13" i="18"/>
  <c r="AN13" i="18" s="1"/>
  <c r="AK13" i="18"/>
  <c r="AM13" i="18" s="1"/>
  <c r="O13" i="18"/>
  <c r="Q13" i="18" s="1"/>
  <c r="J13" i="18"/>
  <c r="L13" i="18" s="1"/>
  <c r="AL12" i="18"/>
  <c r="AN12" i="18" s="1"/>
  <c r="AK12" i="18"/>
  <c r="AM12" i="18" s="1"/>
  <c r="O12" i="18"/>
  <c r="Q12" i="18" s="1"/>
  <c r="J12" i="18"/>
  <c r="L12" i="18" s="1"/>
  <c r="AL11" i="18"/>
  <c r="AN11" i="18" s="1"/>
  <c r="AK11" i="18"/>
  <c r="AM11" i="18" s="1"/>
  <c r="O11" i="18"/>
  <c r="Q11" i="18" s="1"/>
  <c r="J11" i="18"/>
  <c r="L11" i="18" s="1"/>
  <c r="AL10" i="18"/>
  <c r="AN10" i="18" s="1"/>
  <c r="AK10" i="18"/>
  <c r="AM10" i="18" s="1"/>
  <c r="O10" i="18"/>
  <c r="Q10" i="18" s="1"/>
  <c r="J10" i="18"/>
  <c r="L10" i="18" s="1"/>
  <c r="AL9" i="18"/>
  <c r="AN9" i="18" s="1"/>
  <c r="AK9" i="18"/>
  <c r="AM9" i="18" s="1"/>
  <c r="O9" i="18"/>
  <c r="Q9" i="18" s="1"/>
  <c r="J9" i="18"/>
  <c r="BN21" i="19"/>
  <c r="BM21" i="19"/>
  <c r="BL21" i="19"/>
  <c r="BK21" i="19"/>
  <c r="BJ21" i="19"/>
  <c r="BG21" i="19"/>
  <c r="BF21" i="19"/>
  <c r="BE21" i="19"/>
  <c r="BD21" i="19"/>
  <c r="BC21" i="19"/>
  <c r="AZ21" i="19"/>
  <c r="AY21" i="19"/>
  <c r="AX21" i="19"/>
  <c r="AW21" i="19"/>
  <c r="AV21" i="19"/>
  <c r="AS21" i="19"/>
  <c r="AR21" i="19"/>
  <c r="AQ21" i="19"/>
  <c r="AP21" i="19"/>
  <c r="AO21" i="19"/>
  <c r="AL21" i="19"/>
  <c r="AK21" i="19"/>
  <c r="AJ21" i="19"/>
  <c r="AI21" i="19"/>
  <c r="AH21" i="19"/>
  <c r="AE21" i="19"/>
  <c r="AD21" i="19"/>
  <c r="AC21" i="19"/>
  <c r="AB21" i="19"/>
  <c r="AA21" i="19"/>
  <c r="X21" i="19"/>
  <c r="W21" i="19"/>
  <c r="V21" i="19"/>
  <c r="U21" i="19"/>
  <c r="T21" i="19"/>
  <c r="Q21" i="19"/>
  <c r="P21" i="19"/>
  <c r="O21" i="19"/>
  <c r="N21" i="19"/>
  <c r="M21" i="19"/>
  <c r="J21" i="19"/>
  <c r="I21" i="19"/>
  <c r="H21" i="19"/>
  <c r="G21" i="19"/>
  <c r="F21" i="19"/>
  <c r="BU20" i="19"/>
  <c r="BT20" i="19"/>
  <c r="BS20" i="19"/>
  <c r="BR20" i="19"/>
  <c r="BQ20" i="19"/>
  <c r="BV20" i="19" s="1"/>
  <c r="BO20" i="19"/>
  <c r="BH20" i="19"/>
  <c r="BA20" i="19"/>
  <c r="AT20" i="19"/>
  <c r="AM20" i="19"/>
  <c r="AF20" i="19"/>
  <c r="Y20" i="19"/>
  <c r="R20" i="19"/>
  <c r="K20" i="19"/>
  <c r="BU19" i="19"/>
  <c r="BT19" i="19"/>
  <c r="BS19" i="19"/>
  <c r="BR19" i="19"/>
  <c r="BQ19" i="19"/>
  <c r="BV19" i="19" s="1"/>
  <c r="BO19" i="19"/>
  <c r="BH19" i="19"/>
  <c r="BA19" i="19"/>
  <c r="AT19" i="19"/>
  <c r="AM19" i="19"/>
  <c r="AF19" i="19"/>
  <c r="Y19" i="19"/>
  <c r="R19" i="19"/>
  <c r="K19" i="19"/>
  <c r="BU18" i="19"/>
  <c r="BT18" i="19"/>
  <c r="BS18" i="19"/>
  <c r="BR18" i="19"/>
  <c r="BQ18" i="19"/>
  <c r="BV18" i="19" s="1"/>
  <c r="BO18" i="19"/>
  <c r="BH18" i="19"/>
  <c r="BA18" i="19"/>
  <c r="AT18" i="19"/>
  <c r="AM18" i="19"/>
  <c r="AF18" i="19"/>
  <c r="Y18" i="19"/>
  <c r="R18" i="19"/>
  <c r="K18" i="19"/>
  <c r="BU17" i="19"/>
  <c r="BT17" i="19"/>
  <c r="BS17" i="19"/>
  <c r="BR17" i="19"/>
  <c r="BQ17" i="19"/>
  <c r="BO17" i="19"/>
  <c r="BH17" i="19"/>
  <c r="BA17" i="19"/>
  <c r="AT17" i="19"/>
  <c r="AM17" i="19"/>
  <c r="AF17" i="19"/>
  <c r="Y17" i="19"/>
  <c r="Y21" i="19" s="1"/>
  <c r="R17" i="19"/>
  <c r="K17" i="19"/>
  <c r="K21" i="19" s="1"/>
  <c r="BU16" i="19"/>
  <c r="BU21" i="19" s="1"/>
  <c r="BT16" i="19"/>
  <c r="BT21" i="19" s="1"/>
  <c r="BS16" i="19"/>
  <c r="BS21" i="19" s="1"/>
  <c r="BR16" i="19"/>
  <c r="BR21" i="19" s="1"/>
  <c r="BQ16" i="19"/>
  <c r="BV16" i="19" s="1"/>
  <c r="BO16" i="19"/>
  <c r="BO21" i="19" s="1"/>
  <c r="BH16" i="19"/>
  <c r="BA16" i="19"/>
  <c r="BA21" i="19" s="1"/>
  <c r="AT16" i="19"/>
  <c r="AM16" i="19"/>
  <c r="AM21" i="19" s="1"/>
  <c r="AF16" i="19"/>
  <c r="Y16" i="19"/>
  <c r="R16" i="19"/>
  <c r="R21" i="19" s="1"/>
  <c r="K16" i="19"/>
  <c r="BN14" i="19"/>
  <c r="BM14" i="19"/>
  <c r="BL14" i="19"/>
  <c r="BK14" i="19"/>
  <c r="BJ14" i="19"/>
  <c r="BG14" i="19"/>
  <c r="BF14" i="19"/>
  <c r="BE14" i="19"/>
  <c r="BD14" i="19"/>
  <c r="BC14" i="19"/>
  <c r="AZ14" i="19"/>
  <c r="AY14" i="19"/>
  <c r="AX14" i="19"/>
  <c r="AW14" i="19"/>
  <c r="AV14" i="19"/>
  <c r="AS14" i="19"/>
  <c r="AR14" i="19"/>
  <c r="AQ14" i="19"/>
  <c r="AP14" i="19"/>
  <c r="AO14" i="19"/>
  <c r="AL14" i="19"/>
  <c r="AK14" i="19"/>
  <c r="AJ14" i="19"/>
  <c r="AI14" i="19"/>
  <c r="AH14" i="19"/>
  <c r="AE14" i="19"/>
  <c r="AD14" i="19"/>
  <c r="AC14" i="19"/>
  <c r="AB14" i="19"/>
  <c r="AA14" i="19"/>
  <c r="X14" i="19"/>
  <c r="W14" i="19"/>
  <c r="V14" i="19"/>
  <c r="U14" i="19"/>
  <c r="T14" i="19"/>
  <c r="Q14" i="19"/>
  <c r="P14" i="19"/>
  <c r="O14" i="19"/>
  <c r="N14" i="19"/>
  <c r="M14" i="19"/>
  <c r="J14" i="19"/>
  <c r="I14" i="19"/>
  <c r="H14" i="19"/>
  <c r="G14" i="19"/>
  <c r="F14" i="19"/>
  <c r="BU13" i="19"/>
  <c r="BT13" i="19"/>
  <c r="BS13" i="19"/>
  <c r="BR13" i="19"/>
  <c r="BQ13" i="19"/>
  <c r="BO13" i="19"/>
  <c r="BH13" i="19"/>
  <c r="BA13" i="19"/>
  <c r="AT13" i="19"/>
  <c r="AM13" i="19"/>
  <c r="AF13" i="19"/>
  <c r="Y13" i="19"/>
  <c r="R13" i="19"/>
  <c r="K13" i="19"/>
  <c r="BU12" i="19"/>
  <c r="BT12" i="19"/>
  <c r="BS12" i="19"/>
  <c r="BR12" i="19"/>
  <c r="BQ12" i="19"/>
  <c r="BO12" i="19"/>
  <c r="BH12" i="19"/>
  <c r="BA12" i="19"/>
  <c r="AT12" i="19"/>
  <c r="AM12" i="19"/>
  <c r="AF12" i="19"/>
  <c r="Y12" i="19"/>
  <c r="R12" i="19"/>
  <c r="K12" i="19"/>
  <c r="BU11" i="19"/>
  <c r="BT11" i="19"/>
  <c r="BS11" i="19"/>
  <c r="BR11" i="19"/>
  <c r="BQ11" i="19"/>
  <c r="BV11" i="19" s="1"/>
  <c r="BO11" i="19"/>
  <c r="BH11" i="19"/>
  <c r="BA11" i="19"/>
  <c r="AT11" i="19"/>
  <c r="AM11" i="19"/>
  <c r="AF11" i="19"/>
  <c r="Y11" i="19"/>
  <c r="R11" i="19"/>
  <c r="K11" i="19"/>
  <c r="BU10" i="19"/>
  <c r="BT10" i="19"/>
  <c r="BS10" i="19"/>
  <c r="BR10" i="19"/>
  <c r="BQ10" i="19"/>
  <c r="BO10" i="19"/>
  <c r="BH10" i="19"/>
  <c r="BA10" i="19"/>
  <c r="AT10" i="19"/>
  <c r="AM10" i="19"/>
  <c r="AF10" i="19"/>
  <c r="Y10" i="19"/>
  <c r="Y14" i="19" s="1"/>
  <c r="R10" i="19"/>
  <c r="K10" i="19"/>
  <c r="K14" i="19" s="1"/>
  <c r="BU9" i="19"/>
  <c r="BT9" i="19"/>
  <c r="BT14" i="19" s="1"/>
  <c r="BS9" i="19"/>
  <c r="BR9" i="19"/>
  <c r="BQ9" i="19"/>
  <c r="BO9" i="19"/>
  <c r="BO14" i="19" s="1"/>
  <c r="BH9" i="19"/>
  <c r="BH14" i="19" s="1"/>
  <c r="BA9" i="19"/>
  <c r="BA14" i="19" s="1"/>
  <c r="AT9" i="19"/>
  <c r="AM9" i="19"/>
  <c r="AM14" i="19" s="1"/>
  <c r="AF9" i="19"/>
  <c r="AF14" i="19" s="1"/>
  <c r="Y9" i="19"/>
  <c r="R9" i="19"/>
  <c r="R14" i="19" s="1"/>
  <c r="K9" i="19"/>
  <c r="AJ35" i="18"/>
  <c r="AH35" i="18"/>
  <c r="AF35" i="18"/>
  <c r="AI35" i="18"/>
  <c r="AE35" i="18"/>
  <c r="AB35" i="18"/>
  <c r="AD35" i="18"/>
  <c r="X35" i="18"/>
  <c r="W35" i="18"/>
  <c r="V35" i="18"/>
  <c r="U35" i="18"/>
  <c r="P35" i="18"/>
  <c r="N35" i="18"/>
  <c r="M35" i="18"/>
  <c r="K35" i="18"/>
  <c r="I35" i="18"/>
  <c r="H35" i="18"/>
  <c r="G35" i="18"/>
  <c r="F35" i="18"/>
  <c r="AL34" i="18"/>
  <c r="AN34" i="18" s="1"/>
  <c r="AK34" i="18"/>
  <c r="AM34" i="18" s="1"/>
  <c r="O34" i="18"/>
  <c r="Q34" i="18" s="1"/>
  <c r="J34" i="18"/>
  <c r="L34" i="18" s="1"/>
  <c r="AL33" i="18"/>
  <c r="AN33" i="18" s="1"/>
  <c r="AK33" i="18"/>
  <c r="AM33" i="18" s="1"/>
  <c r="O33" i="18"/>
  <c r="Q33" i="18" s="1"/>
  <c r="J33" i="18"/>
  <c r="L33" i="18" s="1"/>
  <c r="AL32" i="18"/>
  <c r="AN32" i="18" s="1"/>
  <c r="AK32" i="18"/>
  <c r="AM32" i="18" s="1"/>
  <c r="O32" i="18"/>
  <c r="Q32" i="18" s="1"/>
  <c r="J32" i="18"/>
  <c r="L32" i="18" s="1"/>
  <c r="AL31" i="18"/>
  <c r="AN31" i="18" s="1"/>
  <c r="AK31" i="18"/>
  <c r="AM31" i="18" s="1"/>
  <c r="O31" i="18"/>
  <c r="Q31" i="18" s="1"/>
  <c r="J31" i="18"/>
  <c r="L31" i="18" s="1"/>
  <c r="AL30" i="18"/>
  <c r="Z30" i="18" s="1"/>
  <c r="AK30" i="18"/>
  <c r="AM30" i="18" s="1"/>
  <c r="O30" i="18"/>
  <c r="Q30" i="18" s="1"/>
  <c r="J30" i="18"/>
  <c r="X21" i="18"/>
  <c r="W21" i="18"/>
  <c r="X7" i="18"/>
  <c r="W7" i="18"/>
  <c r="AS7" i="19"/>
  <c r="AR7" i="19"/>
  <c r="AQ7" i="19"/>
  <c r="AP7" i="19"/>
  <c r="AO7" i="19"/>
  <c r="AL7" i="19"/>
  <c r="AK7" i="19"/>
  <c r="AJ7" i="19"/>
  <c r="AI7" i="19"/>
  <c r="AH7" i="19"/>
  <c r="AT6" i="19"/>
  <c r="AM6" i="19"/>
  <c r="AT5" i="19"/>
  <c r="AM5" i="19"/>
  <c r="AT4" i="19"/>
  <c r="AM4" i="19"/>
  <c r="AT3" i="19"/>
  <c r="AM3" i="19"/>
  <c r="AT2" i="19"/>
  <c r="AT7" i="19" s="1"/>
  <c r="AM2" i="19"/>
  <c r="AM7" i="19" s="1"/>
  <c r="AE7" i="19"/>
  <c r="AD7" i="19"/>
  <c r="AC7" i="19"/>
  <c r="AB7" i="19"/>
  <c r="AA7" i="19"/>
  <c r="AF6" i="19"/>
  <c r="AF5" i="19"/>
  <c r="AF4" i="19"/>
  <c r="AF3" i="19"/>
  <c r="AF2" i="19"/>
  <c r="AF7" i="19" s="1"/>
  <c r="AJ21" i="18"/>
  <c r="AH21" i="18"/>
  <c r="AF21" i="18"/>
  <c r="AI21" i="18"/>
  <c r="AE21" i="18"/>
  <c r="AB21" i="18"/>
  <c r="AD21" i="18"/>
  <c r="V21" i="18"/>
  <c r="U21" i="18"/>
  <c r="P21" i="18"/>
  <c r="N21" i="18"/>
  <c r="M21" i="18"/>
  <c r="K21" i="18"/>
  <c r="I21" i="18"/>
  <c r="H21" i="18"/>
  <c r="G21" i="18"/>
  <c r="F21" i="18"/>
  <c r="AL20" i="18"/>
  <c r="AN20" i="18" s="1"/>
  <c r="AK20" i="18"/>
  <c r="AM20" i="18" s="1"/>
  <c r="O20" i="18"/>
  <c r="Q20" i="18" s="1"/>
  <c r="J20" i="18"/>
  <c r="L20" i="18" s="1"/>
  <c r="AL19" i="18"/>
  <c r="AN19" i="18" s="1"/>
  <c r="AK19" i="18"/>
  <c r="AM19" i="18" s="1"/>
  <c r="O19" i="18"/>
  <c r="Q19" i="18" s="1"/>
  <c r="J19" i="18"/>
  <c r="L19" i="18" s="1"/>
  <c r="AL18" i="18"/>
  <c r="AN18" i="18" s="1"/>
  <c r="AK18" i="18"/>
  <c r="O18" i="18"/>
  <c r="Q18" i="18" s="1"/>
  <c r="J18" i="18"/>
  <c r="L18" i="18" s="1"/>
  <c r="AL17" i="18"/>
  <c r="AN17" i="18" s="1"/>
  <c r="AK17" i="18"/>
  <c r="AM17" i="18" s="1"/>
  <c r="O17" i="18"/>
  <c r="J17" i="18"/>
  <c r="L17" i="18" s="1"/>
  <c r="AL16" i="18"/>
  <c r="AN16" i="18" s="1"/>
  <c r="AK16" i="18"/>
  <c r="AM16" i="18" s="1"/>
  <c r="O16" i="18"/>
  <c r="Q16" i="18" s="1"/>
  <c r="J16" i="18"/>
  <c r="X7" i="19"/>
  <c r="W7" i="19"/>
  <c r="V7" i="19"/>
  <c r="U7" i="19"/>
  <c r="T7" i="19"/>
  <c r="Y6" i="19"/>
  <c r="Y5" i="19"/>
  <c r="Y4" i="19"/>
  <c r="Y3" i="19"/>
  <c r="Y2" i="19"/>
  <c r="V7" i="18"/>
  <c r="U7" i="18"/>
  <c r="AE7" i="18"/>
  <c r="BN7" i="19"/>
  <c r="BM7" i="19"/>
  <c r="BL7" i="19"/>
  <c r="BK7" i="19"/>
  <c r="BJ7" i="19"/>
  <c r="BG7" i="19"/>
  <c r="BF7" i="19"/>
  <c r="BE7" i="19"/>
  <c r="BD7" i="19"/>
  <c r="BC7" i="19"/>
  <c r="AZ7" i="19"/>
  <c r="AY7" i="19"/>
  <c r="AX7" i="19"/>
  <c r="AW7" i="19"/>
  <c r="AV7" i="19"/>
  <c r="Q7" i="19"/>
  <c r="P7" i="19"/>
  <c r="O7" i="19"/>
  <c r="N7" i="19"/>
  <c r="M7" i="19"/>
  <c r="J7" i="19"/>
  <c r="I7" i="19"/>
  <c r="H7" i="19"/>
  <c r="G7" i="19"/>
  <c r="F7" i="19"/>
  <c r="BU6" i="19"/>
  <c r="BT6" i="19"/>
  <c r="BS6" i="19"/>
  <c r="BR6" i="19"/>
  <c r="BQ6" i="19"/>
  <c r="BO6" i="19"/>
  <c r="BH6" i="19"/>
  <c r="BA6" i="19"/>
  <c r="R6" i="19"/>
  <c r="K6" i="19"/>
  <c r="BU5" i="19"/>
  <c r="BT5" i="19"/>
  <c r="BS5" i="19"/>
  <c r="BR5" i="19"/>
  <c r="BQ5" i="19"/>
  <c r="BO5" i="19"/>
  <c r="BH5" i="19"/>
  <c r="BA5" i="19"/>
  <c r="R5" i="19"/>
  <c r="K5" i="19"/>
  <c r="BU4" i="19"/>
  <c r="BT4" i="19"/>
  <c r="BS4" i="19"/>
  <c r="BR4" i="19"/>
  <c r="BQ4" i="19"/>
  <c r="BO4" i="19"/>
  <c r="BH4" i="19"/>
  <c r="BA4" i="19"/>
  <c r="R4" i="19"/>
  <c r="K4" i="19"/>
  <c r="BU3" i="19"/>
  <c r="BT3" i="19"/>
  <c r="BS3" i="19"/>
  <c r="BR3" i="19"/>
  <c r="BQ3" i="19"/>
  <c r="BO3" i="19"/>
  <c r="BH3" i="19"/>
  <c r="BA3" i="19"/>
  <c r="R3" i="19"/>
  <c r="K3" i="19"/>
  <c r="BU2" i="19"/>
  <c r="BT2" i="19"/>
  <c r="BS2" i="19"/>
  <c r="BR2" i="19"/>
  <c r="BQ2" i="19"/>
  <c r="BO2" i="19"/>
  <c r="BH2" i="19"/>
  <c r="BA2" i="19"/>
  <c r="R2" i="19"/>
  <c r="K2" i="19"/>
  <c r="AJ7" i="18"/>
  <c r="AH7" i="18"/>
  <c r="AF7" i="18"/>
  <c r="AI7" i="18"/>
  <c r="AB7" i="18"/>
  <c r="AD7" i="18"/>
  <c r="P7" i="18"/>
  <c r="N7" i="18"/>
  <c r="M7" i="18"/>
  <c r="K7" i="18"/>
  <c r="I7" i="18"/>
  <c r="H7" i="18"/>
  <c r="G7" i="18"/>
  <c r="F7" i="18"/>
  <c r="AL6" i="18"/>
  <c r="AN6" i="18" s="1"/>
  <c r="AK6" i="18"/>
  <c r="AM6" i="18" s="1"/>
  <c r="O6" i="18"/>
  <c r="Q6" i="18" s="1"/>
  <c r="J6" i="18"/>
  <c r="L6" i="18" s="1"/>
  <c r="AL5" i="18"/>
  <c r="AN5" i="18" s="1"/>
  <c r="AK5" i="18"/>
  <c r="AM5" i="18" s="1"/>
  <c r="O5" i="18"/>
  <c r="Q5" i="18" s="1"/>
  <c r="J5" i="18"/>
  <c r="L5" i="18" s="1"/>
  <c r="AL4" i="18"/>
  <c r="AN4" i="18" s="1"/>
  <c r="AK4" i="18"/>
  <c r="AM4" i="18" s="1"/>
  <c r="O4" i="18"/>
  <c r="Q4" i="18" s="1"/>
  <c r="J4" i="18"/>
  <c r="L4" i="18" s="1"/>
  <c r="AL3" i="18"/>
  <c r="AN3" i="18" s="1"/>
  <c r="AK3" i="18"/>
  <c r="AM3" i="18" s="1"/>
  <c r="O3" i="18"/>
  <c r="Q3" i="18" s="1"/>
  <c r="J3" i="18"/>
  <c r="L3" i="18" s="1"/>
  <c r="AL2" i="18"/>
  <c r="AN2" i="18" s="1"/>
  <c r="AK2" i="18"/>
  <c r="AM2" i="18" s="1"/>
  <c r="O2" i="18"/>
  <c r="Q2" i="18" s="1"/>
  <c r="J2" i="18"/>
  <c r="AL70" i="7"/>
  <c r="AJ70" i="7"/>
  <c r="AH70" i="7"/>
  <c r="AK70" i="7"/>
  <c r="AI70" i="7"/>
  <c r="AG70" i="7"/>
  <c r="AD70" i="7"/>
  <c r="AF70" i="7"/>
  <c r="R70" i="7"/>
  <c r="P70" i="7"/>
  <c r="N70" i="7"/>
  <c r="M70" i="7"/>
  <c r="K70" i="7"/>
  <c r="I70" i="7"/>
  <c r="H70" i="7"/>
  <c r="G70" i="7"/>
  <c r="F70" i="7"/>
  <c r="AN69" i="7"/>
  <c r="AP69" i="7" s="1"/>
  <c r="AM69" i="7"/>
  <c r="AO69" i="7" s="1"/>
  <c r="O69" i="7"/>
  <c r="Q69" i="7" s="1"/>
  <c r="J69" i="7"/>
  <c r="L69" i="7" s="1"/>
  <c r="AN68" i="7"/>
  <c r="AP68" i="7" s="1"/>
  <c r="AM68" i="7"/>
  <c r="AO68" i="7" s="1"/>
  <c r="O68" i="7"/>
  <c r="Q68" i="7" s="1"/>
  <c r="J68" i="7"/>
  <c r="L68" i="7" s="1"/>
  <c r="AN67" i="7"/>
  <c r="AP67" i="7" s="1"/>
  <c r="AM67" i="7"/>
  <c r="AO67" i="7" s="1"/>
  <c r="O67" i="7"/>
  <c r="Q67" i="7" s="1"/>
  <c r="J67" i="7"/>
  <c r="L67" i="7" s="1"/>
  <c r="AN66" i="7"/>
  <c r="AP66" i="7" s="1"/>
  <c r="AM66" i="7"/>
  <c r="O66" i="7"/>
  <c r="Q66" i="7" s="1"/>
  <c r="J66" i="7"/>
  <c r="AN65" i="7"/>
  <c r="AP65" i="7" s="1"/>
  <c r="AM65" i="7"/>
  <c r="AO65" i="7" s="1"/>
  <c r="O65" i="7"/>
  <c r="Q65" i="7" s="1"/>
  <c r="J65" i="7"/>
  <c r="L65" i="7" s="1"/>
  <c r="AL77" i="7"/>
  <c r="AJ77" i="7"/>
  <c r="AH77" i="7"/>
  <c r="AK77" i="7"/>
  <c r="AI77" i="7"/>
  <c r="AG77" i="7"/>
  <c r="AD77" i="7"/>
  <c r="AF77" i="7"/>
  <c r="R77" i="7"/>
  <c r="P77" i="7"/>
  <c r="N77" i="7"/>
  <c r="M77" i="7"/>
  <c r="K77" i="7"/>
  <c r="I77" i="7"/>
  <c r="H77" i="7"/>
  <c r="G77" i="7"/>
  <c r="F77" i="7"/>
  <c r="AN76" i="7"/>
  <c r="AP76" i="7" s="1"/>
  <c r="AM76" i="7"/>
  <c r="AO76" i="7" s="1"/>
  <c r="O76" i="7"/>
  <c r="Q76" i="7" s="1"/>
  <c r="J76" i="7"/>
  <c r="L76" i="7" s="1"/>
  <c r="AN75" i="7"/>
  <c r="AP75" i="7" s="1"/>
  <c r="AM75" i="7"/>
  <c r="AO75" i="7" s="1"/>
  <c r="O75" i="7"/>
  <c r="Q75" i="7" s="1"/>
  <c r="J75" i="7"/>
  <c r="L75" i="7" s="1"/>
  <c r="AN74" i="7"/>
  <c r="AP74" i="7" s="1"/>
  <c r="AM74" i="7"/>
  <c r="AO74" i="7" s="1"/>
  <c r="O74" i="7"/>
  <c r="Q74" i="7" s="1"/>
  <c r="J74" i="7"/>
  <c r="L74" i="7" s="1"/>
  <c r="AN73" i="7"/>
  <c r="AB73" i="7" s="1"/>
  <c r="AM73" i="7"/>
  <c r="AO73" i="7" s="1"/>
  <c r="O73" i="7"/>
  <c r="Q73" i="7" s="1"/>
  <c r="J73" i="7"/>
  <c r="AN72" i="7"/>
  <c r="AP72" i="7" s="1"/>
  <c r="AM72" i="7"/>
  <c r="AO72" i="7" s="1"/>
  <c r="O72" i="7"/>
  <c r="Q72" i="7" s="1"/>
  <c r="J72" i="7"/>
  <c r="L72" i="7" s="1"/>
  <c r="AN58" i="7"/>
  <c r="AP58" i="7" s="1"/>
  <c r="AL28" i="8"/>
  <c r="AK28" i="8"/>
  <c r="AJ28" i="8"/>
  <c r="AI28" i="8"/>
  <c r="AH28" i="8"/>
  <c r="AE28" i="8"/>
  <c r="AD28" i="8"/>
  <c r="AC28" i="8"/>
  <c r="AB28" i="8"/>
  <c r="AA28" i="8"/>
  <c r="X28" i="8"/>
  <c r="W28" i="8"/>
  <c r="V28" i="8"/>
  <c r="U28" i="8"/>
  <c r="T28" i="8"/>
  <c r="Q28" i="8"/>
  <c r="P28" i="8"/>
  <c r="O28" i="8"/>
  <c r="N28" i="8"/>
  <c r="M28" i="8"/>
  <c r="J28" i="8"/>
  <c r="I28" i="8"/>
  <c r="H28" i="8"/>
  <c r="G28" i="8"/>
  <c r="F28" i="8"/>
  <c r="AS27" i="8"/>
  <c r="AR27" i="8"/>
  <c r="AQ27" i="8"/>
  <c r="AP27" i="8"/>
  <c r="AO27" i="8"/>
  <c r="AM27" i="8"/>
  <c r="AF27" i="8"/>
  <c r="Y27" i="8"/>
  <c r="R27" i="8"/>
  <c r="K27" i="8"/>
  <c r="AS26" i="8"/>
  <c r="AR26" i="8"/>
  <c r="AQ26" i="8"/>
  <c r="AP26" i="8"/>
  <c r="AO26" i="8"/>
  <c r="AM26" i="8"/>
  <c r="AF26" i="8"/>
  <c r="Y26" i="8"/>
  <c r="R26" i="8"/>
  <c r="K26" i="8"/>
  <c r="AS25" i="8"/>
  <c r="AR25" i="8"/>
  <c r="AQ25" i="8"/>
  <c r="AP25" i="8"/>
  <c r="AT25" i="8" s="1"/>
  <c r="AO25" i="8"/>
  <c r="AM25" i="8"/>
  <c r="AF25" i="8"/>
  <c r="Y25" i="8"/>
  <c r="R25" i="8"/>
  <c r="K25" i="8"/>
  <c r="AS24" i="8"/>
  <c r="AR24" i="8"/>
  <c r="AQ24" i="8"/>
  <c r="AP24" i="8"/>
  <c r="AO24" i="8"/>
  <c r="AM24" i="8"/>
  <c r="AF24" i="8"/>
  <c r="Y24" i="8"/>
  <c r="R24" i="8"/>
  <c r="K24" i="8"/>
  <c r="AS23" i="8"/>
  <c r="AR23" i="8"/>
  <c r="AQ23" i="8"/>
  <c r="AP23" i="8"/>
  <c r="AO23" i="8"/>
  <c r="AM23" i="8"/>
  <c r="AF23" i="8"/>
  <c r="Y23" i="8"/>
  <c r="R23" i="8"/>
  <c r="K23" i="8"/>
  <c r="AB49" i="16"/>
  <c r="AA49" i="16"/>
  <c r="Z49" i="16"/>
  <c r="Y49" i="16"/>
  <c r="X49" i="16"/>
  <c r="W49" i="16"/>
  <c r="V49" i="16"/>
  <c r="U49" i="16"/>
  <c r="T49" i="16"/>
  <c r="S49" i="16"/>
  <c r="P49" i="16"/>
  <c r="N49" i="16"/>
  <c r="M49" i="16"/>
  <c r="K49" i="16"/>
  <c r="J49" i="16"/>
  <c r="I49" i="16"/>
  <c r="H49" i="16"/>
  <c r="G49" i="16"/>
  <c r="F49" i="16"/>
  <c r="AD48" i="16"/>
  <c r="AF48" i="16" s="1"/>
  <c r="AC48" i="16"/>
  <c r="AE48" i="16" s="1"/>
  <c r="Q48" i="16"/>
  <c r="O48" i="16"/>
  <c r="L48" i="16"/>
  <c r="R48" i="16" s="1"/>
  <c r="J48" i="16"/>
  <c r="AD47" i="16"/>
  <c r="AF47" i="16" s="1"/>
  <c r="AC47" i="16"/>
  <c r="AE47" i="16" s="1"/>
  <c r="Q47" i="16"/>
  <c r="O47" i="16"/>
  <c r="L47" i="16"/>
  <c r="R47" i="16" s="1"/>
  <c r="J47" i="16"/>
  <c r="AE46" i="16"/>
  <c r="AD46" i="16"/>
  <c r="AF46" i="16" s="1"/>
  <c r="AC46" i="16"/>
  <c r="O46" i="16"/>
  <c r="Q46" i="16" s="1"/>
  <c r="L46" i="16"/>
  <c r="J46" i="16"/>
  <c r="AD45" i="16"/>
  <c r="AF45" i="16" s="1"/>
  <c r="AC45" i="16"/>
  <c r="AE45" i="16" s="1"/>
  <c r="Q45" i="16"/>
  <c r="O45" i="16"/>
  <c r="J45" i="16"/>
  <c r="L45" i="16" s="1"/>
  <c r="R45" i="16" s="1"/>
  <c r="AD44" i="16"/>
  <c r="AD49" i="16" s="1"/>
  <c r="AC44" i="16"/>
  <c r="AC49" i="16" s="1"/>
  <c r="Q44" i="16"/>
  <c r="O44" i="16"/>
  <c r="O49" i="16" s="1"/>
  <c r="L44" i="16"/>
  <c r="J44" i="16"/>
  <c r="AL21" i="17"/>
  <c r="AK21" i="17"/>
  <c r="AJ21" i="17"/>
  <c r="AI21" i="17"/>
  <c r="AH21" i="17"/>
  <c r="AE21" i="17"/>
  <c r="AD21" i="17"/>
  <c r="AC21" i="17"/>
  <c r="AB21" i="17"/>
  <c r="AA21" i="17"/>
  <c r="X21" i="17"/>
  <c r="W21" i="17"/>
  <c r="V21" i="17"/>
  <c r="U21" i="17"/>
  <c r="T21" i="17"/>
  <c r="Q21" i="17"/>
  <c r="P21" i="17"/>
  <c r="O21" i="17"/>
  <c r="N21" i="17"/>
  <c r="M21" i="17"/>
  <c r="J21" i="17"/>
  <c r="I21" i="17"/>
  <c r="H21" i="17"/>
  <c r="G21" i="17"/>
  <c r="F21" i="17"/>
  <c r="AS20" i="17"/>
  <c r="AR20" i="17"/>
  <c r="AQ20" i="17"/>
  <c r="AP20" i="17"/>
  <c r="AO20" i="17"/>
  <c r="AT20" i="17" s="1"/>
  <c r="AM20" i="17"/>
  <c r="AF20" i="17"/>
  <c r="Y20" i="17"/>
  <c r="R20" i="17"/>
  <c r="K20" i="17"/>
  <c r="AT19" i="17"/>
  <c r="AS19" i="17"/>
  <c r="AR19" i="17"/>
  <c r="AQ19" i="17"/>
  <c r="AP19" i="17"/>
  <c r="AO19" i="17"/>
  <c r="AM19" i="17"/>
  <c r="AF19" i="17"/>
  <c r="Y19" i="17"/>
  <c r="R19" i="17"/>
  <c r="K19" i="17"/>
  <c r="AS18" i="17"/>
  <c r="AT18" i="17" s="1"/>
  <c r="AR18" i="17"/>
  <c r="AQ18" i="17"/>
  <c r="AP18" i="17"/>
  <c r="AO18" i="17"/>
  <c r="AM18" i="17"/>
  <c r="AF18" i="17"/>
  <c r="Y18" i="17"/>
  <c r="R18" i="17"/>
  <c r="K18" i="17"/>
  <c r="AS17" i="17"/>
  <c r="AR17" i="17"/>
  <c r="AT17" i="17" s="1"/>
  <c r="AQ17" i="17"/>
  <c r="AP17" i="17"/>
  <c r="AO17" i="17"/>
  <c r="AM17" i="17"/>
  <c r="AF17" i="17"/>
  <c r="Y17" i="17"/>
  <c r="R17" i="17"/>
  <c r="K17" i="17"/>
  <c r="AS16" i="17"/>
  <c r="AS21" i="17" s="1"/>
  <c r="AR16" i="17"/>
  <c r="AR21" i="17" s="1"/>
  <c r="AQ16" i="17"/>
  <c r="AQ21" i="17" s="1"/>
  <c r="AP16" i="17"/>
  <c r="AO16" i="17"/>
  <c r="AM16" i="17"/>
  <c r="AM21" i="17" s="1"/>
  <c r="AF16" i="17"/>
  <c r="Y16" i="17"/>
  <c r="Y21" i="17" s="1"/>
  <c r="R16" i="17"/>
  <c r="K16" i="17"/>
  <c r="AB42" i="16"/>
  <c r="AA42" i="16"/>
  <c r="Z42" i="16"/>
  <c r="Y42" i="16"/>
  <c r="X42" i="16"/>
  <c r="W42" i="16"/>
  <c r="V42" i="16"/>
  <c r="U42" i="16"/>
  <c r="T42" i="16"/>
  <c r="S42" i="16"/>
  <c r="P42" i="16"/>
  <c r="N42" i="16"/>
  <c r="M42" i="16"/>
  <c r="K42" i="16"/>
  <c r="I42" i="16"/>
  <c r="H42" i="16"/>
  <c r="G42" i="16"/>
  <c r="F42" i="16"/>
  <c r="AD41" i="16"/>
  <c r="AF41" i="16" s="1"/>
  <c r="AC41" i="16"/>
  <c r="AE41" i="16" s="1"/>
  <c r="O41" i="16"/>
  <c r="Q41" i="16" s="1"/>
  <c r="J41" i="16"/>
  <c r="L41" i="16" s="1"/>
  <c r="R41" i="16" s="1"/>
  <c r="AD40" i="16"/>
  <c r="AF40" i="16" s="1"/>
  <c r="AC40" i="16"/>
  <c r="AE40" i="16" s="1"/>
  <c r="O40" i="16"/>
  <c r="Q40" i="16" s="1"/>
  <c r="J40" i="16"/>
  <c r="L40" i="16" s="1"/>
  <c r="R40" i="16" s="1"/>
  <c r="AE39" i="16"/>
  <c r="AD39" i="16"/>
  <c r="AF39" i="16" s="1"/>
  <c r="AC39" i="16"/>
  <c r="O39" i="16"/>
  <c r="Q39" i="16" s="1"/>
  <c r="J39" i="16"/>
  <c r="L39" i="16" s="1"/>
  <c r="R39" i="16" s="1"/>
  <c r="AD38" i="16"/>
  <c r="AF38" i="16" s="1"/>
  <c r="AC38" i="16"/>
  <c r="AE38" i="16" s="1"/>
  <c r="Q38" i="16"/>
  <c r="O38" i="16"/>
  <c r="J38" i="16"/>
  <c r="L38" i="16" s="1"/>
  <c r="R38" i="16" s="1"/>
  <c r="AD37" i="16"/>
  <c r="AD42" i="16" s="1"/>
  <c r="AC37" i="16"/>
  <c r="AC42" i="16" s="1"/>
  <c r="O37" i="16"/>
  <c r="O42" i="16" s="1"/>
  <c r="J37" i="16"/>
  <c r="J42" i="16" s="1"/>
  <c r="AB35" i="16"/>
  <c r="AA35" i="16"/>
  <c r="Z35" i="16"/>
  <c r="Y35" i="16"/>
  <c r="X35" i="16"/>
  <c r="W35" i="16"/>
  <c r="V35" i="16"/>
  <c r="U35" i="16"/>
  <c r="T35" i="16"/>
  <c r="S35" i="16"/>
  <c r="P35" i="16"/>
  <c r="N35" i="16"/>
  <c r="M35" i="16"/>
  <c r="K35" i="16"/>
  <c r="I35" i="16"/>
  <c r="H35" i="16"/>
  <c r="G35" i="16"/>
  <c r="F35" i="16"/>
  <c r="AD34" i="16"/>
  <c r="AF34" i="16" s="1"/>
  <c r="AC34" i="16"/>
  <c r="AE34" i="16" s="1"/>
  <c r="Q34" i="16"/>
  <c r="O34" i="16"/>
  <c r="J34" i="16"/>
  <c r="L34" i="16" s="1"/>
  <c r="R34" i="16" s="1"/>
  <c r="AD33" i="16"/>
  <c r="AF33" i="16" s="1"/>
  <c r="AC33" i="16"/>
  <c r="AE33" i="16" s="1"/>
  <c r="O33" i="16"/>
  <c r="Q33" i="16" s="1"/>
  <c r="J33" i="16"/>
  <c r="L33" i="16" s="1"/>
  <c r="R33" i="16" s="1"/>
  <c r="AE32" i="16"/>
  <c r="AD32" i="16"/>
  <c r="AF32" i="16" s="1"/>
  <c r="AC32" i="16"/>
  <c r="O32" i="16"/>
  <c r="Q32" i="16" s="1"/>
  <c r="L32" i="16"/>
  <c r="R32" i="16" s="1"/>
  <c r="J32" i="16"/>
  <c r="AD31" i="16"/>
  <c r="AF31" i="16" s="1"/>
  <c r="AC31" i="16"/>
  <c r="AE31" i="16" s="1"/>
  <c r="Q31" i="16"/>
  <c r="O31" i="16"/>
  <c r="J31" i="16"/>
  <c r="L31" i="16" s="1"/>
  <c r="AD30" i="16"/>
  <c r="AC30" i="16"/>
  <c r="O30" i="16"/>
  <c r="O35" i="16" s="1"/>
  <c r="J30" i="16"/>
  <c r="AL14" i="17"/>
  <c r="AK14" i="17"/>
  <c r="AJ14" i="17"/>
  <c r="AI14" i="17"/>
  <c r="AH14" i="17"/>
  <c r="AE14" i="17"/>
  <c r="AD14" i="17"/>
  <c r="AC14" i="17"/>
  <c r="AB14" i="17"/>
  <c r="AA14" i="17"/>
  <c r="X14" i="17"/>
  <c r="W14" i="17"/>
  <c r="V14" i="17"/>
  <c r="U14" i="17"/>
  <c r="T14" i="17"/>
  <c r="Q14" i="17"/>
  <c r="P14" i="17"/>
  <c r="O14" i="17"/>
  <c r="N14" i="17"/>
  <c r="M14" i="17"/>
  <c r="J14" i="17"/>
  <c r="I14" i="17"/>
  <c r="H14" i="17"/>
  <c r="G14" i="17"/>
  <c r="F14" i="17"/>
  <c r="AS13" i="17"/>
  <c r="AR13" i="17"/>
  <c r="AQ13" i="17"/>
  <c r="AP13" i="17"/>
  <c r="AP14" i="17" s="1"/>
  <c r="AO13" i="17"/>
  <c r="AT13" i="17" s="1"/>
  <c r="AM13" i="17"/>
  <c r="AF13" i="17"/>
  <c r="Y13" i="17"/>
  <c r="R13" i="17"/>
  <c r="K13" i="17"/>
  <c r="AT12" i="17"/>
  <c r="AS12" i="17"/>
  <c r="AR12" i="17"/>
  <c r="AQ12" i="17"/>
  <c r="AP12" i="17"/>
  <c r="AO12" i="17"/>
  <c r="AM12" i="17"/>
  <c r="AF12" i="17"/>
  <c r="Y12" i="17"/>
  <c r="R12" i="17"/>
  <c r="K12" i="17"/>
  <c r="AS11" i="17"/>
  <c r="AT11" i="17" s="1"/>
  <c r="AR11" i="17"/>
  <c r="AQ11" i="17"/>
  <c r="AP11" i="17"/>
  <c r="AO11" i="17"/>
  <c r="AM11" i="17"/>
  <c r="AM14" i="17" s="1"/>
  <c r="AF11" i="17"/>
  <c r="Y11" i="17"/>
  <c r="R11" i="17"/>
  <c r="K11" i="17"/>
  <c r="AS10" i="17"/>
  <c r="AR10" i="17"/>
  <c r="AT10" i="17" s="1"/>
  <c r="AQ10" i="17"/>
  <c r="AP10" i="17"/>
  <c r="AO10" i="17"/>
  <c r="AM10" i="17"/>
  <c r="AF10" i="17"/>
  <c r="Y10" i="17"/>
  <c r="R10" i="17"/>
  <c r="K10" i="17"/>
  <c r="AS9" i="17"/>
  <c r="AS14" i="17" s="1"/>
  <c r="AR9" i="17"/>
  <c r="AR14" i="17" s="1"/>
  <c r="AQ9" i="17"/>
  <c r="AQ14" i="17" s="1"/>
  <c r="AP9" i="17"/>
  <c r="AO9" i="17"/>
  <c r="AM9" i="17"/>
  <c r="AF9" i="17"/>
  <c r="Y9" i="17"/>
  <c r="Y14" i="17" s="1"/>
  <c r="R9" i="17"/>
  <c r="K9" i="17"/>
  <c r="K14" i="17" s="1"/>
  <c r="AB28" i="16"/>
  <c r="AA28" i="16"/>
  <c r="Z28" i="16"/>
  <c r="Y28" i="16"/>
  <c r="X28" i="16"/>
  <c r="W28" i="16"/>
  <c r="V28" i="16"/>
  <c r="U28" i="16"/>
  <c r="T28" i="16"/>
  <c r="S28" i="16"/>
  <c r="P28" i="16"/>
  <c r="N28" i="16"/>
  <c r="M28" i="16"/>
  <c r="K28" i="16"/>
  <c r="I28" i="16"/>
  <c r="H28" i="16"/>
  <c r="G28" i="16"/>
  <c r="F28" i="16"/>
  <c r="AD27" i="16"/>
  <c r="AF27" i="16" s="1"/>
  <c r="AC27" i="16"/>
  <c r="AE27" i="16" s="1"/>
  <c r="O27" i="16"/>
  <c r="Q27" i="16" s="1"/>
  <c r="J27" i="16"/>
  <c r="L27" i="16" s="1"/>
  <c r="R27" i="16" s="1"/>
  <c r="AD26" i="16"/>
  <c r="AF26" i="16" s="1"/>
  <c r="AC26" i="16"/>
  <c r="AE26" i="16" s="1"/>
  <c r="O26" i="16"/>
  <c r="Q26" i="16" s="1"/>
  <c r="J26" i="16"/>
  <c r="L26" i="16" s="1"/>
  <c r="R26" i="16" s="1"/>
  <c r="AE25" i="16"/>
  <c r="AD25" i="16"/>
  <c r="AF25" i="16" s="1"/>
  <c r="AC25" i="16"/>
  <c r="O25" i="16"/>
  <c r="Q25" i="16" s="1"/>
  <c r="J25" i="16"/>
  <c r="L25" i="16" s="1"/>
  <c r="R25" i="16" s="1"/>
  <c r="AD24" i="16"/>
  <c r="AF24" i="16" s="1"/>
  <c r="AC24" i="16"/>
  <c r="AE24" i="16" s="1"/>
  <c r="Q24" i="16"/>
  <c r="O24" i="16"/>
  <c r="J24" i="16"/>
  <c r="L24" i="16" s="1"/>
  <c r="R24" i="16" s="1"/>
  <c r="AD23" i="16"/>
  <c r="AC23" i="16"/>
  <c r="AC28" i="16" s="1"/>
  <c r="O23" i="16"/>
  <c r="O28" i="16" s="1"/>
  <c r="J23" i="16"/>
  <c r="J28" i="16" s="1"/>
  <c r="AB14" i="16"/>
  <c r="AA14" i="16"/>
  <c r="Z14" i="16"/>
  <c r="Y14" i="16"/>
  <c r="X14" i="16"/>
  <c r="W14" i="16"/>
  <c r="V14" i="16"/>
  <c r="U14" i="16"/>
  <c r="T14" i="16"/>
  <c r="S14" i="16"/>
  <c r="P14" i="16"/>
  <c r="N14" i="16"/>
  <c r="M14" i="16"/>
  <c r="K14" i="16"/>
  <c r="I14" i="16"/>
  <c r="H14" i="16"/>
  <c r="G14" i="16"/>
  <c r="F14" i="16"/>
  <c r="AD13" i="16"/>
  <c r="AF13" i="16" s="1"/>
  <c r="AC13" i="16"/>
  <c r="AE13" i="16" s="1"/>
  <c r="O13" i="16"/>
  <c r="Q13" i="16" s="1"/>
  <c r="L13" i="16"/>
  <c r="J13" i="16"/>
  <c r="AD12" i="16"/>
  <c r="AF12" i="16" s="1"/>
  <c r="AC12" i="16"/>
  <c r="AE12" i="16" s="1"/>
  <c r="O12" i="16"/>
  <c r="Q12" i="16" s="1"/>
  <c r="J12" i="16"/>
  <c r="L12" i="16" s="1"/>
  <c r="R12" i="16" s="1"/>
  <c r="AF11" i="16"/>
  <c r="AE11" i="16"/>
  <c r="AD11" i="16"/>
  <c r="AC11" i="16"/>
  <c r="O11" i="16"/>
  <c r="Q11" i="16" s="1"/>
  <c r="J11" i="16"/>
  <c r="L11" i="16" s="1"/>
  <c r="R11" i="16" s="1"/>
  <c r="AD10" i="16"/>
  <c r="AF10" i="16" s="1"/>
  <c r="AC10" i="16"/>
  <c r="AE10" i="16" s="1"/>
  <c r="R10" i="16"/>
  <c r="Q10" i="16"/>
  <c r="O10" i="16"/>
  <c r="L10" i="16"/>
  <c r="J10" i="16"/>
  <c r="AD9" i="16"/>
  <c r="AD14" i="16" s="1"/>
  <c r="AC9" i="16"/>
  <c r="AC14" i="16" s="1"/>
  <c r="O9" i="16"/>
  <c r="Q9" i="16" s="1"/>
  <c r="Q14" i="16" s="1"/>
  <c r="J9" i="16"/>
  <c r="J14" i="16" s="1"/>
  <c r="AB21" i="16"/>
  <c r="AA21" i="16"/>
  <c r="Z21" i="16"/>
  <c r="Y21" i="16"/>
  <c r="X21" i="16"/>
  <c r="W21" i="16"/>
  <c r="V21" i="16"/>
  <c r="U21" i="16"/>
  <c r="T21" i="16"/>
  <c r="S21" i="16"/>
  <c r="P21" i="16"/>
  <c r="N21" i="16"/>
  <c r="M21" i="16"/>
  <c r="K21" i="16"/>
  <c r="I21" i="16"/>
  <c r="H21" i="16"/>
  <c r="G21" i="16"/>
  <c r="F21" i="16"/>
  <c r="AD20" i="16"/>
  <c r="AF20" i="16" s="1"/>
  <c r="AC20" i="16"/>
  <c r="AE20" i="16" s="1"/>
  <c r="O20" i="16"/>
  <c r="Q20" i="16" s="1"/>
  <c r="L20" i="16"/>
  <c r="J20" i="16"/>
  <c r="AD19" i="16"/>
  <c r="AF19" i="16" s="1"/>
  <c r="AC19" i="16"/>
  <c r="AE19" i="16" s="1"/>
  <c r="O19" i="16"/>
  <c r="Q19" i="16" s="1"/>
  <c r="J19" i="16"/>
  <c r="L19" i="16" s="1"/>
  <c r="AD18" i="16"/>
  <c r="AF18" i="16" s="1"/>
  <c r="AC18" i="16"/>
  <c r="AE18" i="16" s="1"/>
  <c r="Q18" i="16"/>
  <c r="O18" i="16"/>
  <c r="J18" i="16"/>
  <c r="L18" i="16" s="1"/>
  <c r="AF17" i="16"/>
  <c r="AD17" i="16"/>
  <c r="AC17" i="16"/>
  <c r="O17" i="16"/>
  <c r="Q17" i="16" s="1"/>
  <c r="J17" i="16"/>
  <c r="L17" i="16" s="1"/>
  <c r="AD16" i="16"/>
  <c r="AD21" i="16" s="1"/>
  <c r="AC16" i="16"/>
  <c r="AE16" i="16" s="1"/>
  <c r="O16" i="16"/>
  <c r="J16" i="16"/>
  <c r="L16" i="16" s="1"/>
  <c r="AL7" i="17"/>
  <c r="AK7" i="17"/>
  <c r="AJ7" i="17"/>
  <c r="AI7" i="17"/>
  <c r="AH7" i="17"/>
  <c r="AE7" i="17"/>
  <c r="AD7" i="17"/>
  <c r="AC7" i="17"/>
  <c r="AB7" i="17"/>
  <c r="AA7" i="17"/>
  <c r="X7" i="17"/>
  <c r="W7" i="17"/>
  <c r="V7" i="17"/>
  <c r="U7" i="17"/>
  <c r="T7" i="17"/>
  <c r="Q7" i="17"/>
  <c r="P7" i="17"/>
  <c r="O7" i="17"/>
  <c r="N7" i="17"/>
  <c r="M7" i="17"/>
  <c r="J7" i="17"/>
  <c r="I7" i="17"/>
  <c r="H7" i="17"/>
  <c r="G7" i="17"/>
  <c r="F7" i="17"/>
  <c r="AS6" i="17"/>
  <c r="AR6" i="17"/>
  <c r="AQ6" i="17"/>
  <c r="AP6" i="17"/>
  <c r="AO6" i="17"/>
  <c r="AM6" i="17"/>
  <c r="AF6" i="17"/>
  <c r="Y6" i="17"/>
  <c r="R6" i="17"/>
  <c r="K6" i="17"/>
  <c r="AS5" i="17"/>
  <c r="AR5" i="17"/>
  <c r="AQ5" i="17"/>
  <c r="AP5" i="17"/>
  <c r="AO5" i="17"/>
  <c r="AM5" i="17"/>
  <c r="AF5" i="17"/>
  <c r="Y5" i="17"/>
  <c r="R5" i="17"/>
  <c r="K5" i="17"/>
  <c r="AS4" i="17"/>
  <c r="AR4" i="17"/>
  <c r="AQ4" i="17"/>
  <c r="AP4" i="17"/>
  <c r="AO4" i="17"/>
  <c r="AM4" i="17"/>
  <c r="AF4" i="17"/>
  <c r="Y4" i="17"/>
  <c r="R4" i="17"/>
  <c r="K4" i="17"/>
  <c r="AS3" i="17"/>
  <c r="AR3" i="17"/>
  <c r="AQ3" i="17"/>
  <c r="AP3" i="17"/>
  <c r="AO3" i="17"/>
  <c r="AT3" i="17" s="1"/>
  <c r="AM3" i="17"/>
  <c r="AF3" i="17"/>
  <c r="Y3" i="17"/>
  <c r="R3" i="17"/>
  <c r="K3" i="17"/>
  <c r="AS2" i="17"/>
  <c r="AR2" i="17"/>
  <c r="AQ2" i="17"/>
  <c r="AP2" i="17"/>
  <c r="AO2" i="17"/>
  <c r="AM2" i="17"/>
  <c r="AF2" i="17"/>
  <c r="Y2" i="17"/>
  <c r="R2" i="17"/>
  <c r="K2" i="17"/>
  <c r="AB7" i="16"/>
  <c r="AA7" i="16"/>
  <c r="Z7" i="16"/>
  <c r="Y7" i="16"/>
  <c r="X7" i="16"/>
  <c r="W7" i="16"/>
  <c r="V7" i="16"/>
  <c r="U7" i="16"/>
  <c r="T7" i="16"/>
  <c r="S7" i="16"/>
  <c r="P7" i="16"/>
  <c r="N7" i="16"/>
  <c r="M7" i="16"/>
  <c r="K7" i="16"/>
  <c r="I7" i="16"/>
  <c r="H7" i="16"/>
  <c r="G7" i="16"/>
  <c r="F7" i="16"/>
  <c r="AD6" i="16"/>
  <c r="AF6" i="16" s="1"/>
  <c r="AC6" i="16"/>
  <c r="AE6" i="16" s="1"/>
  <c r="O6" i="16"/>
  <c r="Q6" i="16" s="1"/>
  <c r="J6" i="16"/>
  <c r="L6" i="16" s="1"/>
  <c r="AD5" i="16"/>
  <c r="AF5" i="16" s="1"/>
  <c r="AC5" i="16"/>
  <c r="AE5" i="16" s="1"/>
  <c r="O5" i="16"/>
  <c r="Q5" i="16" s="1"/>
  <c r="J5" i="16"/>
  <c r="L5" i="16" s="1"/>
  <c r="R5" i="16" s="1"/>
  <c r="AD4" i="16"/>
  <c r="AF4" i="16" s="1"/>
  <c r="AC4" i="16"/>
  <c r="AE4" i="16" s="1"/>
  <c r="O4" i="16"/>
  <c r="Q4" i="16" s="1"/>
  <c r="J4" i="16"/>
  <c r="L4" i="16" s="1"/>
  <c r="AD3" i="16"/>
  <c r="AF3" i="16" s="1"/>
  <c r="AC3" i="16"/>
  <c r="AE3" i="16" s="1"/>
  <c r="O3" i="16"/>
  <c r="Q3" i="16" s="1"/>
  <c r="J3" i="16"/>
  <c r="L3" i="16" s="1"/>
  <c r="AD2" i="16"/>
  <c r="AC2" i="16"/>
  <c r="O2" i="16"/>
  <c r="Q2" i="16" s="1"/>
  <c r="J2" i="16"/>
  <c r="AJ63" i="7"/>
  <c r="AH63" i="7"/>
  <c r="AK63" i="7"/>
  <c r="AI63" i="7"/>
  <c r="AG63" i="7"/>
  <c r="AD63" i="7"/>
  <c r="AF63" i="7"/>
  <c r="R63" i="7"/>
  <c r="P63" i="7"/>
  <c r="N63" i="7"/>
  <c r="M63" i="7"/>
  <c r="K63" i="7"/>
  <c r="I63" i="7"/>
  <c r="H63" i="7"/>
  <c r="G63" i="7"/>
  <c r="F63" i="7"/>
  <c r="AN62" i="7"/>
  <c r="AP62" i="7" s="1"/>
  <c r="AM62" i="7"/>
  <c r="AO62" i="7" s="1"/>
  <c r="O62" i="7"/>
  <c r="Q62" i="7" s="1"/>
  <c r="J62" i="7"/>
  <c r="L62" i="7" s="1"/>
  <c r="AN61" i="7"/>
  <c r="AP61" i="7" s="1"/>
  <c r="AM61" i="7"/>
  <c r="AO61" i="7" s="1"/>
  <c r="O61" i="7"/>
  <c r="Q61" i="7" s="1"/>
  <c r="J61" i="7"/>
  <c r="L61" i="7" s="1"/>
  <c r="AN60" i="7"/>
  <c r="AP60" i="7" s="1"/>
  <c r="AM60" i="7"/>
  <c r="AO60" i="7" s="1"/>
  <c r="O60" i="7"/>
  <c r="Q60" i="7" s="1"/>
  <c r="J60" i="7"/>
  <c r="L60" i="7" s="1"/>
  <c r="AN59" i="7"/>
  <c r="AB59" i="7" s="1"/>
  <c r="AM59" i="7"/>
  <c r="AO59" i="7" s="1"/>
  <c r="O59" i="7"/>
  <c r="Q59" i="7" s="1"/>
  <c r="J59" i="7"/>
  <c r="L59" i="7" s="1"/>
  <c r="AM58" i="7"/>
  <c r="AO58" i="7" s="1"/>
  <c r="O58" i="7"/>
  <c r="Q58" i="7" s="1"/>
  <c r="J58" i="7"/>
  <c r="L58" i="7" s="1"/>
  <c r="AL56" i="7"/>
  <c r="AJ56" i="7"/>
  <c r="AH56" i="7"/>
  <c r="AK56" i="7"/>
  <c r="AI56" i="7"/>
  <c r="AG56" i="7"/>
  <c r="AD56" i="7"/>
  <c r="AF56" i="7"/>
  <c r="R56" i="7"/>
  <c r="P56" i="7"/>
  <c r="N56" i="7"/>
  <c r="M56" i="7"/>
  <c r="K56" i="7"/>
  <c r="I56" i="7"/>
  <c r="H56" i="7"/>
  <c r="G56" i="7"/>
  <c r="F56" i="7"/>
  <c r="AN55" i="7"/>
  <c r="AP55" i="7" s="1"/>
  <c r="AM55" i="7"/>
  <c r="AO55" i="7" s="1"/>
  <c r="O55" i="7"/>
  <c r="Q55" i="7" s="1"/>
  <c r="J55" i="7"/>
  <c r="L55" i="7" s="1"/>
  <c r="AN54" i="7"/>
  <c r="AP54" i="7" s="1"/>
  <c r="AM54" i="7"/>
  <c r="AO54" i="7" s="1"/>
  <c r="O54" i="7"/>
  <c r="Q54" i="7" s="1"/>
  <c r="J54" i="7"/>
  <c r="L54" i="7" s="1"/>
  <c r="AN53" i="7"/>
  <c r="AP53" i="7" s="1"/>
  <c r="AM53" i="7"/>
  <c r="AO53" i="7" s="1"/>
  <c r="O53" i="7"/>
  <c r="Q53" i="7" s="1"/>
  <c r="J53" i="7"/>
  <c r="L53" i="7" s="1"/>
  <c r="AN52" i="7"/>
  <c r="AP52" i="7" s="1"/>
  <c r="AM52" i="7"/>
  <c r="O52" i="7"/>
  <c r="Q52" i="7" s="1"/>
  <c r="J52" i="7"/>
  <c r="L52" i="7" s="1"/>
  <c r="AN51" i="7"/>
  <c r="AB51" i="7" s="1"/>
  <c r="AM51" i="7"/>
  <c r="AO51" i="7" s="1"/>
  <c r="O51" i="7"/>
  <c r="Q51" i="7" s="1"/>
  <c r="J51" i="7"/>
  <c r="L51" i="7" s="1"/>
  <c r="AL42" i="7"/>
  <c r="AJ42" i="7"/>
  <c r="AH42" i="7"/>
  <c r="AK42" i="7"/>
  <c r="AI42" i="7"/>
  <c r="AG42" i="7"/>
  <c r="AD42" i="7"/>
  <c r="AF42" i="7"/>
  <c r="R42" i="7"/>
  <c r="P42" i="7"/>
  <c r="N42" i="7"/>
  <c r="M42" i="7"/>
  <c r="K42" i="7"/>
  <c r="I42" i="7"/>
  <c r="H42" i="7"/>
  <c r="G42" i="7"/>
  <c r="F42" i="7"/>
  <c r="AN41" i="7"/>
  <c r="AP41" i="7" s="1"/>
  <c r="AM41" i="7"/>
  <c r="AO41" i="7" s="1"/>
  <c r="O41" i="7"/>
  <c r="Q41" i="7" s="1"/>
  <c r="J41" i="7"/>
  <c r="L41" i="7" s="1"/>
  <c r="AN40" i="7"/>
  <c r="AP40" i="7" s="1"/>
  <c r="AM40" i="7"/>
  <c r="AO40" i="7" s="1"/>
  <c r="O40" i="7"/>
  <c r="Q40" i="7" s="1"/>
  <c r="J40" i="7"/>
  <c r="L40" i="7" s="1"/>
  <c r="AN39" i="7"/>
  <c r="AP39" i="7" s="1"/>
  <c r="AM39" i="7"/>
  <c r="AO39" i="7" s="1"/>
  <c r="O39" i="7"/>
  <c r="Q39" i="7" s="1"/>
  <c r="J39" i="7"/>
  <c r="L39" i="7" s="1"/>
  <c r="AN38" i="7"/>
  <c r="AP38" i="7" s="1"/>
  <c r="AM38" i="7"/>
  <c r="O38" i="7"/>
  <c r="Q38" i="7" s="1"/>
  <c r="J38" i="7"/>
  <c r="L38" i="7" s="1"/>
  <c r="AN37" i="7"/>
  <c r="AB37" i="7" s="1"/>
  <c r="AM37" i="7"/>
  <c r="AO37" i="7" s="1"/>
  <c r="O37" i="7"/>
  <c r="Q37" i="7" s="1"/>
  <c r="J37" i="7"/>
  <c r="L37" i="7" s="1"/>
  <c r="AL49" i="7"/>
  <c r="AJ49" i="7"/>
  <c r="AH49" i="7"/>
  <c r="AK49" i="7"/>
  <c r="AI49" i="7"/>
  <c r="AG49" i="7"/>
  <c r="AD49" i="7"/>
  <c r="AF49" i="7"/>
  <c r="R49" i="7"/>
  <c r="P49" i="7"/>
  <c r="N49" i="7"/>
  <c r="M49" i="7"/>
  <c r="K49" i="7"/>
  <c r="I49" i="7"/>
  <c r="H49" i="7"/>
  <c r="G49" i="7"/>
  <c r="F49" i="7"/>
  <c r="AN48" i="7"/>
  <c r="AP48" i="7" s="1"/>
  <c r="AM48" i="7"/>
  <c r="AO48" i="7" s="1"/>
  <c r="O48" i="7"/>
  <c r="Q48" i="7" s="1"/>
  <c r="J48" i="7"/>
  <c r="L48" i="7" s="1"/>
  <c r="AN47" i="7"/>
  <c r="AP47" i="7" s="1"/>
  <c r="AM47" i="7"/>
  <c r="AO47" i="7" s="1"/>
  <c r="O47" i="7"/>
  <c r="Q47" i="7" s="1"/>
  <c r="J47" i="7"/>
  <c r="L47" i="7" s="1"/>
  <c r="AN46" i="7"/>
  <c r="AP46" i="7" s="1"/>
  <c r="AM46" i="7"/>
  <c r="AO46" i="7" s="1"/>
  <c r="O46" i="7"/>
  <c r="Q46" i="7" s="1"/>
  <c r="J46" i="7"/>
  <c r="L46" i="7" s="1"/>
  <c r="AN45" i="7"/>
  <c r="AP45" i="7" s="1"/>
  <c r="AM45" i="7"/>
  <c r="O45" i="7"/>
  <c r="Q45" i="7" s="1"/>
  <c r="J45" i="7"/>
  <c r="AN44" i="7"/>
  <c r="AP44" i="7" s="1"/>
  <c r="AM44" i="7"/>
  <c r="AO44" i="7" s="1"/>
  <c r="O44" i="7"/>
  <c r="Q44" i="7" s="1"/>
  <c r="J44" i="7"/>
  <c r="L44" i="7" s="1"/>
  <c r="AL35" i="7"/>
  <c r="AJ35" i="7"/>
  <c r="AH35" i="7"/>
  <c r="AK35" i="7"/>
  <c r="AI35" i="7"/>
  <c r="AG35" i="7"/>
  <c r="AD35" i="7"/>
  <c r="AF35" i="7"/>
  <c r="R35" i="7"/>
  <c r="P35" i="7"/>
  <c r="N35" i="7"/>
  <c r="M35" i="7"/>
  <c r="K35" i="7"/>
  <c r="I35" i="7"/>
  <c r="H35" i="7"/>
  <c r="G35" i="7"/>
  <c r="F35" i="7"/>
  <c r="AN34" i="7"/>
  <c r="AP34" i="7" s="1"/>
  <c r="AM34" i="7"/>
  <c r="AO34" i="7" s="1"/>
  <c r="O34" i="7"/>
  <c r="Q34" i="7" s="1"/>
  <c r="J34" i="7"/>
  <c r="L34" i="7" s="1"/>
  <c r="AN33" i="7"/>
  <c r="AP33" i="7" s="1"/>
  <c r="AM33" i="7"/>
  <c r="AO33" i="7" s="1"/>
  <c r="O33" i="7"/>
  <c r="Q33" i="7" s="1"/>
  <c r="J33" i="7"/>
  <c r="L33" i="7" s="1"/>
  <c r="AN32" i="7"/>
  <c r="AP32" i="7" s="1"/>
  <c r="AM32" i="7"/>
  <c r="AO32" i="7" s="1"/>
  <c r="O32" i="7"/>
  <c r="Q32" i="7" s="1"/>
  <c r="J32" i="7"/>
  <c r="L32" i="7" s="1"/>
  <c r="AN31" i="7"/>
  <c r="AB31" i="7" s="1"/>
  <c r="AM31" i="7"/>
  <c r="AO31" i="7" s="1"/>
  <c r="O31" i="7"/>
  <c r="Q31" i="7" s="1"/>
  <c r="J31" i="7"/>
  <c r="L31" i="7" s="1"/>
  <c r="AN30" i="7"/>
  <c r="AP30" i="7" s="1"/>
  <c r="AM30" i="7"/>
  <c r="AO30" i="7" s="1"/>
  <c r="O30" i="7"/>
  <c r="Q30" i="7" s="1"/>
  <c r="J30" i="7"/>
  <c r="L30" i="7" s="1"/>
  <c r="AL28" i="7"/>
  <c r="AJ28" i="7"/>
  <c r="AH28" i="7"/>
  <c r="AK28" i="7"/>
  <c r="AI28" i="7"/>
  <c r="AG28" i="7"/>
  <c r="AD28" i="7"/>
  <c r="AF28" i="7"/>
  <c r="R28" i="7"/>
  <c r="P28" i="7"/>
  <c r="N28" i="7"/>
  <c r="M28" i="7"/>
  <c r="K28" i="7"/>
  <c r="I28" i="7"/>
  <c r="H28" i="7"/>
  <c r="G28" i="7"/>
  <c r="F28" i="7"/>
  <c r="AN27" i="7"/>
  <c r="AP27" i="7" s="1"/>
  <c r="AM27" i="7"/>
  <c r="AO27" i="7" s="1"/>
  <c r="O27" i="7"/>
  <c r="Q27" i="7" s="1"/>
  <c r="J27" i="7"/>
  <c r="L27" i="7" s="1"/>
  <c r="AN26" i="7"/>
  <c r="AP26" i="7" s="1"/>
  <c r="AM26" i="7"/>
  <c r="AO26" i="7" s="1"/>
  <c r="O26" i="7"/>
  <c r="Q26" i="7" s="1"/>
  <c r="J26" i="7"/>
  <c r="L26" i="7" s="1"/>
  <c r="AN25" i="7"/>
  <c r="AP25" i="7" s="1"/>
  <c r="AM25" i="7"/>
  <c r="AO25" i="7" s="1"/>
  <c r="O25" i="7"/>
  <c r="Q25" i="7" s="1"/>
  <c r="J25" i="7"/>
  <c r="L25" i="7" s="1"/>
  <c r="AN24" i="7"/>
  <c r="AB24" i="7" s="1"/>
  <c r="AM24" i="7"/>
  <c r="AO24" i="7" s="1"/>
  <c r="O24" i="7"/>
  <c r="Q24" i="7" s="1"/>
  <c r="J24" i="7"/>
  <c r="AN23" i="7"/>
  <c r="AP23" i="7" s="1"/>
  <c r="AM23" i="7"/>
  <c r="AO23" i="7" s="1"/>
  <c r="O23" i="7"/>
  <c r="Q23" i="7" s="1"/>
  <c r="J23" i="7"/>
  <c r="L23" i="7" s="1"/>
  <c r="AK63" i="15"/>
  <c r="AJ63" i="15"/>
  <c r="AI63" i="15"/>
  <c r="AH63" i="15"/>
  <c r="AG63" i="15"/>
  <c r="AD63" i="15"/>
  <c r="AC63" i="15"/>
  <c r="AB63" i="15"/>
  <c r="AA63" i="15"/>
  <c r="Z63" i="15"/>
  <c r="W63" i="15"/>
  <c r="V63" i="15"/>
  <c r="U63" i="15"/>
  <c r="T63" i="15"/>
  <c r="S63" i="15"/>
  <c r="P63" i="15"/>
  <c r="O63" i="15"/>
  <c r="N63" i="15"/>
  <c r="M63" i="15"/>
  <c r="L63" i="15"/>
  <c r="I63" i="15"/>
  <c r="H63" i="15"/>
  <c r="G63" i="15"/>
  <c r="F63" i="15"/>
  <c r="E63" i="15"/>
  <c r="AS62" i="15"/>
  <c r="AR62" i="15"/>
  <c r="AQ62" i="15"/>
  <c r="AP62" i="15"/>
  <c r="AO62" i="15"/>
  <c r="AN62" i="15"/>
  <c r="AL62" i="15"/>
  <c r="AE62" i="15"/>
  <c r="X62" i="15"/>
  <c r="Q62" i="15"/>
  <c r="J62" i="15"/>
  <c r="AS61" i="15"/>
  <c r="AR61" i="15"/>
  <c r="AQ61" i="15"/>
  <c r="AP61" i="15"/>
  <c r="AO61" i="15"/>
  <c r="AN61" i="15"/>
  <c r="AL61" i="15"/>
  <c r="AE61" i="15"/>
  <c r="X61" i="15"/>
  <c r="Q61" i="15"/>
  <c r="J61" i="15"/>
  <c r="AR60" i="15"/>
  <c r="AS60" i="15" s="1"/>
  <c r="AQ60" i="15"/>
  <c r="AP60" i="15"/>
  <c r="AO60" i="15"/>
  <c r="AN60" i="15"/>
  <c r="AN63" i="15" s="1"/>
  <c r="AL60" i="15"/>
  <c r="AE60" i="15"/>
  <c r="X60" i="15"/>
  <c r="Q60" i="15"/>
  <c r="J60" i="15"/>
  <c r="AR59" i="15"/>
  <c r="AQ59" i="15"/>
  <c r="AS59" i="15" s="1"/>
  <c r="AP59" i="15"/>
  <c r="AO59" i="15"/>
  <c r="AN59" i="15"/>
  <c r="AL59" i="15"/>
  <c r="AE59" i="15"/>
  <c r="X59" i="15"/>
  <c r="Q59" i="15"/>
  <c r="J59" i="15"/>
  <c r="AR58" i="15"/>
  <c r="AR63" i="15" s="1"/>
  <c r="AQ58" i="15"/>
  <c r="AQ63" i="15" s="1"/>
  <c r="AP58" i="15"/>
  <c r="AP63" i="15" s="1"/>
  <c r="AO58" i="15"/>
  <c r="AO63" i="15" s="1"/>
  <c r="AN58" i="15"/>
  <c r="AL58" i="15"/>
  <c r="AL63" i="15" s="1"/>
  <c r="AE58" i="15"/>
  <c r="AE63" i="15" s="1"/>
  <c r="X58" i="15"/>
  <c r="X63" i="15" s="1"/>
  <c r="Q58" i="15"/>
  <c r="Q63" i="15" s="1"/>
  <c r="J58" i="15"/>
  <c r="J63" i="15" s="1"/>
  <c r="AP56" i="15"/>
  <c r="AO56" i="15"/>
  <c r="AK56" i="15"/>
  <c r="AJ56" i="15"/>
  <c r="AI56" i="15"/>
  <c r="AH56" i="15"/>
  <c r="AG56" i="15"/>
  <c r="AD56" i="15"/>
  <c r="AC56" i="15"/>
  <c r="AB56" i="15"/>
  <c r="AA56" i="15"/>
  <c r="Z56" i="15"/>
  <c r="W56" i="15"/>
  <c r="V56" i="15"/>
  <c r="U56" i="15"/>
  <c r="T56" i="15"/>
  <c r="S56" i="15"/>
  <c r="P56" i="15"/>
  <c r="O56" i="15"/>
  <c r="N56" i="15"/>
  <c r="M56" i="15"/>
  <c r="L56" i="15"/>
  <c r="I56" i="15"/>
  <c r="H56" i="15"/>
  <c r="G56" i="15"/>
  <c r="F56" i="15"/>
  <c r="E56" i="15"/>
  <c r="AR55" i="15"/>
  <c r="AQ55" i="15"/>
  <c r="AQ56" i="15" s="1"/>
  <c r="AP55" i="15"/>
  <c r="AO55" i="15"/>
  <c r="AS55" i="15" s="1"/>
  <c r="AN55" i="15"/>
  <c r="AL55" i="15"/>
  <c r="AE55" i="15"/>
  <c r="X55" i="15"/>
  <c r="Q55" i="15"/>
  <c r="J55" i="15"/>
  <c r="AR54" i="15"/>
  <c r="AQ54" i="15"/>
  <c r="AP54" i="15"/>
  <c r="AO54" i="15"/>
  <c r="AN54" i="15"/>
  <c r="AS54" i="15" s="1"/>
  <c r="AL54" i="15"/>
  <c r="AE54" i="15"/>
  <c r="X54" i="15"/>
  <c r="Q54" i="15"/>
  <c r="Q56" i="15" s="1"/>
  <c r="J54" i="15"/>
  <c r="AR53" i="15"/>
  <c r="AQ53" i="15"/>
  <c r="AP53" i="15"/>
  <c r="AO53" i="15"/>
  <c r="AN53" i="15"/>
  <c r="AS53" i="15" s="1"/>
  <c r="AL53" i="15"/>
  <c r="AE53" i="15"/>
  <c r="X53" i="15"/>
  <c r="Q53" i="15"/>
  <c r="J53" i="15"/>
  <c r="AR52" i="15"/>
  <c r="AR56" i="15" s="1"/>
  <c r="AQ52" i="15"/>
  <c r="AP52" i="15"/>
  <c r="AO52" i="15"/>
  <c r="AN52" i="15"/>
  <c r="AS52" i="15" s="1"/>
  <c r="AL52" i="15"/>
  <c r="AE52" i="15"/>
  <c r="X52" i="15"/>
  <c r="Q52" i="15"/>
  <c r="J52" i="15"/>
  <c r="AR51" i="15"/>
  <c r="AQ51" i="15"/>
  <c r="AP51" i="15"/>
  <c r="AO51" i="15"/>
  <c r="AN51" i="15"/>
  <c r="AN56" i="15" s="1"/>
  <c r="AL51" i="15"/>
  <c r="AL56" i="15" s="1"/>
  <c r="AE51" i="15"/>
  <c r="AE56" i="15" s="1"/>
  <c r="X51" i="15"/>
  <c r="X56" i="15" s="1"/>
  <c r="Q51" i="15"/>
  <c r="J51" i="15"/>
  <c r="J56" i="15" s="1"/>
  <c r="AK49" i="15"/>
  <c r="AJ49" i="15"/>
  <c r="AI49" i="15"/>
  <c r="AH49" i="15"/>
  <c r="AG49" i="15"/>
  <c r="AD49" i="15"/>
  <c r="AC49" i="15"/>
  <c r="AB49" i="15"/>
  <c r="AA49" i="15"/>
  <c r="Z49" i="15"/>
  <c r="W49" i="15"/>
  <c r="V49" i="15"/>
  <c r="U49" i="15"/>
  <c r="T49" i="15"/>
  <c r="S49" i="15"/>
  <c r="P49" i="15"/>
  <c r="O49" i="15"/>
  <c r="N49" i="15"/>
  <c r="M49" i="15"/>
  <c r="L49" i="15"/>
  <c r="I49" i="15"/>
  <c r="H49" i="15"/>
  <c r="G49" i="15"/>
  <c r="F49" i="15"/>
  <c r="E49" i="15"/>
  <c r="AR48" i="15"/>
  <c r="AQ48" i="15"/>
  <c r="AQ49" i="15" s="1"/>
  <c r="AP48" i="15"/>
  <c r="AP49" i="15" s="1"/>
  <c r="AO48" i="15"/>
  <c r="AO49" i="15" s="1"/>
  <c r="AN48" i="15"/>
  <c r="AS48" i="15" s="1"/>
  <c r="AL48" i="15"/>
  <c r="AE48" i="15"/>
  <c r="X48" i="15"/>
  <c r="Q48" i="15"/>
  <c r="J48" i="15"/>
  <c r="AR47" i="15"/>
  <c r="AQ47" i="15"/>
  <c r="AP47" i="15"/>
  <c r="AO47" i="15"/>
  <c r="AN47" i="15"/>
  <c r="AS47" i="15" s="1"/>
  <c r="AL47" i="15"/>
  <c r="AE47" i="15"/>
  <c r="X47" i="15"/>
  <c r="Q47" i="15"/>
  <c r="J47" i="15"/>
  <c r="AR46" i="15"/>
  <c r="AQ46" i="15"/>
  <c r="AP46" i="15"/>
  <c r="AO46" i="15"/>
  <c r="AN46" i="15"/>
  <c r="AS46" i="15" s="1"/>
  <c r="AL46" i="15"/>
  <c r="AE46" i="15"/>
  <c r="X46" i="15"/>
  <c r="Q46" i="15"/>
  <c r="J46" i="15"/>
  <c r="AS45" i="15"/>
  <c r="AR45" i="15"/>
  <c r="AQ45" i="15"/>
  <c r="AP45" i="15"/>
  <c r="AO45" i="15"/>
  <c r="AN45" i="15"/>
  <c r="AL45" i="15"/>
  <c r="AL49" i="15" s="1"/>
  <c r="AE45" i="15"/>
  <c r="X45" i="15"/>
  <c r="Q45" i="15"/>
  <c r="J45" i="15"/>
  <c r="AR44" i="15"/>
  <c r="AS44" i="15" s="1"/>
  <c r="AQ44" i="15"/>
  <c r="AP44" i="15"/>
  <c r="AO44" i="15"/>
  <c r="AN44" i="15"/>
  <c r="AN49" i="15" s="1"/>
  <c r="AL44" i="15"/>
  <c r="AE44" i="15"/>
  <c r="AE49" i="15" s="1"/>
  <c r="X44" i="15"/>
  <c r="X49" i="15" s="1"/>
  <c r="Q44" i="15"/>
  <c r="Q49" i="15" s="1"/>
  <c r="J44" i="15"/>
  <c r="J49" i="15" s="1"/>
  <c r="AK42" i="15"/>
  <c r="AJ42" i="15"/>
  <c r="AI42" i="15"/>
  <c r="AH42" i="15"/>
  <c r="AG42" i="15"/>
  <c r="AE42" i="15"/>
  <c r="AD42" i="15"/>
  <c r="AC42" i="15"/>
  <c r="AB42" i="15"/>
  <c r="AA42" i="15"/>
  <c r="Z42" i="15"/>
  <c r="W42" i="15"/>
  <c r="V42" i="15"/>
  <c r="U42" i="15"/>
  <c r="T42" i="15"/>
  <c r="S42" i="15"/>
  <c r="Q42" i="15"/>
  <c r="P42" i="15"/>
  <c r="O42" i="15"/>
  <c r="N42" i="15"/>
  <c r="M42" i="15"/>
  <c r="L42" i="15"/>
  <c r="I42" i="15"/>
  <c r="H42" i="15"/>
  <c r="G42" i="15"/>
  <c r="F42" i="15"/>
  <c r="E42" i="15"/>
  <c r="AR41" i="15"/>
  <c r="AR42" i="15" s="1"/>
  <c r="AQ41" i="15"/>
  <c r="AQ42" i="15" s="1"/>
  <c r="AP41" i="15"/>
  <c r="AO41" i="15"/>
  <c r="AN41" i="15"/>
  <c r="AL41" i="15"/>
  <c r="AE41" i="15"/>
  <c r="X41" i="15"/>
  <c r="Q41" i="15"/>
  <c r="J41" i="15"/>
  <c r="AR40" i="15"/>
  <c r="AQ40" i="15"/>
  <c r="AP40" i="15"/>
  <c r="AS40" i="15" s="1"/>
  <c r="AO40" i="15"/>
  <c r="AN40" i="15"/>
  <c r="AL40" i="15"/>
  <c r="AE40" i="15"/>
  <c r="X40" i="15"/>
  <c r="Q40" i="15"/>
  <c r="J40" i="15"/>
  <c r="AR39" i="15"/>
  <c r="AQ39" i="15"/>
  <c r="AP39" i="15"/>
  <c r="AO39" i="15"/>
  <c r="AS39" i="15" s="1"/>
  <c r="AN39" i="15"/>
  <c r="AL39" i="15"/>
  <c r="AE39" i="15"/>
  <c r="X39" i="15"/>
  <c r="X42" i="15" s="1"/>
  <c r="Q39" i="15"/>
  <c r="J39" i="15"/>
  <c r="AR38" i="15"/>
  <c r="AQ38" i="15"/>
  <c r="AP38" i="15"/>
  <c r="AO38" i="15"/>
  <c r="AN38" i="15"/>
  <c r="AS38" i="15" s="1"/>
  <c r="AL38" i="15"/>
  <c r="AE38" i="15"/>
  <c r="X38" i="15"/>
  <c r="Q38" i="15"/>
  <c r="J38" i="15"/>
  <c r="AR37" i="15"/>
  <c r="AQ37" i="15"/>
  <c r="AP37" i="15"/>
  <c r="AP42" i="15" s="1"/>
  <c r="AO37" i="15"/>
  <c r="AO42" i="15" s="1"/>
  <c r="AN37" i="15"/>
  <c r="AS37" i="15" s="1"/>
  <c r="AL37" i="15"/>
  <c r="AL42" i="15" s="1"/>
  <c r="AE37" i="15"/>
  <c r="X37" i="15"/>
  <c r="Q37" i="15"/>
  <c r="J37" i="15"/>
  <c r="J42" i="15" s="1"/>
  <c r="AR35" i="15"/>
  <c r="AL35" i="15"/>
  <c r="AK35" i="15"/>
  <c r="AJ35" i="15"/>
  <c r="AI35" i="15"/>
  <c r="AH35" i="15"/>
  <c r="AG35" i="15"/>
  <c r="AD35" i="15"/>
  <c r="AC35" i="15"/>
  <c r="AB35" i="15"/>
  <c r="AA35" i="15"/>
  <c r="Z35" i="15"/>
  <c r="W35" i="15"/>
  <c r="V35" i="15"/>
  <c r="U35" i="15"/>
  <c r="T35" i="15"/>
  <c r="S35" i="15"/>
  <c r="P35" i="15"/>
  <c r="O35" i="15"/>
  <c r="N35" i="15"/>
  <c r="M35" i="15"/>
  <c r="L35" i="15"/>
  <c r="I35" i="15"/>
  <c r="H35" i="15"/>
  <c r="G35" i="15"/>
  <c r="F35" i="15"/>
  <c r="E35" i="15"/>
  <c r="AR34" i="15"/>
  <c r="AQ34" i="15"/>
  <c r="AQ35" i="15" s="1"/>
  <c r="AP34" i="15"/>
  <c r="AO34" i="15"/>
  <c r="AN34" i="15"/>
  <c r="AS34" i="15" s="1"/>
  <c r="AL34" i="15"/>
  <c r="AE34" i="15"/>
  <c r="X34" i="15"/>
  <c r="Q34" i="15"/>
  <c r="J34" i="15"/>
  <c r="AR33" i="15"/>
  <c r="AQ33" i="15"/>
  <c r="AP33" i="15"/>
  <c r="AO33" i="15"/>
  <c r="AN33" i="15"/>
  <c r="AS33" i="15" s="1"/>
  <c r="AL33" i="15"/>
  <c r="AE33" i="15"/>
  <c r="X33" i="15"/>
  <c r="X35" i="15" s="1"/>
  <c r="Q33" i="15"/>
  <c r="J33" i="15"/>
  <c r="AR32" i="15"/>
  <c r="AQ32" i="15"/>
  <c r="AP32" i="15"/>
  <c r="AO32" i="15"/>
  <c r="AN32" i="15"/>
  <c r="AS32" i="15" s="1"/>
  <c r="AL32" i="15"/>
  <c r="AE32" i="15"/>
  <c r="X32" i="15"/>
  <c r="Q32" i="15"/>
  <c r="J32" i="15"/>
  <c r="AR31" i="15"/>
  <c r="AQ31" i="15"/>
  <c r="AP31" i="15"/>
  <c r="AO31" i="15"/>
  <c r="AO35" i="15" s="1"/>
  <c r="AN31" i="15"/>
  <c r="AS31" i="15" s="1"/>
  <c r="AL31" i="15"/>
  <c r="AE31" i="15"/>
  <c r="AE35" i="15" s="1"/>
  <c r="X31" i="15"/>
  <c r="Q31" i="15"/>
  <c r="J31" i="15"/>
  <c r="AR30" i="15"/>
  <c r="AQ30" i="15"/>
  <c r="AP30" i="15"/>
  <c r="AP35" i="15" s="1"/>
  <c r="AO30" i="15"/>
  <c r="AN30" i="15"/>
  <c r="AS30" i="15" s="1"/>
  <c r="AL30" i="15"/>
  <c r="AE30" i="15"/>
  <c r="X30" i="15"/>
  <c r="Q30" i="15"/>
  <c r="Q35" i="15" s="1"/>
  <c r="J30" i="15"/>
  <c r="J35" i="15" s="1"/>
  <c r="AK28" i="15"/>
  <c r="AJ28" i="15"/>
  <c r="AI28" i="15"/>
  <c r="AH28" i="15"/>
  <c r="AG28" i="15"/>
  <c r="AE28" i="15"/>
  <c r="AD28" i="15"/>
  <c r="AC28" i="15"/>
  <c r="AB28" i="15"/>
  <c r="AA28" i="15"/>
  <c r="Z28" i="15"/>
  <c r="W28" i="15"/>
  <c r="V28" i="15"/>
  <c r="U28" i="15"/>
  <c r="T28" i="15"/>
  <c r="S28" i="15"/>
  <c r="Q28" i="15"/>
  <c r="P28" i="15"/>
  <c r="O28" i="15"/>
  <c r="N28" i="15"/>
  <c r="M28" i="15"/>
  <c r="L28" i="15"/>
  <c r="I28" i="15"/>
  <c r="H28" i="15"/>
  <c r="G28" i="15"/>
  <c r="F28" i="15"/>
  <c r="E28" i="15"/>
  <c r="AS27" i="15"/>
  <c r="AR27" i="15"/>
  <c r="AQ27" i="15"/>
  <c r="AP27" i="15"/>
  <c r="AO27" i="15"/>
  <c r="AN27" i="15"/>
  <c r="AN28" i="15" s="1"/>
  <c r="AL27" i="15"/>
  <c r="AL28" i="15" s="1"/>
  <c r="AE27" i="15"/>
  <c r="X27" i="15"/>
  <c r="Q27" i="15"/>
  <c r="J27" i="15"/>
  <c r="AR26" i="15"/>
  <c r="AS26" i="15" s="1"/>
  <c r="AQ26" i="15"/>
  <c r="AP26" i="15"/>
  <c r="AO26" i="15"/>
  <c r="AN26" i="15"/>
  <c r="AL26" i="15"/>
  <c r="AE26" i="15"/>
  <c r="X26" i="15"/>
  <c r="Q26" i="15"/>
  <c r="J26" i="15"/>
  <c r="AR25" i="15"/>
  <c r="AQ25" i="15"/>
  <c r="AS25" i="15" s="1"/>
  <c r="AP25" i="15"/>
  <c r="AO25" i="15"/>
  <c r="AN25" i="15"/>
  <c r="AL25" i="15"/>
  <c r="AE25" i="15"/>
  <c r="X25" i="15"/>
  <c r="X28" i="15" s="1"/>
  <c r="Q25" i="15"/>
  <c r="J25" i="15"/>
  <c r="AR24" i="15"/>
  <c r="AQ24" i="15"/>
  <c r="AP24" i="15"/>
  <c r="AS24" i="15" s="1"/>
  <c r="AO24" i="15"/>
  <c r="AN24" i="15"/>
  <c r="AL24" i="15"/>
  <c r="AE24" i="15"/>
  <c r="X24" i="15"/>
  <c r="Q24" i="15"/>
  <c r="J24" i="15"/>
  <c r="AR23" i="15"/>
  <c r="AR28" i="15" s="1"/>
  <c r="AQ23" i="15"/>
  <c r="AQ28" i="15" s="1"/>
  <c r="AP23" i="15"/>
  <c r="AP28" i="15" s="1"/>
  <c r="AO23" i="15"/>
  <c r="AO28" i="15" s="1"/>
  <c r="AN23" i="15"/>
  <c r="AL23" i="15"/>
  <c r="AE23" i="15"/>
  <c r="X23" i="15"/>
  <c r="Q23" i="15"/>
  <c r="J23" i="15"/>
  <c r="J28" i="15" s="1"/>
  <c r="AO21" i="15"/>
  <c r="AK21" i="15"/>
  <c r="AJ21" i="15"/>
  <c r="AI21" i="15"/>
  <c r="AH21" i="15"/>
  <c r="AG21" i="15"/>
  <c r="AD21" i="15"/>
  <c r="AC21" i="15"/>
  <c r="AB21" i="15"/>
  <c r="AA21" i="15"/>
  <c r="Z21" i="15"/>
  <c r="W21" i="15"/>
  <c r="V21" i="15"/>
  <c r="U21" i="15"/>
  <c r="T21" i="15"/>
  <c r="S21" i="15"/>
  <c r="P21" i="15"/>
  <c r="O21" i="15"/>
  <c r="N21" i="15"/>
  <c r="M21" i="15"/>
  <c r="L21" i="15"/>
  <c r="I21" i="15"/>
  <c r="H21" i="15"/>
  <c r="G21" i="15"/>
  <c r="F21" i="15"/>
  <c r="E21" i="15"/>
  <c r="AR20" i="15"/>
  <c r="AQ20" i="15"/>
  <c r="AP20" i="15"/>
  <c r="AP21" i="15" s="1"/>
  <c r="AO20" i="15"/>
  <c r="AN20" i="15"/>
  <c r="AN21" i="15" s="1"/>
  <c r="AL20" i="15"/>
  <c r="AE20" i="15"/>
  <c r="X20" i="15"/>
  <c r="Q20" i="15"/>
  <c r="J20" i="15"/>
  <c r="AR19" i="15"/>
  <c r="AQ19" i="15"/>
  <c r="AP19" i="15"/>
  <c r="AO19" i="15"/>
  <c r="AN19" i="15"/>
  <c r="AS19" i="15" s="1"/>
  <c r="AL19" i="15"/>
  <c r="AE19" i="15"/>
  <c r="X19" i="15"/>
  <c r="Q19" i="15"/>
  <c r="J19" i="15"/>
  <c r="AR18" i="15"/>
  <c r="AQ18" i="15"/>
  <c r="AP18" i="15"/>
  <c r="AO18" i="15"/>
  <c r="AN18" i="15"/>
  <c r="AS18" i="15" s="1"/>
  <c r="AL18" i="15"/>
  <c r="AE18" i="15"/>
  <c r="X18" i="15"/>
  <c r="Q18" i="15"/>
  <c r="J18" i="15"/>
  <c r="AR17" i="15"/>
  <c r="AQ17" i="15"/>
  <c r="AQ21" i="15" s="1"/>
  <c r="AP17" i="15"/>
  <c r="AO17" i="15"/>
  <c r="AN17" i="15"/>
  <c r="AS17" i="15" s="1"/>
  <c r="AL17" i="15"/>
  <c r="AE17" i="15"/>
  <c r="X17" i="15"/>
  <c r="Q17" i="15"/>
  <c r="J17" i="15"/>
  <c r="AR16" i="15"/>
  <c r="AR21" i="15" s="1"/>
  <c r="AQ16" i="15"/>
  <c r="AP16" i="15"/>
  <c r="AO16" i="15"/>
  <c r="AN16" i="15"/>
  <c r="AS16" i="15" s="1"/>
  <c r="AL16" i="15"/>
  <c r="AL21" i="15" s="1"/>
  <c r="AE16" i="15"/>
  <c r="AE21" i="15" s="1"/>
  <c r="X16" i="15"/>
  <c r="X21" i="15" s="1"/>
  <c r="Q16" i="15"/>
  <c r="Q21" i="15" s="1"/>
  <c r="J16" i="15"/>
  <c r="J21" i="15" s="1"/>
  <c r="AN14" i="15"/>
  <c r="AK14" i="15"/>
  <c r="AJ14" i="15"/>
  <c r="AI14" i="15"/>
  <c r="AH14" i="15"/>
  <c r="AG14" i="15"/>
  <c r="AD14" i="15"/>
  <c r="AC14" i="15"/>
  <c r="AB14" i="15"/>
  <c r="AA14" i="15"/>
  <c r="Z14" i="15"/>
  <c r="W14" i="15"/>
  <c r="V14" i="15"/>
  <c r="U14" i="15"/>
  <c r="T14" i="15"/>
  <c r="S14" i="15"/>
  <c r="P14" i="15"/>
  <c r="O14" i="15"/>
  <c r="N14" i="15"/>
  <c r="M14" i="15"/>
  <c r="L14" i="15"/>
  <c r="I14" i="15"/>
  <c r="H14" i="15"/>
  <c r="G14" i="15"/>
  <c r="F14" i="15"/>
  <c r="E14" i="15"/>
  <c r="AR13" i="15"/>
  <c r="AQ13" i="15"/>
  <c r="AP13" i="15"/>
  <c r="AP14" i="15" s="1"/>
  <c r="AO13" i="15"/>
  <c r="AO14" i="15" s="1"/>
  <c r="AN13" i="15"/>
  <c r="AS13" i="15" s="1"/>
  <c r="AL13" i="15"/>
  <c r="AE13" i="15"/>
  <c r="X13" i="15"/>
  <c r="Q13" i="15"/>
  <c r="J13" i="15"/>
  <c r="AR12" i="15"/>
  <c r="AQ12" i="15"/>
  <c r="AP12" i="15"/>
  <c r="AO12" i="15"/>
  <c r="AN12" i="15"/>
  <c r="AS12" i="15" s="1"/>
  <c r="AL12" i="15"/>
  <c r="AE12" i="15"/>
  <c r="X12" i="15"/>
  <c r="Q12" i="15"/>
  <c r="J12" i="15"/>
  <c r="AS11" i="15"/>
  <c r="AR11" i="15"/>
  <c r="AQ11" i="15"/>
  <c r="AP11" i="15"/>
  <c r="AO11" i="15"/>
  <c r="AN11" i="15"/>
  <c r="AL11" i="15"/>
  <c r="AE11" i="15"/>
  <c r="X11" i="15"/>
  <c r="Q11" i="15"/>
  <c r="J11" i="15"/>
  <c r="AR10" i="15"/>
  <c r="AS10" i="15" s="1"/>
  <c r="AQ10" i="15"/>
  <c r="AP10" i="15"/>
  <c r="AO10" i="15"/>
  <c r="AN10" i="15"/>
  <c r="AL10" i="15"/>
  <c r="AE10" i="15"/>
  <c r="X10" i="15"/>
  <c r="Q10" i="15"/>
  <c r="J10" i="15"/>
  <c r="AR9" i="15"/>
  <c r="AR14" i="15" s="1"/>
  <c r="AQ9" i="15"/>
  <c r="AQ14" i="15" s="1"/>
  <c r="AP9" i="15"/>
  <c r="AO9" i="15"/>
  <c r="AN9" i="15"/>
  <c r="AL9" i="15"/>
  <c r="AL14" i="15" s="1"/>
  <c r="AE9" i="15"/>
  <c r="AE14" i="15" s="1"/>
  <c r="X9" i="15"/>
  <c r="X14" i="15" s="1"/>
  <c r="Q9" i="15"/>
  <c r="Q14" i="15" s="1"/>
  <c r="J9" i="15"/>
  <c r="J14" i="15" s="1"/>
  <c r="AK7" i="15"/>
  <c r="AJ7" i="15"/>
  <c r="AI7" i="15"/>
  <c r="AH7" i="15"/>
  <c r="AG7" i="15"/>
  <c r="AD7" i="15"/>
  <c r="AC7" i="15"/>
  <c r="AB7" i="15"/>
  <c r="AA7" i="15"/>
  <c r="Z7" i="15"/>
  <c r="W7" i="15"/>
  <c r="V7" i="15"/>
  <c r="U7" i="15"/>
  <c r="T7" i="15"/>
  <c r="S7" i="15"/>
  <c r="P7" i="15"/>
  <c r="O7" i="15"/>
  <c r="N7" i="15"/>
  <c r="M7" i="15"/>
  <c r="L7" i="15"/>
  <c r="I7" i="15"/>
  <c r="H7" i="15"/>
  <c r="G7" i="15"/>
  <c r="F7" i="15"/>
  <c r="E7" i="15"/>
  <c r="AR6" i="15"/>
  <c r="AR7" i="15" s="1"/>
  <c r="AQ6" i="15"/>
  <c r="AQ7" i="15" s="1"/>
  <c r="AP6" i="15"/>
  <c r="AP7" i="15" s="1"/>
  <c r="AO6" i="15"/>
  <c r="AN6" i="15"/>
  <c r="AL6" i="15"/>
  <c r="AE6" i="15"/>
  <c r="X6" i="15"/>
  <c r="Q6" i="15"/>
  <c r="Q7" i="15" s="1"/>
  <c r="J6" i="15"/>
  <c r="AR5" i="15"/>
  <c r="AQ5" i="15"/>
  <c r="AP5" i="15"/>
  <c r="AO5" i="15"/>
  <c r="AS5" i="15" s="1"/>
  <c r="AN5" i="15"/>
  <c r="AL5" i="15"/>
  <c r="AE5" i="15"/>
  <c r="X5" i="15"/>
  <c r="Q5" i="15"/>
  <c r="J5" i="15"/>
  <c r="AR4" i="15"/>
  <c r="AQ4" i="15"/>
  <c r="AP4" i="15"/>
  <c r="AO4" i="15"/>
  <c r="AN4" i="15"/>
  <c r="AS4" i="15" s="1"/>
  <c r="AL4" i="15"/>
  <c r="AE4" i="15"/>
  <c r="X4" i="15"/>
  <c r="Q4" i="15"/>
  <c r="J4" i="15"/>
  <c r="AR3" i="15"/>
  <c r="AQ3" i="15"/>
  <c r="AP3" i="15"/>
  <c r="AO3" i="15"/>
  <c r="AN3" i="15"/>
  <c r="AS3" i="15" s="1"/>
  <c r="AL3" i="15"/>
  <c r="AE3" i="15"/>
  <c r="X3" i="15"/>
  <c r="X7" i="15" s="1"/>
  <c r="Q3" i="15"/>
  <c r="J3" i="15"/>
  <c r="AR2" i="15"/>
  <c r="AQ2" i="15"/>
  <c r="AP2" i="15"/>
  <c r="AO2" i="15"/>
  <c r="AO7" i="15" s="1"/>
  <c r="AN2" i="15"/>
  <c r="AN7" i="15" s="1"/>
  <c r="AL2" i="15"/>
  <c r="AL7" i="15" s="1"/>
  <c r="AE2" i="15"/>
  <c r="AE7" i="15" s="1"/>
  <c r="X2" i="15"/>
  <c r="Q2" i="15"/>
  <c r="J2" i="15"/>
  <c r="J7" i="15" s="1"/>
  <c r="AA168" i="14"/>
  <c r="Z168" i="14"/>
  <c r="Y168" i="14"/>
  <c r="X168" i="14"/>
  <c r="W168" i="14"/>
  <c r="V168" i="14"/>
  <c r="U168" i="14"/>
  <c r="T168" i="14"/>
  <c r="S168" i="14"/>
  <c r="R168" i="14"/>
  <c r="Q168" i="14"/>
  <c r="O168" i="14"/>
  <c r="M168" i="14"/>
  <c r="L168" i="14"/>
  <c r="J168" i="14"/>
  <c r="H168" i="14"/>
  <c r="G168" i="14"/>
  <c r="F168" i="14"/>
  <c r="E168" i="14"/>
  <c r="AE167" i="14"/>
  <c r="AC167" i="14"/>
  <c r="AB167" i="14"/>
  <c r="AD167" i="14" s="1"/>
  <c r="N167" i="14"/>
  <c r="P167" i="14" s="1"/>
  <c r="I167" i="14"/>
  <c r="K167" i="14" s="1"/>
  <c r="AE166" i="14"/>
  <c r="AC166" i="14"/>
  <c r="AB166" i="14"/>
  <c r="AD166" i="14" s="1"/>
  <c r="P166" i="14"/>
  <c r="N166" i="14"/>
  <c r="I166" i="14"/>
  <c r="K166" i="14" s="1"/>
  <c r="AC165" i="14"/>
  <c r="AE165" i="14" s="1"/>
  <c r="AB165" i="14"/>
  <c r="AD165" i="14" s="1"/>
  <c r="P165" i="14"/>
  <c r="N165" i="14"/>
  <c r="I165" i="14"/>
  <c r="K165" i="14" s="1"/>
  <c r="AE164" i="14"/>
  <c r="AC164" i="14"/>
  <c r="AC168" i="14" s="1"/>
  <c r="AB164" i="14"/>
  <c r="N164" i="14"/>
  <c r="P164" i="14" s="1"/>
  <c r="I164" i="14"/>
  <c r="K164" i="14" s="1"/>
  <c r="AE163" i="14"/>
  <c r="AC163" i="14"/>
  <c r="AB163" i="14"/>
  <c r="AD163" i="14" s="1"/>
  <c r="P163" i="14"/>
  <c r="N163" i="14"/>
  <c r="N168" i="14" s="1"/>
  <c r="I163" i="14"/>
  <c r="K163" i="14" s="1"/>
  <c r="AC161" i="14"/>
  <c r="AB161" i="14"/>
  <c r="AA161" i="14"/>
  <c r="Z161" i="14"/>
  <c r="Y161" i="14"/>
  <c r="X161" i="14"/>
  <c r="W161" i="14"/>
  <c r="V161" i="14"/>
  <c r="U161" i="14"/>
  <c r="T161" i="14"/>
  <c r="S161" i="14"/>
  <c r="R161" i="14"/>
  <c r="Q161" i="14"/>
  <c r="O161" i="14"/>
  <c r="M161" i="14"/>
  <c r="L161" i="14"/>
  <c r="J161" i="14"/>
  <c r="H161" i="14"/>
  <c r="G161" i="14"/>
  <c r="F161" i="14"/>
  <c r="E161" i="14"/>
  <c r="AE160" i="14"/>
  <c r="AD160" i="14"/>
  <c r="AC160" i="14"/>
  <c r="AB160" i="14"/>
  <c r="N160" i="14"/>
  <c r="P160" i="14" s="1"/>
  <c r="I160" i="14"/>
  <c r="K160" i="14" s="1"/>
  <c r="AC159" i="14"/>
  <c r="AE159" i="14" s="1"/>
  <c r="AB159" i="14"/>
  <c r="AD159" i="14" s="1"/>
  <c r="N159" i="14"/>
  <c r="P159" i="14" s="1"/>
  <c r="I159" i="14"/>
  <c r="K159" i="14" s="1"/>
  <c r="AD158" i="14"/>
  <c r="AC158" i="14"/>
  <c r="AE158" i="14" s="1"/>
  <c r="AB158" i="14"/>
  <c r="P158" i="14"/>
  <c r="N158" i="14"/>
  <c r="I158" i="14"/>
  <c r="K158" i="14" s="1"/>
  <c r="AE157" i="14"/>
  <c r="AD157" i="14"/>
  <c r="AC157" i="14"/>
  <c r="AB157" i="14"/>
  <c r="N157" i="14"/>
  <c r="P157" i="14" s="1"/>
  <c r="I157" i="14"/>
  <c r="K157" i="14" s="1"/>
  <c r="AC156" i="14"/>
  <c r="AE156" i="14" s="1"/>
  <c r="AB156" i="14"/>
  <c r="AD156" i="14" s="1"/>
  <c r="N156" i="14"/>
  <c r="N161" i="14" s="1"/>
  <c r="I156" i="14"/>
  <c r="K156" i="14" s="1"/>
  <c r="AA154" i="14"/>
  <c r="Z154" i="14"/>
  <c r="Y154" i="14"/>
  <c r="X154" i="14"/>
  <c r="W154" i="14"/>
  <c r="V154" i="14"/>
  <c r="U154" i="14"/>
  <c r="T154" i="14"/>
  <c r="S154" i="14"/>
  <c r="R154" i="14"/>
  <c r="Q154" i="14"/>
  <c r="O154" i="14"/>
  <c r="M154" i="14"/>
  <c r="L154" i="14"/>
  <c r="J154" i="14"/>
  <c r="H154" i="14"/>
  <c r="G154" i="14"/>
  <c r="F154" i="14"/>
  <c r="E154" i="14"/>
  <c r="AC153" i="14"/>
  <c r="AE153" i="14" s="1"/>
  <c r="AB153" i="14"/>
  <c r="AD153" i="14" s="1"/>
  <c r="N153" i="14"/>
  <c r="P153" i="14" s="1"/>
  <c r="K153" i="14"/>
  <c r="I153" i="14"/>
  <c r="AC152" i="14"/>
  <c r="AE152" i="14" s="1"/>
  <c r="AB152" i="14"/>
  <c r="AD152" i="14" s="1"/>
  <c r="N152" i="14"/>
  <c r="P152" i="14" s="1"/>
  <c r="I152" i="14"/>
  <c r="K152" i="14" s="1"/>
  <c r="AD151" i="14"/>
  <c r="AC151" i="14"/>
  <c r="AE151" i="14" s="1"/>
  <c r="AB151" i="14"/>
  <c r="N151" i="14"/>
  <c r="P151" i="14" s="1"/>
  <c r="K151" i="14"/>
  <c r="I151" i="14"/>
  <c r="AC150" i="14"/>
  <c r="AE150" i="14" s="1"/>
  <c r="AB150" i="14"/>
  <c r="AD150" i="14" s="1"/>
  <c r="N150" i="14"/>
  <c r="P150" i="14" s="1"/>
  <c r="K150" i="14"/>
  <c r="I150" i="14"/>
  <c r="AC149" i="14"/>
  <c r="AE149" i="14" s="1"/>
  <c r="AB149" i="14"/>
  <c r="AD149" i="14" s="1"/>
  <c r="N149" i="14"/>
  <c r="P149" i="14" s="1"/>
  <c r="I149" i="14"/>
  <c r="I154" i="14" s="1"/>
  <c r="AA147" i="14"/>
  <c r="Z147" i="14"/>
  <c r="Y147" i="14"/>
  <c r="X147" i="14"/>
  <c r="W147" i="14"/>
  <c r="V147" i="14"/>
  <c r="U147" i="14"/>
  <c r="T147" i="14"/>
  <c r="S147" i="14"/>
  <c r="R147" i="14"/>
  <c r="Q147" i="14"/>
  <c r="O147" i="14"/>
  <c r="M147" i="14"/>
  <c r="L147" i="14"/>
  <c r="J147" i="14"/>
  <c r="H147" i="14"/>
  <c r="G147" i="14"/>
  <c r="F147" i="14"/>
  <c r="E147" i="14"/>
  <c r="AC146" i="14"/>
  <c r="AE146" i="14" s="1"/>
  <c r="AB146" i="14"/>
  <c r="AD146" i="14" s="1"/>
  <c r="N146" i="14"/>
  <c r="P146" i="14" s="1"/>
  <c r="K146" i="14"/>
  <c r="I146" i="14"/>
  <c r="AC145" i="14"/>
  <c r="AE145" i="14" s="1"/>
  <c r="AB145" i="14"/>
  <c r="AD145" i="14" s="1"/>
  <c r="N145" i="14"/>
  <c r="P145" i="14" s="1"/>
  <c r="I145" i="14"/>
  <c r="K145" i="14" s="1"/>
  <c r="AC144" i="14"/>
  <c r="AE144" i="14" s="1"/>
  <c r="AB144" i="14"/>
  <c r="AD144" i="14" s="1"/>
  <c r="N144" i="14"/>
  <c r="P144" i="14" s="1"/>
  <c r="I144" i="14"/>
  <c r="K144" i="14" s="1"/>
  <c r="AC143" i="14"/>
  <c r="AE143" i="14" s="1"/>
  <c r="AB143" i="14"/>
  <c r="AD143" i="14" s="1"/>
  <c r="N143" i="14"/>
  <c r="N147" i="14" s="1"/>
  <c r="K143" i="14"/>
  <c r="I143" i="14"/>
  <c r="AC142" i="14"/>
  <c r="AE142" i="14" s="1"/>
  <c r="AB142" i="14"/>
  <c r="N142" i="14"/>
  <c r="P142" i="14" s="1"/>
  <c r="I142" i="14"/>
  <c r="K142" i="14" s="1"/>
  <c r="AA140" i="14"/>
  <c r="Z140" i="14"/>
  <c r="Y140" i="14"/>
  <c r="X140" i="14"/>
  <c r="W140" i="14"/>
  <c r="V140" i="14"/>
  <c r="U140" i="14"/>
  <c r="T140" i="14"/>
  <c r="S140" i="14"/>
  <c r="R140" i="14"/>
  <c r="Q140" i="14"/>
  <c r="O140" i="14"/>
  <c r="N140" i="14"/>
  <c r="M140" i="14"/>
  <c r="L140" i="14"/>
  <c r="J140" i="14"/>
  <c r="H140" i="14"/>
  <c r="G140" i="14"/>
  <c r="F140" i="14"/>
  <c r="E140" i="14"/>
  <c r="AC139" i="14"/>
  <c r="AE139" i="14" s="1"/>
  <c r="AB139" i="14"/>
  <c r="AD139" i="14" s="1"/>
  <c r="P139" i="14"/>
  <c r="N139" i="14"/>
  <c r="I139" i="14"/>
  <c r="K139" i="14" s="1"/>
  <c r="AE138" i="14"/>
  <c r="AC138" i="14"/>
  <c r="AB138" i="14"/>
  <c r="AD138" i="14" s="1"/>
  <c r="N138" i="14"/>
  <c r="P138" i="14" s="1"/>
  <c r="I138" i="14"/>
  <c r="K138" i="14" s="1"/>
  <c r="AE137" i="14"/>
  <c r="AC137" i="14"/>
  <c r="AB137" i="14"/>
  <c r="AD137" i="14" s="1"/>
  <c r="P137" i="14"/>
  <c r="N137" i="14"/>
  <c r="I137" i="14"/>
  <c r="K137" i="14" s="1"/>
  <c r="AC136" i="14"/>
  <c r="AC140" i="14" s="1"/>
  <c r="AB136" i="14"/>
  <c r="AD136" i="14" s="1"/>
  <c r="P136" i="14"/>
  <c r="N136" i="14"/>
  <c r="I136" i="14"/>
  <c r="K136" i="14" s="1"/>
  <c r="AE135" i="14"/>
  <c r="AC135" i="14"/>
  <c r="AB135" i="14"/>
  <c r="AD135" i="14" s="1"/>
  <c r="N135" i="14"/>
  <c r="P135" i="14" s="1"/>
  <c r="I135" i="14"/>
  <c r="AA133" i="14"/>
  <c r="Z133" i="14"/>
  <c r="Y133" i="14"/>
  <c r="X133" i="14"/>
  <c r="W133" i="14"/>
  <c r="V133" i="14"/>
  <c r="U133" i="14"/>
  <c r="T133" i="14"/>
  <c r="S133" i="14"/>
  <c r="R133" i="14"/>
  <c r="Q133" i="14"/>
  <c r="O133" i="14"/>
  <c r="M133" i="14"/>
  <c r="L133" i="14"/>
  <c r="J133" i="14"/>
  <c r="H133" i="14"/>
  <c r="G133" i="14"/>
  <c r="F133" i="14"/>
  <c r="E133" i="14"/>
  <c r="AD132" i="14"/>
  <c r="AC132" i="14"/>
  <c r="AE132" i="14" s="1"/>
  <c r="AB132" i="14"/>
  <c r="P132" i="14"/>
  <c r="N132" i="14"/>
  <c r="I132" i="14"/>
  <c r="K132" i="14" s="1"/>
  <c r="AE131" i="14"/>
  <c r="AD131" i="14"/>
  <c r="AC131" i="14"/>
  <c r="AB131" i="14"/>
  <c r="N131" i="14"/>
  <c r="P131" i="14" s="1"/>
  <c r="I131" i="14"/>
  <c r="K131" i="14" s="1"/>
  <c r="AC130" i="14"/>
  <c r="AE130" i="14" s="1"/>
  <c r="AB130" i="14"/>
  <c r="AD130" i="14" s="1"/>
  <c r="N130" i="14"/>
  <c r="P130" i="14" s="1"/>
  <c r="I130" i="14"/>
  <c r="K130" i="14" s="1"/>
  <c r="AD129" i="14"/>
  <c r="AC129" i="14"/>
  <c r="AE129" i="14" s="1"/>
  <c r="AB129" i="14"/>
  <c r="AB133" i="14" s="1"/>
  <c r="P129" i="14"/>
  <c r="N129" i="14"/>
  <c r="I129" i="14"/>
  <c r="K129" i="14" s="1"/>
  <c r="AE128" i="14"/>
  <c r="AE133" i="14" s="1"/>
  <c r="AD128" i="14"/>
  <c r="AD133" i="14" s="1"/>
  <c r="AC128" i="14"/>
  <c r="AC133" i="14" s="1"/>
  <c r="AB128" i="14"/>
  <c r="N128" i="14"/>
  <c r="P128" i="14" s="1"/>
  <c r="I128" i="14"/>
  <c r="K128" i="14" s="1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O126" i="14"/>
  <c r="M126" i="14"/>
  <c r="L126" i="14"/>
  <c r="J126" i="14"/>
  <c r="H126" i="14"/>
  <c r="G126" i="14"/>
  <c r="F126" i="14"/>
  <c r="E126" i="14"/>
  <c r="AD125" i="14"/>
  <c r="AC125" i="14"/>
  <c r="AE125" i="14" s="1"/>
  <c r="AB125" i="14"/>
  <c r="N125" i="14"/>
  <c r="P125" i="14" s="1"/>
  <c r="K125" i="14"/>
  <c r="I125" i="14"/>
  <c r="AC124" i="14"/>
  <c r="AE124" i="14" s="1"/>
  <c r="AB124" i="14"/>
  <c r="AD124" i="14" s="1"/>
  <c r="N124" i="14"/>
  <c r="P124" i="14" s="1"/>
  <c r="K124" i="14"/>
  <c r="I124" i="14"/>
  <c r="AC123" i="14"/>
  <c r="AE123" i="14" s="1"/>
  <c r="AB123" i="14"/>
  <c r="AD123" i="14" s="1"/>
  <c r="N123" i="14"/>
  <c r="P123" i="14" s="1"/>
  <c r="I123" i="14"/>
  <c r="K123" i="14" s="1"/>
  <c r="AD122" i="14"/>
  <c r="AC122" i="14"/>
  <c r="AB122" i="14"/>
  <c r="N122" i="14"/>
  <c r="P122" i="14" s="1"/>
  <c r="K122" i="14"/>
  <c r="I122" i="14"/>
  <c r="I126" i="14" s="1"/>
  <c r="AC121" i="14"/>
  <c r="AE121" i="14" s="1"/>
  <c r="AB121" i="14"/>
  <c r="AD121" i="14" s="1"/>
  <c r="AD126" i="14" s="1"/>
  <c r="N121" i="14"/>
  <c r="P121" i="14" s="1"/>
  <c r="K121" i="14"/>
  <c r="I121" i="14"/>
  <c r="AA119" i="14"/>
  <c r="Z119" i="14"/>
  <c r="Y119" i="14"/>
  <c r="X119" i="14"/>
  <c r="W119" i="14"/>
  <c r="V119" i="14"/>
  <c r="U119" i="14"/>
  <c r="T119" i="14"/>
  <c r="S119" i="14"/>
  <c r="R119" i="14"/>
  <c r="Q119" i="14"/>
  <c r="O119" i="14"/>
  <c r="M119" i="14"/>
  <c r="L119" i="14"/>
  <c r="J119" i="14"/>
  <c r="H119" i="14"/>
  <c r="G119" i="14"/>
  <c r="F119" i="14"/>
  <c r="E119" i="14"/>
  <c r="AC118" i="14"/>
  <c r="AE118" i="14" s="1"/>
  <c r="AB118" i="14"/>
  <c r="AD118" i="14" s="1"/>
  <c r="N118" i="14"/>
  <c r="P118" i="14" s="1"/>
  <c r="I118" i="14"/>
  <c r="K118" i="14" s="1"/>
  <c r="AC117" i="14"/>
  <c r="AE117" i="14" s="1"/>
  <c r="AB117" i="14"/>
  <c r="AD117" i="14" s="1"/>
  <c r="N117" i="14"/>
  <c r="P117" i="14" s="1"/>
  <c r="K117" i="14"/>
  <c r="I117" i="14"/>
  <c r="AC116" i="14"/>
  <c r="AE116" i="14" s="1"/>
  <c r="AB116" i="14"/>
  <c r="AD116" i="14" s="1"/>
  <c r="N116" i="14"/>
  <c r="P116" i="14" s="1"/>
  <c r="I116" i="14"/>
  <c r="K116" i="14" s="1"/>
  <c r="AC115" i="14"/>
  <c r="AB115" i="14"/>
  <c r="AD115" i="14" s="1"/>
  <c r="N115" i="14"/>
  <c r="P115" i="14" s="1"/>
  <c r="I115" i="14"/>
  <c r="K115" i="14" s="1"/>
  <c r="K119" i="14" s="1"/>
  <c r="AC114" i="14"/>
  <c r="AE114" i="14" s="1"/>
  <c r="AB114" i="14"/>
  <c r="AD114" i="14" s="1"/>
  <c r="N114" i="14"/>
  <c r="P114" i="14" s="1"/>
  <c r="K114" i="14"/>
  <c r="I114" i="14"/>
  <c r="AC112" i="14"/>
  <c r="AA112" i="14"/>
  <c r="Z112" i="14"/>
  <c r="Y112" i="14"/>
  <c r="X112" i="14"/>
  <c r="W112" i="14"/>
  <c r="V112" i="14"/>
  <c r="U112" i="14"/>
  <c r="T112" i="14"/>
  <c r="S112" i="14"/>
  <c r="R112" i="14"/>
  <c r="Q112" i="14"/>
  <c r="O112" i="14"/>
  <c r="M112" i="14"/>
  <c r="L112" i="14"/>
  <c r="J112" i="14"/>
  <c r="H112" i="14"/>
  <c r="G112" i="14"/>
  <c r="F112" i="14"/>
  <c r="E112" i="14"/>
  <c r="AE111" i="14"/>
  <c r="AC111" i="14"/>
  <c r="AB111" i="14"/>
  <c r="AD111" i="14" s="1"/>
  <c r="P111" i="14"/>
  <c r="N111" i="14"/>
  <c r="I111" i="14"/>
  <c r="K111" i="14" s="1"/>
  <c r="AC110" i="14"/>
  <c r="AE110" i="14" s="1"/>
  <c r="AB110" i="14"/>
  <c r="AD110" i="14" s="1"/>
  <c r="P110" i="14"/>
  <c r="N110" i="14"/>
  <c r="I110" i="14"/>
  <c r="K110" i="14" s="1"/>
  <c r="AE109" i="14"/>
  <c r="AC109" i="14"/>
  <c r="AB109" i="14"/>
  <c r="AD109" i="14" s="1"/>
  <c r="N109" i="14"/>
  <c r="P109" i="14" s="1"/>
  <c r="I109" i="14"/>
  <c r="K109" i="14" s="1"/>
  <c r="AE108" i="14"/>
  <c r="AC108" i="14"/>
  <c r="AB108" i="14"/>
  <c r="AD108" i="14" s="1"/>
  <c r="P108" i="14"/>
  <c r="N108" i="14"/>
  <c r="N112" i="14" s="1"/>
  <c r="I108" i="14"/>
  <c r="K108" i="14" s="1"/>
  <c r="AC107" i="14"/>
  <c r="AE107" i="14" s="1"/>
  <c r="AB107" i="14"/>
  <c r="AD107" i="14" s="1"/>
  <c r="P107" i="14"/>
  <c r="P112" i="14" s="1"/>
  <c r="N107" i="14"/>
  <c r="I107" i="14"/>
  <c r="K107" i="14" s="1"/>
  <c r="K112" i="14" s="1"/>
  <c r="AA105" i="14"/>
  <c r="Z105" i="14"/>
  <c r="Y105" i="14"/>
  <c r="X105" i="14"/>
  <c r="W105" i="14"/>
  <c r="V105" i="14"/>
  <c r="U105" i="14"/>
  <c r="T105" i="14"/>
  <c r="S105" i="14"/>
  <c r="R105" i="14"/>
  <c r="Q105" i="14"/>
  <c r="O105" i="14"/>
  <c r="M105" i="14"/>
  <c r="L105" i="14"/>
  <c r="J105" i="14"/>
  <c r="H105" i="14"/>
  <c r="G105" i="14"/>
  <c r="F105" i="14"/>
  <c r="E105" i="14"/>
  <c r="AC104" i="14"/>
  <c r="AE104" i="14" s="1"/>
  <c r="AB104" i="14"/>
  <c r="AD104" i="14" s="1"/>
  <c r="N104" i="14"/>
  <c r="P104" i="14" s="1"/>
  <c r="I104" i="14"/>
  <c r="K104" i="14" s="1"/>
  <c r="AD103" i="14"/>
  <c r="AC103" i="14"/>
  <c r="AE103" i="14" s="1"/>
  <c r="AB103" i="14"/>
  <c r="P103" i="14"/>
  <c r="N103" i="14"/>
  <c r="I103" i="14"/>
  <c r="K103" i="14" s="1"/>
  <c r="AE102" i="14"/>
  <c r="AD102" i="14"/>
  <c r="AC102" i="14"/>
  <c r="AB102" i="14"/>
  <c r="N102" i="14"/>
  <c r="P102" i="14" s="1"/>
  <c r="I102" i="14"/>
  <c r="K102" i="14" s="1"/>
  <c r="AC101" i="14"/>
  <c r="AE101" i="14" s="1"/>
  <c r="AB101" i="14"/>
  <c r="AB105" i="14" s="1"/>
  <c r="P101" i="14"/>
  <c r="N101" i="14"/>
  <c r="I101" i="14"/>
  <c r="K101" i="14" s="1"/>
  <c r="AD100" i="14"/>
  <c r="AC100" i="14"/>
  <c r="AE100" i="14" s="1"/>
  <c r="AB100" i="14"/>
  <c r="P100" i="14"/>
  <c r="N100" i="14"/>
  <c r="I100" i="14"/>
  <c r="K100" i="14" s="1"/>
  <c r="K105" i="14" s="1"/>
  <c r="BD98" i="14"/>
  <c r="BC98" i="14"/>
  <c r="BB98" i="14"/>
  <c r="BA98" i="14"/>
  <c r="AZ98" i="14"/>
  <c r="AY98" i="14"/>
  <c r="AX98" i="14"/>
  <c r="AW98" i="14"/>
  <c r="AV98" i="14"/>
  <c r="AU98" i="14"/>
  <c r="AT98" i="14"/>
  <c r="AR98" i="14"/>
  <c r="AP98" i="14"/>
  <c r="AO98" i="14"/>
  <c r="AM98" i="14"/>
  <c r="AK98" i="14"/>
  <c r="AJ98" i="14"/>
  <c r="AI98" i="14"/>
  <c r="AH98" i="14"/>
  <c r="AA98" i="14"/>
  <c r="Z98" i="14"/>
  <c r="Y98" i="14"/>
  <c r="X98" i="14"/>
  <c r="W98" i="14"/>
  <c r="V98" i="14"/>
  <c r="U98" i="14"/>
  <c r="T98" i="14"/>
  <c r="S98" i="14"/>
  <c r="R98" i="14"/>
  <c r="Q98" i="14"/>
  <c r="O98" i="14"/>
  <c r="M98" i="14"/>
  <c r="L98" i="14"/>
  <c r="J98" i="14"/>
  <c r="H98" i="14"/>
  <c r="G98" i="14"/>
  <c r="F98" i="14"/>
  <c r="E98" i="14"/>
  <c r="BF97" i="14"/>
  <c r="BH97" i="14" s="1"/>
  <c r="BE97" i="14"/>
  <c r="BG97" i="14" s="1"/>
  <c r="AQ97" i="14"/>
  <c r="AS97" i="14" s="1"/>
  <c r="AL97" i="14"/>
  <c r="AN97" i="14" s="1"/>
  <c r="AC97" i="14"/>
  <c r="AE97" i="14" s="1"/>
  <c r="AB97" i="14"/>
  <c r="AD97" i="14" s="1"/>
  <c r="N97" i="14"/>
  <c r="P97" i="14" s="1"/>
  <c r="K97" i="14"/>
  <c r="I97" i="14"/>
  <c r="BF96" i="14"/>
  <c r="BH96" i="14" s="1"/>
  <c r="BE96" i="14"/>
  <c r="BG96" i="14" s="1"/>
  <c r="AQ96" i="14"/>
  <c r="AS96" i="14" s="1"/>
  <c r="AL96" i="14"/>
  <c r="AN96" i="14" s="1"/>
  <c r="AC96" i="14"/>
  <c r="AE96" i="14" s="1"/>
  <c r="AB96" i="14"/>
  <c r="AD96" i="14" s="1"/>
  <c r="N96" i="14"/>
  <c r="P96" i="14" s="1"/>
  <c r="I96" i="14"/>
  <c r="K96" i="14" s="1"/>
  <c r="BF95" i="14"/>
  <c r="BH95" i="14" s="1"/>
  <c r="BE95" i="14"/>
  <c r="BG95" i="14" s="1"/>
  <c r="AS95" i="14"/>
  <c r="AQ95" i="14"/>
  <c r="AN95" i="14"/>
  <c r="AL95" i="14"/>
  <c r="AC95" i="14"/>
  <c r="AE95" i="14" s="1"/>
  <c r="AB95" i="14"/>
  <c r="AD95" i="14" s="1"/>
  <c r="N95" i="14"/>
  <c r="P95" i="14" s="1"/>
  <c r="I95" i="14"/>
  <c r="K95" i="14" s="1"/>
  <c r="BF94" i="14"/>
  <c r="BH94" i="14" s="1"/>
  <c r="BE94" i="14"/>
  <c r="BG94" i="14" s="1"/>
  <c r="AQ94" i="14"/>
  <c r="AQ98" i="14" s="1"/>
  <c r="AL94" i="14"/>
  <c r="AC94" i="14"/>
  <c r="AE94" i="14" s="1"/>
  <c r="AB94" i="14"/>
  <c r="AD94" i="14" s="1"/>
  <c r="P94" i="14"/>
  <c r="N94" i="14"/>
  <c r="K94" i="14"/>
  <c r="I94" i="14"/>
  <c r="BF93" i="14"/>
  <c r="BE93" i="14"/>
  <c r="AQ93" i="14"/>
  <c r="AS93" i="14" s="1"/>
  <c r="AL93" i="14"/>
  <c r="AN93" i="14" s="1"/>
  <c r="AC93" i="14"/>
  <c r="AB93" i="14"/>
  <c r="N93" i="14"/>
  <c r="P93" i="14" s="1"/>
  <c r="I93" i="14"/>
  <c r="I98" i="14" s="1"/>
  <c r="AA91" i="14"/>
  <c r="Z91" i="14"/>
  <c r="Y91" i="14"/>
  <c r="X91" i="14"/>
  <c r="W91" i="14"/>
  <c r="V91" i="14"/>
  <c r="U91" i="14"/>
  <c r="T91" i="14"/>
  <c r="S91" i="14"/>
  <c r="R91" i="14"/>
  <c r="Q91" i="14"/>
  <c r="O91" i="14"/>
  <c r="M91" i="14"/>
  <c r="L91" i="14"/>
  <c r="J91" i="14"/>
  <c r="H91" i="14"/>
  <c r="G91" i="14"/>
  <c r="F91" i="14"/>
  <c r="E91" i="14"/>
  <c r="AE90" i="14"/>
  <c r="AC90" i="14"/>
  <c r="AB90" i="14"/>
  <c r="AD90" i="14" s="1"/>
  <c r="N90" i="14"/>
  <c r="P90" i="14" s="1"/>
  <c r="I90" i="14"/>
  <c r="K90" i="14" s="1"/>
  <c r="AE89" i="14"/>
  <c r="AC89" i="14"/>
  <c r="AB89" i="14"/>
  <c r="AD89" i="14" s="1"/>
  <c r="P89" i="14"/>
  <c r="N89" i="14"/>
  <c r="I89" i="14"/>
  <c r="K89" i="14" s="1"/>
  <c r="AC88" i="14"/>
  <c r="AE88" i="14" s="1"/>
  <c r="AB88" i="14"/>
  <c r="AD88" i="14" s="1"/>
  <c r="P88" i="14"/>
  <c r="N88" i="14"/>
  <c r="I88" i="14"/>
  <c r="K88" i="14" s="1"/>
  <c r="AE87" i="14"/>
  <c r="AC87" i="14"/>
  <c r="AC91" i="14" s="1"/>
  <c r="AB87" i="14"/>
  <c r="AB91" i="14" s="1"/>
  <c r="N87" i="14"/>
  <c r="P87" i="14" s="1"/>
  <c r="I87" i="14"/>
  <c r="K87" i="14" s="1"/>
  <c r="AE86" i="14"/>
  <c r="AE91" i="14" s="1"/>
  <c r="AC86" i="14"/>
  <c r="AB86" i="14"/>
  <c r="AD86" i="14" s="1"/>
  <c r="P86" i="14"/>
  <c r="N86" i="14"/>
  <c r="N91" i="14" s="1"/>
  <c r="I86" i="14"/>
  <c r="K86" i="14" s="1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O84" i="14"/>
  <c r="M84" i="14"/>
  <c r="L84" i="14"/>
  <c r="J84" i="14"/>
  <c r="H84" i="14"/>
  <c r="G84" i="14"/>
  <c r="F84" i="14"/>
  <c r="E84" i="14"/>
  <c r="AE83" i="14"/>
  <c r="AD83" i="14"/>
  <c r="AC83" i="14"/>
  <c r="AB83" i="14"/>
  <c r="N83" i="14"/>
  <c r="P83" i="14" s="1"/>
  <c r="K83" i="14"/>
  <c r="I83" i="14"/>
  <c r="AC82" i="14"/>
  <c r="AE82" i="14" s="1"/>
  <c r="AB82" i="14"/>
  <c r="AD82" i="14" s="1"/>
  <c r="N82" i="14"/>
  <c r="P82" i="14" s="1"/>
  <c r="I82" i="14"/>
  <c r="K82" i="14" s="1"/>
  <c r="AD81" i="14"/>
  <c r="AC81" i="14"/>
  <c r="AE81" i="14" s="1"/>
  <c r="AB81" i="14"/>
  <c r="P81" i="14"/>
  <c r="N81" i="14"/>
  <c r="I81" i="14"/>
  <c r="K81" i="14" s="1"/>
  <c r="AE80" i="14"/>
  <c r="AD80" i="14"/>
  <c r="AC80" i="14"/>
  <c r="AB80" i="14"/>
  <c r="N80" i="14"/>
  <c r="P80" i="14" s="1"/>
  <c r="K80" i="14"/>
  <c r="I80" i="14"/>
  <c r="I84" i="14" s="1"/>
  <c r="AC79" i="14"/>
  <c r="AE79" i="14" s="1"/>
  <c r="AB79" i="14"/>
  <c r="AD79" i="14" s="1"/>
  <c r="N79" i="14"/>
  <c r="N84" i="14" s="1"/>
  <c r="I79" i="14"/>
  <c r="K79" i="14" s="1"/>
  <c r="K84" i="14" s="1"/>
  <c r="AA77" i="14"/>
  <c r="Z77" i="14"/>
  <c r="Y77" i="14"/>
  <c r="X77" i="14"/>
  <c r="W77" i="14"/>
  <c r="V77" i="14"/>
  <c r="U77" i="14"/>
  <c r="T77" i="14"/>
  <c r="S77" i="14"/>
  <c r="R77" i="14"/>
  <c r="Q77" i="14"/>
  <c r="O77" i="14"/>
  <c r="M77" i="14"/>
  <c r="L77" i="14"/>
  <c r="J77" i="14"/>
  <c r="H77" i="14"/>
  <c r="G77" i="14"/>
  <c r="F77" i="14"/>
  <c r="E77" i="14"/>
  <c r="AC76" i="14"/>
  <c r="AE76" i="14" s="1"/>
  <c r="AB76" i="14"/>
  <c r="AD76" i="14" s="1"/>
  <c r="N76" i="14"/>
  <c r="P76" i="14" s="1"/>
  <c r="K76" i="14"/>
  <c r="I76" i="14"/>
  <c r="AC75" i="14"/>
  <c r="AE75" i="14" s="1"/>
  <c r="AB75" i="14"/>
  <c r="AD75" i="14" s="1"/>
  <c r="N75" i="14"/>
  <c r="P75" i="14" s="1"/>
  <c r="I75" i="14"/>
  <c r="K75" i="14" s="1"/>
  <c r="AD74" i="14"/>
  <c r="AC74" i="14"/>
  <c r="AE74" i="14" s="1"/>
  <c r="AB74" i="14"/>
  <c r="N74" i="14"/>
  <c r="P74" i="14" s="1"/>
  <c r="K74" i="14"/>
  <c r="I74" i="14"/>
  <c r="AC73" i="14"/>
  <c r="AE73" i="14" s="1"/>
  <c r="AB73" i="14"/>
  <c r="AD73" i="14" s="1"/>
  <c r="N73" i="14"/>
  <c r="P73" i="14" s="1"/>
  <c r="K73" i="14"/>
  <c r="I73" i="14"/>
  <c r="AC72" i="14"/>
  <c r="AE72" i="14" s="1"/>
  <c r="AB72" i="14"/>
  <c r="AD72" i="14" s="1"/>
  <c r="N72" i="14"/>
  <c r="P72" i="14" s="1"/>
  <c r="I72" i="14"/>
  <c r="I77" i="14" s="1"/>
  <c r="AA70" i="14"/>
  <c r="Z70" i="14"/>
  <c r="Y70" i="14"/>
  <c r="X70" i="14"/>
  <c r="W70" i="14"/>
  <c r="V70" i="14"/>
  <c r="U70" i="14"/>
  <c r="T70" i="14"/>
  <c r="S70" i="14"/>
  <c r="R70" i="14"/>
  <c r="Q70" i="14"/>
  <c r="O70" i="14"/>
  <c r="M70" i="14"/>
  <c r="L70" i="14"/>
  <c r="J70" i="14"/>
  <c r="H70" i="14"/>
  <c r="G70" i="14"/>
  <c r="F70" i="14"/>
  <c r="E70" i="14"/>
  <c r="AC69" i="14"/>
  <c r="AE69" i="14" s="1"/>
  <c r="AB69" i="14"/>
  <c r="AD69" i="14" s="1"/>
  <c r="P69" i="14"/>
  <c r="N69" i="14"/>
  <c r="K69" i="14"/>
  <c r="I69" i="14"/>
  <c r="AC68" i="14"/>
  <c r="AE68" i="14" s="1"/>
  <c r="AB68" i="14"/>
  <c r="AD68" i="14" s="1"/>
  <c r="N68" i="14"/>
  <c r="P68" i="14" s="1"/>
  <c r="I68" i="14"/>
  <c r="K68" i="14" s="1"/>
  <c r="AC67" i="14"/>
  <c r="AE67" i="14" s="1"/>
  <c r="AB67" i="14"/>
  <c r="AD67" i="14" s="1"/>
  <c r="N67" i="14"/>
  <c r="P67" i="14" s="1"/>
  <c r="K67" i="14"/>
  <c r="I67" i="14"/>
  <c r="AC66" i="14"/>
  <c r="AE66" i="14" s="1"/>
  <c r="AB66" i="14"/>
  <c r="AD66" i="14" s="1"/>
  <c r="P66" i="14"/>
  <c r="N66" i="14"/>
  <c r="N70" i="14" s="1"/>
  <c r="K66" i="14"/>
  <c r="I66" i="14"/>
  <c r="I70" i="14" s="1"/>
  <c r="AC65" i="14"/>
  <c r="AE65" i="14" s="1"/>
  <c r="AE70" i="14" s="1"/>
  <c r="AB65" i="14"/>
  <c r="N65" i="14"/>
  <c r="P65" i="14" s="1"/>
  <c r="I65" i="14"/>
  <c r="K65" i="14" s="1"/>
  <c r="AA63" i="14"/>
  <c r="Z63" i="14"/>
  <c r="Y63" i="14"/>
  <c r="X63" i="14"/>
  <c r="W63" i="14"/>
  <c r="V63" i="14"/>
  <c r="U63" i="14"/>
  <c r="T63" i="14"/>
  <c r="S63" i="14"/>
  <c r="R63" i="14"/>
  <c r="Q63" i="14"/>
  <c r="O63" i="14"/>
  <c r="N63" i="14"/>
  <c r="M63" i="14"/>
  <c r="L63" i="14"/>
  <c r="J63" i="14"/>
  <c r="H63" i="14"/>
  <c r="G63" i="14"/>
  <c r="F63" i="14"/>
  <c r="E63" i="14"/>
  <c r="AC62" i="14"/>
  <c r="AE62" i="14" s="1"/>
  <c r="AB62" i="14"/>
  <c r="AD62" i="14" s="1"/>
  <c r="P62" i="14"/>
  <c r="N62" i="14"/>
  <c r="I62" i="14"/>
  <c r="K62" i="14" s="1"/>
  <c r="AE61" i="14"/>
  <c r="AC61" i="14"/>
  <c r="AB61" i="14"/>
  <c r="AD61" i="14" s="1"/>
  <c r="N61" i="14"/>
  <c r="P61" i="14" s="1"/>
  <c r="I61" i="14"/>
  <c r="K61" i="14" s="1"/>
  <c r="AE60" i="14"/>
  <c r="AC60" i="14"/>
  <c r="AB60" i="14"/>
  <c r="AD60" i="14" s="1"/>
  <c r="P60" i="14"/>
  <c r="N60" i="14"/>
  <c r="I60" i="14"/>
  <c r="K60" i="14" s="1"/>
  <c r="AC59" i="14"/>
  <c r="AC63" i="14" s="1"/>
  <c r="AB59" i="14"/>
  <c r="AD59" i="14" s="1"/>
  <c r="P59" i="14"/>
  <c r="N59" i="14"/>
  <c r="I59" i="14"/>
  <c r="K59" i="14" s="1"/>
  <c r="AE58" i="14"/>
  <c r="AC58" i="14"/>
  <c r="AB58" i="14"/>
  <c r="AD58" i="14" s="1"/>
  <c r="N58" i="14"/>
  <c r="P58" i="14" s="1"/>
  <c r="P63" i="14" s="1"/>
  <c r="I58" i="14"/>
  <c r="AA56" i="14"/>
  <c r="Z56" i="14"/>
  <c r="Y56" i="14"/>
  <c r="X56" i="14"/>
  <c r="W56" i="14"/>
  <c r="V56" i="14"/>
  <c r="U56" i="14"/>
  <c r="T56" i="14"/>
  <c r="S56" i="14"/>
  <c r="R56" i="14"/>
  <c r="Q56" i="14"/>
  <c r="O56" i="14"/>
  <c r="M56" i="14"/>
  <c r="L56" i="14"/>
  <c r="J56" i="14"/>
  <c r="H56" i="14"/>
  <c r="G56" i="14"/>
  <c r="F56" i="14"/>
  <c r="E56" i="14"/>
  <c r="AD55" i="14"/>
  <c r="AC55" i="14"/>
  <c r="AE55" i="14" s="1"/>
  <c r="AB55" i="14"/>
  <c r="P55" i="14"/>
  <c r="N55" i="14"/>
  <c r="I55" i="14"/>
  <c r="K55" i="14" s="1"/>
  <c r="AE54" i="14"/>
  <c r="AD54" i="14"/>
  <c r="AC54" i="14"/>
  <c r="AB54" i="14"/>
  <c r="N54" i="14"/>
  <c r="P54" i="14" s="1"/>
  <c r="K54" i="14"/>
  <c r="I54" i="14"/>
  <c r="AC53" i="14"/>
  <c r="AE53" i="14" s="1"/>
  <c r="AB53" i="14"/>
  <c r="AD53" i="14" s="1"/>
  <c r="N53" i="14"/>
  <c r="P53" i="14" s="1"/>
  <c r="I53" i="14"/>
  <c r="K53" i="14" s="1"/>
  <c r="AD52" i="14"/>
  <c r="AC52" i="14"/>
  <c r="AE52" i="14" s="1"/>
  <c r="AB52" i="14"/>
  <c r="AB56" i="14" s="1"/>
  <c r="P52" i="14"/>
  <c r="N52" i="14"/>
  <c r="I52" i="14"/>
  <c r="I56" i="14" s="1"/>
  <c r="AE51" i="14"/>
  <c r="AE56" i="14" s="1"/>
  <c r="AD51" i="14"/>
  <c r="AC51" i="14"/>
  <c r="AC56" i="14" s="1"/>
  <c r="AB51" i="14"/>
  <c r="N51" i="14"/>
  <c r="P51" i="14" s="1"/>
  <c r="K51" i="14"/>
  <c r="I51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O49" i="14"/>
  <c r="M49" i="14"/>
  <c r="L49" i="14"/>
  <c r="J49" i="14"/>
  <c r="H49" i="14"/>
  <c r="G49" i="14"/>
  <c r="F49" i="14"/>
  <c r="E49" i="14"/>
  <c r="AD48" i="14"/>
  <c r="AC48" i="14"/>
  <c r="AE48" i="14" s="1"/>
  <c r="AB48" i="14"/>
  <c r="N48" i="14"/>
  <c r="P48" i="14" s="1"/>
  <c r="K48" i="14"/>
  <c r="I48" i="14"/>
  <c r="AC47" i="14"/>
  <c r="AE47" i="14" s="1"/>
  <c r="AB47" i="14"/>
  <c r="AD47" i="14" s="1"/>
  <c r="N47" i="14"/>
  <c r="P47" i="14" s="1"/>
  <c r="K47" i="14"/>
  <c r="I47" i="14"/>
  <c r="AC46" i="14"/>
  <c r="AE46" i="14" s="1"/>
  <c r="AB46" i="14"/>
  <c r="AD46" i="14" s="1"/>
  <c r="N46" i="14"/>
  <c r="P46" i="14" s="1"/>
  <c r="I46" i="14"/>
  <c r="K46" i="14" s="1"/>
  <c r="AD45" i="14"/>
  <c r="AC45" i="14"/>
  <c r="AB45" i="14"/>
  <c r="N45" i="14"/>
  <c r="P45" i="14" s="1"/>
  <c r="K45" i="14"/>
  <c r="I45" i="14"/>
  <c r="I49" i="14" s="1"/>
  <c r="AC44" i="14"/>
  <c r="AE44" i="14" s="1"/>
  <c r="AB44" i="14"/>
  <c r="AD44" i="14" s="1"/>
  <c r="AD49" i="14" s="1"/>
  <c r="N44" i="14"/>
  <c r="P44" i="14" s="1"/>
  <c r="K44" i="14"/>
  <c r="I44" i="14"/>
  <c r="AA42" i="14"/>
  <c r="Z42" i="14"/>
  <c r="Y42" i="14"/>
  <c r="X42" i="14"/>
  <c r="W42" i="14"/>
  <c r="V42" i="14"/>
  <c r="U42" i="14"/>
  <c r="T42" i="14"/>
  <c r="S42" i="14"/>
  <c r="R42" i="14"/>
  <c r="Q42" i="14"/>
  <c r="O42" i="14"/>
  <c r="M42" i="14"/>
  <c r="L42" i="14"/>
  <c r="J42" i="14"/>
  <c r="H42" i="14"/>
  <c r="G42" i="14"/>
  <c r="F42" i="14"/>
  <c r="E42" i="14"/>
  <c r="AC41" i="14"/>
  <c r="AE41" i="14" s="1"/>
  <c r="AB41" i="14"/>
  <c r="AD41" i="14" s="1"/>
  <c r="N41" i="14"/>
  <c r="P41" i="14" s="1"/>
  <c r="I41" i="14"/>
  <c r="K41" i="14" s="1"/>
  <c r="AC40" i="14"/>
  <c r="AE40" i="14" s="1"/>
  <c r="AB40" i="14"/>
  <c r="AD40" i="14" s="1"/>
  <c r="P40" i="14"/>
  <c r="N40" i="14"/>
  <c r="K40" i="14"/>
  <c r="I40" i="14"/>
  <c r="AC39" i="14"/>
  <c r="AE39" i="14" s="1"/>
  <c r="AB39" i="14"/>
  <c r="AD39" i="14" s="1"/>
  <c r="N39" i="14"/>
  <c r="P39" i="14" s="1"/>
  <c r="I39" i="14"/>
  <c r="K39" i="14" s="1"/>
  <c r="AC38" i="14"/>
  <c r="AB38" i="14"/>
  <c r="AD38" i="14" s="1"/>
  <c r="N38" i="14"/>
  <c r="N42" i="14" s="1"/>
  <c r="K38" i="14"/>
  <c r="I38" i="14"/>
  <c r="I42" i="14" s="1"/>
  <c r="AC37" i="14"/>
  <c r="AE37" i="14" s="1"/>
  <c r="AB37" i="14"/>
  <c r="AD37" i="14" s="1"/>
  <c r="P37" i="14"/>
  <c r="N37" i="14"/>
  <c r="K37" i="14"/>
  <c r="I37" i="14"/>
  <c r="AA35" i="14"/>
  <c r="Z35" i="14"/>
  <c r="Y35" i="14"/>
  <c r="X35" i="14"/>
  <c r="W35" i="14"/>
  <c r="V35" i="14"/>
  <c r="U35" i="14"/>
  <c r="T35" i="14"/>
  <c r="S35" i="14"/>
  <c r="R35" i="14"/>
  <c r="O35" i="14"/>
  <c r="M35" i="14"/>
  <c r="L35" i="14"/>
  <c r="J35" i="14"/>
  <c r="H35" i="14"/>
  <c r="G35" i="14"/>
  <c r="F35" i="14"/>
  <c r="E35" i="14"/>
  <c r="AE34" i="14"/>
  <c r="AC34" i="14"/>
  <c r="AB34" i="14"/>
  <c r="AD34" i="14" s="1"/>
  <c r="P34" i="14"/>
  <c r="N34" i="14"/>
  <c r="K34" i="14"/>
  <c r="Q34" i="14" s="1"/>
  <c r="I34" i="14"/>
  <c r="AC33" i="14"/>
  <c r="AE33" i="14" s="1"/>
  <c r="AB33" i="14"/>
  <c r="AD33" i="14" s="1"/>
  <c r="N33" i="14"/>
  <c r="P33" i="14" s="1"/>
  <c r="K33" i="14"/>
  <c r="Q33" i="14" s="1"/>
  <c r="I33" i="14"/>
  <c r="AC32" i="14"/>
  <c r="AE32" i="14" s="1"/>
  <c r="AB32" i="14"/>
  <c r="AD32" i="14" s="1"/>
  <c r="N32" i="14"/>
  <c r="P32" i="14" s="1"/>
  <c r="I32" i="14"/>
  <c r="K32" i="14" s="1"/>
  <c r="AD31" i="14"/>
  <c r="AC31" i="14"/>
  <c r="AE31" i="14" s="1"/>
  <c r="AB31" i="14"/>
  <c r="N31" i="14"/>
  <c r="P31" i="14" s="1"/>
  <c r="I31" i="14"/>
  <c r="AE30" i="14"/>
  <c r="AC30" i="14"/>
  <c r="AB30" i="14"/>
  <c r="AD30" i="14" s="1"/>
  <c r="AD35" i="14" s="1"/>
  <c r="P30" i="14"/>
  <c r="N30" i="14"/>
  <c r="K30" i="14"/>
  <c r="Q30" i="14" s="1"/>
  <c r="I30" i="14"/>
  <c r="AA28" i="14"/>
  <c r="Z28" i="14"/>
  <c r="Y28" i="14"/>
  <c r="X28" i="14"/>
  <c r="W28" i="14"/>
  <c r="V28" i="14"/>
  <c r="U28" i="14"/>
  <c r="T28" i="14"/>
  <c r="S28" i="14"/>
  <c r="R28" i="14"/>
  <c r="O28" i="14"/>
  <c r="M28" i="14"/>
  <c r="L28" i="14"/>
  <c r="J28" i="14"/>
  <c r="H28" i="14"/>
  <c r="G28" i="14"/>
  <c r="F28" i="14"/>
  <c r="E28" i="14"/>
  <c r="AE27" i="14"/>
  <c r="AC27" i="14"/>
  <c r="AB27" i="14"/>
  <c r="AD27" i="14" s="1"/>
  <c r="P27" i="14"/>
  <c r="N27" i="14"/>
  <c r="K27" i="14"/>
  <c r="Q27" i="14" s="1"/>
  <c r="I27" i="14"/>
  <c r="AC26" i="14"/>
  <c r="AE26" i="14" s="1"/>
  <c r="AB26" i="14"/>
  <c r="AD26" i="14" s="1"/>
  <c r="N26" i="14"/>
  <c r="P26" i="14" s="1"/>
  <c r="K26" i="14"/>
  <c r="I26" i="14"/>
  <c r="AC25" i="14"/>
  <c r="AE25" i="14" s="1"/>
  <c r="AB25" i="14"/>
  <c r="AD25" i="14" s="1"/>
  <c r="P25" i="14"/>
  <c r="N25" i="14"/>
  <c r="I25" i="14"/>
  <c r="K25" i="14" s="1"/>
  <c r="Q25" i="14" s="1"/>
  <c r="AD24" i="14"/>
  <c r="AC24" i="14"/>
  <c r="AE24" i="14" s="1"/>
  <c r="AB24" i="14"/>
  <c r="N24" i="14"/>
  <c r="P24" i="14" s="1"/>
  <c r="P28" i="14" s="1"/>
  <c r="I24" i="14"/>
  <c r="I28" i="14" s="1"/>
  <c r="AE23" i="14"/>
  <c r="AC23" i="14"/>
  <c r="AB23" i="14"/>
  <c r="AD23" i="14" s="1"/>
  <c r="P23" i="14"/>
  <c r="N23" i="14"/>
  <c r="N28" i="14" s="1"/>
  <c r="K23" i="14"/>
  <c r="Q23" i="14" s="1"/>
  <c r="I23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O21" i="14"/>
  <c r="M21" i="14"/>
  <c r="L21" i="14"/>
  <c r="J21" i="14"/>
  <c r="H21" i="14"/>
  <c r="G21" i="14"/>
  <c r="F21" i="14"/>
  <c r="E21" i="14"/>
  <c r="AE20" i="14"/>
  <c r="AC20" i="14"/>
  <c r="AB20" i="14"/>
  <c r="AD20" i="14" s="1"/>
  <c r="P20" i="14"/>
  <c r="N20" i="14"/>
  <c r="K20" i="14"/>
  <c r="Q20" i="14" s="1"/>
  <c r="I20" i="14"/>
  <c r="AC19" i="14"/>
  <c r="AE19" i="14" s="1"/>
  <c r="AB19" i="14"/>
  <c r="AD19" i="14" s="1"/>
  <c r="N19" i="14"/>
  <c r="P19" i="14" s="1"/>
  <c r="K19" i="14"/>
  <c r="Q19" i="14" s="1"/>
  <c r="I19" i="14"/>
  <c r="AC18" i="14"/>
  <c r="AE18" i="14" s="1"/>
  <c r="AB18" i="14"/>
  <c r="AD18" i="14" s="1"/>
  <c r="N18" i="14"/>
  <c r="P18" i="14" s="1"/>
  <c r="P21" i="14" s="1"/>
  <c r="I18" i="14"/>
  <c r="K18" i="14" s="1"/>
  <c r="AD17" i="14"/>
  <c r="AC17" i="14"/>
  <c r="AE17" i="14" s="1"/>
  <c r="AB17" i="14"/>
  <c r="N17" i="14"/>
  <c r="P17" i="14" s="1"/>
  <c r="I17" i="14"/>
  <c r="I21" i="14" s="1"/>
  <c r="AE16" i="14"/>
  <c r="AC16" i="14"/>
  <c r="AB16" i="14"/>
  <c r="AD16" i="14" s="1"/>
  <c r="P16" i="14"/>
  <c r="N16" i="14"/>
  <c r="N21" i="14" s="1"/>
  <c r="K16" i="14"/>
  <c r="Q16" i="14" s="1"/>
  <c r="I16" i="14"/>
  <c r="AA14" i="14"/>
  <c r="Z14" i="14"/>
  <c r="Y14" i="14"/>
  <c r="X14" i="14"/>
  <c r="W14" i="14"/>
  <c r="V14" i="14"/>
  <c r="U14" i="14"/>
  <c r="T14" i="14"/>
  <c r="S14" i="14"/>
  <c r="R14" i="14"/>
  <c r="O14" i="14"/>
  <c r="M14" i="14"/>
  <c r="L14" i="14"/>
  <c r="J14" i="14"/>
  <c r="H14" i="14"/>
  <c r="G14" i="14"/>
  <c r="F14" i="14"/>
  <c r="E14" i="14"/>
  <c r="AE13" i="14"/>
  <c r="AC13" i="14"/>
  <c r="AB13" i="14"/>
  <c r="AD13" i="14" s="1"/>
  <c r="P13" i="14"/>
  <c r="N13" i="14"/>
  <c r="K13" i="14"/>
  <c r="Q13" i="14" s="1"/>
  <c r="I13" i="14"/>
  <c r="AC12" i="14"/>
  <c r="AE12" i="14" s="1"/>
  <c r="AB12" i="14"/>
  <c r="AD12" i="14" s="1"/>
  <c r="N12" i="14"/>
  <c r="P12" i="14" s="1"/>
  <c r="K12" i="14"/>
  <c r="Q12" i="14" s="1"/>
  <c r="I12" i="14"/>
  <c r="AC11" i="14"/>
  <c r="AE11" i="14" s="1"/>
  <c r="AB11" i="14"/>
  <c r="AD11" i="14" s="1"/>
  <c r="N11" i="14"/>
  <c r="P11" i="14" s="1"/>
  <c r="I11" i="14"/>
  <c r="K11" i="14" s="1"/>
  <c r="Q11" i="14" s="1"/>
  <c r="AD10" i="14"/>
  <c r="AC10" i="14"/>
  <c r="AE10" i="14" s="1"/>
  <c r="AB10" i="14"/>
  <c r="N10" i="14"/>
  <c r="P10" i="14" s="1"/>
  <c r="P14" i="14" s="1"/>
  <c r="I10" i="14"/>
  <c r="I14" i="14" s="1"/>
  <c r="AE9" i="14"/>
  <c r="AE14" i="14" s="1"/>
  <c r="AC9" i="14"/>
  <c r="AB9" i="14"/>
  <c r="AD9" i="14" s="1"/>
  <c r="P9" i="14"/>
  <c r="N9" i="14"/>
  <c r="N14" i="14" s="1"/>
  <c r="K9" i="14"/>
  <c r="Q9" i="14" s="1"/>
  <c r="I9" i="14"/>
  <c r="AC7" i="14"/>
  <c r="AB7" i="14"/>
  <c r="AA7" i="14"/>
  <c r="Z7" i="14"/>
  <c r="Y7" i="14"/>
  <c r="X7" i="14"/>
  <c r="W7" i="14"/>
  <c r="V7" i="14"/>
  <c r="U7" i="14"/>
  <c r="T7" i="14"/>
  <c r="S7" i="14"/>
  <c r="R7" i="14"/>
  <c r="O7" i="14"/>
  <c r="M7" i="14"/>
  <c r="L7" i="14"/>
  <c r="J7" i="14"/>
  <c r="H7" i="14"/>
  <c r="G7" i="14"/>
  <c r="F7" i="14"/>
  <c r="E7" i="14"/>
  <c r="AE6" i="14"/>
  <c r="AC6" i="14"/>
  <c r="AB6" i="14"/>
  <c r="AD6" i="14" s="1"/>
  <c r="P6" i="14"/>
  <c r="N6" i="14"/>
  <c r="K6" i="14"/>
  <c r="Q6" i="14" s="1"/>
  <c r="I6" i="14"/>
  <c r="AC5" i="14"/>
  <c r="AE5" i="14" s="1"/>
  <c r="AB5" i="14"/>
  <c r="AD5" i="14" s="1"/>
  <c r="N5" i="14"/>
  <c r="P5" i="14" s="1"/>
  <c r="K5" i="14"/>
  <c r="Q5" i="14" s="1"/>
  <c r="I5" i="14"/>
  <c r="AC4" i="14"/>
  <c r="AE4" i="14" s="1"/>
  <c r="AB4" i="14"/>
  <c r="AD4" i="14" s="1"/>
  <c r="N4" i="14"/>
  <c r="P4" i="14" s="1"/>
  <c r="P7" i="14" s="1"/>
  <c r="I4" i="14"/>
  <c r="K4" i="14" s="1"/>
  <c r="Q4" i="14" s="1"/>
  <c r="AD3" i="14"/>
  <c r="AC3" i="14"/>
  <c r="AE3" i="14" s="1"/>
  <c r="AB3" i="14"/>
  <c r="N3" i="14"/>
  <c r="P3" i="14" s="1"/>
  <c r="I3" i="14"/>
  <c r="I7" i="14" s="1"/>
  <c r="AE2" i="14"/>
  <c r="AC2" i="14"/>
  <c r="AB2" i="14"/>
  <c r="AD2" i="14" s="1"/>
  <c r="P2" i="14"/>
  <c r="N2" i="14"/>
  <c r="K2" i="14"/>
  <c r="Q2" i="14" s="1"/>
  <c r="I2" i="14"/>
  <c r="AL7" i="7"/>
  <c r="AJ7" i="7"/>
  <c r="AH7" i="7"/>
  <c r="AK7" i="7"/>
  <c r="AI7" i="7"/>
  <c r="AG7" i="7"/>
  <c r="AD7" i="7"/>
  <c r="AF7" i="7"/>
  <c r="P7" i="7"/>
  <c r="N7" i="7"/>
  <c r="M7" i="7"/>
  <c r="K7" i="7"/>
  <c r="I7" i="7"/>
  <c r="H7" i="7"/>
  <c r="G7" i="7"/>
  <c r="F7" i="7"/>
  <c r="AN6" i="7"/>
  <c r="AP6" i="7" s="1"/>
  <c r="AM6" i="7"/>
  <c r="AO6" i="7" s="1"/>
  <c r="O6" i="7"/>
  <c r="Q6" i="7" s="1"/>
  <c r="J6" i="7"/>
  <c r="L6" i="7" s="1"/>
  <c r="AN5" i="7"/>
  <c r="AP5" i="7" s="1"/>
  <c r="AM5" i="7"/>
  <c r="AO5" i="7" s="1"/>
  <c r="O5" i="7"/>
  <c r="Q5" i="7" s="1"/>
  <c r="J5" i="7"/>
  <c r="L5" i="7" s="1"/>
  <c r="AN4" i="7"/>
  <c r="AP4" i="7" s="1"/>
  <c r="AM4" i="7"/>
  <c r="AO4" i="7" s="1"/>
  <c r="O4" i="7"/>
  <c r="Q4" i="7" s="1"/>
  <c r="J4" i="7"/>
  <c r="L4" i="7" s="1"/>
  <c r="AN3" i="7"/>
  <c r="AP3" i="7" s="1"/>
  <c r="AM3" i="7"/>
  <c r="AO3" i="7" s="1"/>
  <c r="O3" i="7"/>
  <c r="Q3" i="7" s="1"/>
  <c r="J3" i="7"/>
  <c r="L3" i="7" s="1"/>
  <c r="AN2" i="7"/>
  <c r="AB2" i="7" s="1"/>
  <c r="AM2" i="7"/>
  <c r="AO2" i="7" s="1"/>
  <c r="O2" i="7"/>
  <c r="Q2" i="7" s="1"/>
  <c r="J2" i="7"/>
  <c r="AL21" i="7"/>
  <c r="AJ21" i="7"/>
  <c r="AH21" i="7"/>
  <c r="AK21" i="7"/>
  <c r="AI21" i="7"/>
  <c r="AG21" i="7"/>
  <c r="AD21" i="7"/>
  <c r="AF21" i="7"/>
  <c r="R21" i="7"/>
  <c r="P21" i="7"/>
  <c r="N21" i="7"/>
  <c r="M21" i="7"/>
  <c r="K21" i="7"/>
  <c r="I21" i="7"/>
  <c r="H21" i="7"/>
  <c r="G21" i="7"/>
  <c r="F21" i="7"/>
  <c r="AN20" i="7"/>
  <c r="AP20" i="7" s="1"/>
  <c r="AM20" i="7"/>
  <c r="AO20" i="7" s="1"/>
  <c r="O20" i="7"/>
  <c r="Q20" i="7" s="1"/>
  <c r="J20" i="7"/>
  <c r="L20" i="7" s="1"/>
  <c r="AN19" i="7"/>
  <c r="AP19" i="7" s="1"/>
  <c r="AM19" i="7"/>
  <c r="AO19" i="7" s="1"/>
  <c r="O19" i="7"/>
  <c r="Q19" i="7" s="1"/>
  <c r="J19" i="7"/>
  <c r="L19" i="7" s="1"/>
  <c r="AN18" i="7"/>
  <c r="AP18" i="7" s="1"/>
  <c r="AM18" i="7"/>
  <c r="AO18" i="7" s="1"/>
  <c r="O18" i="7"/>
  <c r="Q18" i="7" s="1"/>
  <c r="J18" i="7"/>
  <c r="L18" i="7" s="1"/>
  <c r="AN17" i="7"/>
  <c r="AB17" i="7" s="1"/>
  <c r="AM17" i="7"/>
  <c r="AO17" i="7" s="1"/>
  <c r="O17" i="7"/>
  <c r="Q17" i="7" s="1"/>
  <c r="J17" i="7"/>
  <c r="AN16" i="7"/>
  <c r="AP16" i="7" s="1"/>
  <c r="AM16" i="7"/>
  <c r="AO16" i="7" s="1"/>
  <c r="O16" i="7"/>
  <c r="Q16" i="7" s="1"/>
  <c r="J16" i="7"/>
  <c r="L16" i="7" s="1"/>
  <c r="AK84" i="13"/>
  <c r="AJ84" i="13"/>
  <c r="AI84" i="13"/>
  <c r="AH84" i="13"/>
  <c r="AG84" i="13"/>
  <c r="AD84" i="13"/>
  <c r="AC84" i="13"/>
  <c r="AB84" i="13"/>
  <c r="AA84" i="13"/>
  <c r="Z84" i="13"/>
  <c r="W84" i="13"/>
  <c r="V84" i="13"/>
  <c r="U84" i="13"/>
  <c r="T84" i="13"/>
  <c r="S84" i="13"/>
  <c r="P84" i="13"/>
  <c r="O84" i="13"/>
  <c r="N84" i="13"/>
  <c r="M84" i="13"/>
  <c r="L84" i="13"/>
  <c r="I84" i="13"/>
  <c r="H84" i="13"/>
  <c r="G84" i="13"/>
  <c r="F84" i="13"/>
  <c r="E84" i="13"/>
  <c r="AR83" i="13"/>
  <c r="AQ83" i="13"/>
  <c r="AP83" i="13"/>
  <c r="AO83" i="13"/>
  <c r="AN83" i="13"/>
  <c r="AS83" i="13" s="1"/>
  <c r="AL83" i="13"/>
  <c r="AE83" i="13"/>
  <c r="X83" i="13"/>
  <c r="Q83" i="13"/>
  <c r="J83" i="13"/>
  <c r="AS82" i="13"/>
  <c r="AR82" i="13"/>
  <c r="AQ82" i="13"/>
  <c r="AP82" i="13"/>
  <c r="AO82" i="13"/>
  <c r="AO84" i="13" s="1"/>
  <c r="AN82" i="13"/>
  <c r="AL82" i="13"/>
  <c r="AE82" i="13"/>
  <c r="X82" i="13"/>
  <c r="Q82" i="13"/>
  <c r="J82" i="13"/>
  <c r="AR81" i="13"/>
  <c r="AS81" i="13" s="1"/>
  <c r="AQ81" i="13"/>
  <c r="AP81" i="13"/>
  <c r="AO81" i="13"/>
  <c r="AN81" i="13"/>
  <c r="AN84" i="13" s="1"/>
  <c r="AL81" i="13"/>
  <c r="AE81" i="13"/>
  <c r="X81" i="13"/>
  <c r="Q81" i="13"/>
  <c r="J81" i="13"/>
  <c r="AR80" i="13"/>
  <c r="AQ80" i="13"/>
  <c r="AS80" i="13" s="1"/>
  <c r="AP80" i="13"/>
  <c r="AO80" i="13"/>
  <c r="AN80" i="13"/>
  <c r="AL80" i="13"/>
  <c r="AL84" i="13" s="1"/>
  <c r="AE80" i="13"/>
  <c r="X80" i="13"/>
  <c r="Q80" i="13"/>
  <c r="J80" i="13"/>
  <c r="AR79" i="13"/>
  <c r="AR84" i="13" s="1"/>
  <c r="AQ79" i="13"/>
  <c r="AQ84" i="13" s="1"/>
  <c r="AP79" i="13"/>
  <c r="AP84" i="13" s="1"/>
  <c r="AO79" i="13"/>
  <c r="AN79" i="13"/>
  <c r="AL79" i="13"/>
  <c r="AE79" i="13"/>
  <c r="AE84" i="13" s="1"/>
  <c r="X79" i="13"/>
  <c r="X84" i="13" s="1"/>
  <c r="Q79" i="13"/>
  <c r="Q84" i="13" s="1"/>
  <c r="J79" i="13"/>
  <c r="J84" i="13" s="1"/>
  <c r="AK77" i="13"/>
  <c r="AJ77" i="13"/>
  <c r="AI77" i="13"/>
  <c r="AH77" i="13"/>
  <c r="AG77" i="13"/>
  <c r="AD77" i="13"/>
  <c r="AC77" i="13"/>
  <c r="AB77" i="13"/>
  <c r="AA77" i="13"/>
  <c r="Z77" i="13"/>
  <c r="W77" i="13"/>
  <c r="V77" i="13"/>
  <c r="U77" i="13"/>
  <c r="T77" i="13"/>
  <c r="S77" i="13"/>
  <c r="Q77" i="13"/>
  <c r="P77" i="13"/>
  <c r="O77" i="13"/>
  <c r="N77" i="13"/>
  <c r="M77" i="13"/>
  <c r="L77" i="13"/>
  <c r="I77" i="13"/>
  <c r="H77" i="13"/>
  <c r="G77" i="13"/>
  <c r="F77" i="13"/>
  <c r="E77" i="13"/>
  <c r="AR76" i="13"/>
  <c r="AR77" i="13" s="1"/>
  <c r="AQ76" i="13"/>
  <c r="AQ77" i="13" s="1"/>
  <c r="AP76" i="13"/>
  <c r="AP77" i="13" s="1"/>
  <c r="AO76" i="13"/>
  <c r="AS76" i="13" s="1"/>
  <c r="AN76" i="13"/>
  <c r="AL76" i="13"/>
  <c r="AE76" i="13"/>
  <c r="X76" i="13"/>
  <c r="Q76" i="13"/>
  <c r="J76" i="13"/>
  <c r="AR75" i="13"/>
  <c r="AQ75" i="13"/>
  <c r="AP75" i="13"/>
  <c r="AO75" i="13"/>
  <c r="AN75" i="13"/>
  <c r="AS75" i="13" s="1"/>
  <c r="AL75" i="13"/>
  <c r="AE75" i="13"/>
  <c r="X75" i="13"/>
  <c r="Q75" i="13"/>
  <c r="J75" i="13"/>
  <c r="AR74" i="13"/>
  <c r="AQ74" i="13"/>
  <c r="AP74" i="13"/>
  <c r="AO74" i="13"/>
  <c r="AN74" i="13"/>
  <c r="AS74" i="13" s="1"/>
  <c r="AL74" i="13"/>
  <c r="AE74" i="13"/>
  <c r="X74" i="13"/>
  <c r="Q74" i="13"/>
  <c r="J74" i="13"/>
  <c r="AR73" i="13"/>
  <c r="AQ73" i="13"/>
  <c r="AP73" i="13"/>
  <c r="AO73" i="13"/>
  <c r="AN73" i="13"/>
  <c r="AS73" i="13" s="1"/>
  <c r="AL73" i="13"/>
  <c r="AE73" i="13"/>
  <c r="X73" i="13"/>
  <c r="Q73" i="13"/>
  <c r="J73" i="13"/>
  <c r="AR72" i="13"/>
  <c r="AQ72" i="13"/>
  <c r="AP72" i="13"/>
  <c r="AO72" i="13"/>
  <c r="AN72" i="13"/>
  <c r="AN77" i="13" s="1"/>
  <c r="AL72" i="13"/>
  <c r="AL77" i="13" s="1"/>
  <c r="AE72" i="13"/>
  <c r="AE77" i="13" s="1"/>
  <c r="X72" i="13"/>
  <c r="X77" i="13" s="1"/>
  <c r="Q72" i="13"/>
  <c r="J72" i="13"/>
  <c r="J77" i="13" s="1"/>
  <c r="AK70" i="13"/>
  <c r="AJ70" i="13"/>
  <c r="AI70" i="13"/>
  <c r="AH70" i="13"/>
  <c r="AG70" i="13"/>
  <c r="AD70" i="13"/>
  <c r="AC70" i="13"/>
  <c r="AB70" i="13"/>
  <c r="AA70" i="13"/>
  <c r="Z70" i="13"/>
  <c r="W70" i="13"/>
  <c r="V70" i="13"/>
  <c r="U70" i="13"/>
  <c r="T70" i="13"/>
  <c r="S70" i="13"/>
  <c r="P70" i="13"/>
  <c r="O70" i="13"/>
  <c r="N70" i="13"/>
  <c r="M70" i="13"/>
  <c r="L70" i="13"/>
  <c r="I70" i="13"/>
  <c r="H70" i="13"/>
  <c r="G70" i="13"/>
  <c r="F70" i="13"/>
  <c r="E70" i="13"/>
  <c r="AR69" i="13"/>
  <c r="AQ69" i="13"/>
  <c r="AP69" i="13"/>
  <c r="AP70" i="13" s="1"/>
  <c r="AO69" i="13"/>
  <c r="AN69" i="13"/>
  <c r="AS69" i="13" s="1"/>
  <c r="AL69" i="13"/>
  <c r="AL70" i="13" s="1"/>
  <c r="AE69" i="13"/>
  <c r="X69" i="13"/>
  <c r="Q69" i="13"/>
  <c r="J69" i="13"/>
  <c r="AR68" i="13"/>
  <c r="AQ68" i="13"/>
  <c r="AQ70" i="13" s="1"/>
  <c r="AP68" i="13"/>
  <c r="AO68" i="13"/>
  <c r="AO70" i="13" s="1"/>
  <c r="AN68" i="13"/>
  <c r="AS68" i="13" s="1"/>
  <c r="AL68" i="13"/>
  <c r="AE68" i="13"/>
  <c r="X68" i="13"/>
  <c r="Q68" i="13"/>
  <c r="J68" i="13"/>
  <c r="AR67" i="13"/>
  <c r="AQ67" i="13"/>
  <c r="AP67" i="13"/>
  <c r="AO67" i="13"/>
  <c r="AN67" i="13"/>
  <c r="AS67" i="13" s="1"/>
  <c r="AL67" i="13"/>
  <c r="AE67" i="13"/>
  <c r="X67" i="13"/>
  <c r="X70" i="13" s="1"/>
  <c r="Q67" i="13"/>
  <c r="J67" i="13"/>
  <c r="AS66" i="13"/>
  <c r="AR66" i="13"/>
  <c r="AQ66" i="13"/>
  <c r="AP66" i="13"/>
  <c r="AO66" i="13"/>
  <c r="AN66" i="13"/>
  <c r="AL66" i="13"/>
  <c r="AE66" i="13"/>
  <c r="X66" i="13"/>
  <c r="Q66" i="13"/>
  <c r="J66" i="13"/>
  <c r="AR65" i="13"/>
  <c r="AS65" i="13" s="1"/>
  <c r="AQ65" i="13"/>
  <c r="AP65" i="13"/>
  <c r="AO65" i="13"/>
  <c r="AN65" i="13"/>
  <c r="AL65" i="13"/>
  <c r="AE65" i="13"/>
  <c r="AE70" i="13" s="1"/>
  <c r="X65" i="13"/>
  <c r="Q65" i="13"/>
  <c r="Q70" i="13" s="1"/>
  <c r="J65" i="13"/>
  <c r="J70" i="13" s="1"/>
  <c r="AK63" i="13"/>
  <c r="AJ63" i="13"/>
  <c r="AI63" i="13"/>
  <c r="AH63" i="13"/>
  <c r="AG63" i="13"/>
  <c r="AE63" i="13"/>
  <c r="AD63" i="13"/>
  <c r="AC63" i="13"/>
  <c r="AB63" i="13"/>
  <c r="AA63" i="13"/>
  <c r="Z63" i="13"/>
  <c r="W63" i="13"/>
  <c r="V63" i="13"/>
  <c r="U63" i="13"/>
  <c r="T63" i="13"/>
  <c r="S63" i="13"/>
  <c r="Q63" i="13"/>
  <c r="P63" i="13"/>
  <c r="O63" i="13"/>
  <c r="N63" i="13"/>
  <c r="M63" i="13"/>
  <c r="L63" i="13"/>
  <c r="I63" i="13"/>
  <c r="H63" i="13"/>
  <c r="G63" i="13"/>
  <c r="F63" i="13"/>
  <c r="E63" i="13"/>
  <c r="AR62" i="13"/>
  <c r="AR63" i="13" s="1"/>
  <c r="AQ62" i="13"/>
  <c r="AS62" i="13" s="1"/>
  <c r="AP62" i="13"/>
  <c r="AO62" i="13"/>
  <c r="AN62" i="13"/>
  <c r="AL62" i="13"/>
  <c r="AE62" i="13"/>
  <c r="X62" i="13"/>
  <c r="Q62" i="13"/>
  <c r="J62" i="13"/>
  <c r="AR61" i="13"/>
  <c r="AQ61" i="13"/>
  <c r="AP61" i="13"/>
  <c r="AS61" i="13" s="1"/>
  <c r="AO61" i="13"/>
  <c r="AN61" i="13"/>
  <c r="AL61" i="13"/>
  <c r="AE61" i="13"/>
  <c r="X61" i="13"/>
  <c r="Q61" i="13"/>
  <c r="J61" i="13"/>
  <c r="AR60" i="13"/>
  <c r="AQ60" i="13"/>
  <c r="AP60" i="13"/>
  <c r="AO60" i="13"/>
  <c r="AS60" i="13" s="1"/>
  <c r="AN60" i="13"/>
  <c r="AL60" i="13"/>
  <c r="AE60" i="13"/>
  <c r="X60" i="13"/>
  <c r="X63" i="13" s="1"/>
  <c r="Q60" i="13"/>
  <c r="J60" i="13"/>
  <c r="AR59" i="13"/>
  <c r="AQ59" i="13"/>
  <c r="AP59" i="13"/>
  <c r="AO59" i="13"/>
  <c r="AN59" i="13"/>
  <c r="AS59" i="13" s="1"/>
  <c r="AL59" i="13"/>
  <c r="AE59" i="13"/>
  <c r="X59" i="13"/>
  <c r="Q59" i="13"/>
  <c r="J59" i="13"/>
  <c r="AR58" i="13"/>
  <c r="AQ58" i="13"/>
  <c r="AP58" i="13"/>
  <c r="AP63" i="13" s="1"/>
  <c r="AO58" i="13"/>
  <c r="AO63" i="13" s="1"/>
  <c r="AN58" i="13"/>
  <c r="AN63" i="13" s="1"/>
  <c r="AL58" i="13"/>
  <c r="AL63" i="13" s="1"/>
  <c r="AE58" i="13"/>
  <c r="X58" i="13"/>
  <c r="Q58" i="13"/>
  <c r="J58" i="13"/>
  <c r="J63" i="13" s="1"/>
  <c r="AO56" i="13"/>
  <c r="AK56" i="13"/>
  <c r="AJ56" i="13"/>
  <c r="AI56" i="13"/>
  <c r="AH56" i="13"/>
  <c r="AG56" i="13"/>
  <c r="AD56" i="13"/>
  <c r="AC56" i="13"/>
  <c r="AB56" i="13"/>
  <c r="AA56" i="13"/>
  <c r="Z56" i="13"/>
  <c r="W56" i="13"/>
  <c r="V56" i="13"/>
  <c r="U56" i="13"/>
  <c r="T56" i="13"/>
  <c r="S56" i="13"/>
  <c r="P56" i="13"/>
  <c r="O56" i="13"/>
  <c r="N56" i="13"/>
  <c r="M56" i="13"/>
  <c r="L56" i="13"/>
  <c r="I56" i="13"/>
  <c r="H56" i="13"/>
  <c r="G56" i="13"/>
  <c r="F56" i="13"/>
  <c r="E56" i="13"/>
  <c r="AR55" i="13"/>
  <c r="AQ55" i="13"/>
  <c r="AQ56" i="13" s="1"/>
  <c r="AP55" i="13"/>
  <c r="AP56" i="13" s="1"/>
  <c r="AO55" i="13"/>
  <c r="AN55" i="13"/>
  <c r="AN56" i="13" s="1"/>
  <c r="AL55" i="13"/>
  <c r="AL56" i="13" s="1"/>
  <c r="AE55" i="13"/>
  <c r="X55" i="13"/>
  <c r="Q55" i="13"/>
  <c r="J55" i="13"/>
  <c r="AR54" i="13"/>
  <c r="AR56" i="13" s="1"/>
  <c r="AQ54" i="13"/>
  <c r="AP54" i="13"/>
  <c r="AO54" i="13"/>
  <c r="AN54" i="13"/>
  <c r="AS54" i="13" s="1"/>
  <c r="AL54" i="13"/>
  <c r="AE54" i="13"/>
  <c r="X54" i="13"/>
  <c r="Q54" i="13"/>
  <c r="J54" i="13"/>
  <c r="AR53" i="13"/>
  <c r="AQ53" i="13"/>
  <c r="AP53" i="13"/>
  <c r="AO53" i="13"/>
  <c r="AN53" i="13"/>
  <c r="AS53" i="13" s="1"/>
  <c r="AL53" i="13"/>
  <c r="AE53" i="13"/>
  <c r="X53" i="13"/>
  <c r="X56" i="13" s="1"/>
  <c r="Q53" i="13"/>
  <c r="J53" i="13"/>
  <c r="AR52" i="13"/>
  <c r="AQ52" i="13"/>
  <c r="AP52" i="13"/>
  <c r="AO52" i="13"/>
  <c r="AN52" i="13"/>
  <c r="AS52" i="13" s="1"/>
  <c r="AL52" i="13"/>
  <c r="AE52" i="13"/>
  <c r="X52" i="13"/>
  <c r="Q52" i="13"/>
  <c r="J52" i="13"/>
  <c r="AR51" i="13"/>
  <c r="AQ51" i="13"/>
  <c r="AP51" i="13"/>
  <c r="AO51" i="13"/>
  <c r="AN51" i="13"/>
  <c r="AS51" i="13" s="1"/>
  <c r="AL51" i="13"/>
  <c r="AE51" i="13"/>
  <c r="AE56" i="13" s="1"/>
  <c r="X51" i="13"/>
  <c r="Q51" i="13"/>
  <c r="Q56" i="13" s="1"/>
  <c r="J51" i="13"/>
  <c r="J56" i="13" s="1"/>
  <c r="AK49" i="13"/>
  <c r="AJ49" i="13"/>
  <c r="AI49" i="13"/>
  <c r="AH49" i="13"/>
  <c r="AG49" i="13"/>
  <c r="AE49" i="13"/>
  <c r="AD49" i="13"/>
  <c r="AC49" i="13"/>
  <c r="AB49" i="13"/>
  <c r="AA49" i="13"/>
  <c r="Z49" i="13"/>
  <c r="W49" i="13"/>
  <c r="V49" i="13"/>
  <c r="U49" i="13"/>
  <c r="T49" i="13"/>
  <c r="S49" i="13"/>
  <c r="Q49" i="13"/>
  <c r="P49" i="13"/>
  <c r="O49" i="13"/>
  <c r="N49" i="13"/>
  <c r="M49" i="13"/>
  <c r="L49" i="13"/>
  <c r="I49" i="13"/>
  <c r="H49" i="13"/>
  <c r="G49" i="13"/>
  <c r="F49" i="13"/>
  <c r="E49" i="13"/>
  <c r="AS48" i="13"/>
  <c r="AR48" i="13"/>
  <c r="AQ48" i="13"/>
  <c r="AP48" i="13"/>
  <c r="AO48" i="13"/>
  <c r="AN48" i="13"/>
  <c r="AN49" i="13" s="1"/>
  <c r="AL48" i="13"/>
  <c r="AE48" i="13"/>
  <c r="X48" i="13"/>
  <c r="Q48" i="13"/>
  <c r="J48" i="13"/>
  <c r="AR47" i="13"/>
  <c r="AS47" i="13" s="1"/>
  <c r="AQ47" i="13"/>
  <c r="AP47" i="13"/>
  <c r="AO47" i="13"/>
  <c r="AN47" i="13"/>
  <c r="AL47" i="13"/>
  <c r="AL49" i="13" s="1"/>
  <c r="AE47" i="13"/>
  <c r="X47" i="13"/>
  <c r="Q47" i="13"/>
  <c r="J47" i="13"/>
  <c r="AR46" i="13"/>
  <c r="AQ46" i="13"/>
  <c r="AS46" i="13" s="1"/>
  <c r="AP46" i="13"/>
  <c r="AO46" i="13"/>
  <c r="AN46" i="13"/>
  <c r="AL46" i="13"/>
  <c r="AE46" i="13"/>
  <c r="X46" i="13"/>
  <c r="Q46" i="13"/>
  <c r="J46" i="13"/>
  <c r="AR45" i="13"/>
  <c r="AQ45" i="13"/>
  <c r="AP45" i="13"/>
  <c r="AS45" i="13" s="1"/>
  <c r="AO45" i="13"/>
  <c r="AN45" i="13"/>
  <c r="AL45" i="13"/>
  <c r="AE45" i="13"/>
  <c r="X45" i="13"/>
  <c r="X49" i="13" s="1"/>
  <c r="Q45" i="13"/>
  <c r="J45" i="13"/>
  <c r="AR44" i="13"/>
  <c r="AR49" i="13" s="1"/>
  <c r="AQ44" i="13"/>
  <c r="AQ49" i="13" s="1"/>
  <c r="AP44" i="13"/>
  <c r="AP49" i="13" s="1"/>
  <c r="AO44" i="13"/>
  <c r="AO49" i="13" s="1"/>
  <c r="AN44" i="13"/>
  <c r="AL44" i="13"/>
  <c r="AE44" i="13"/>
  <c r="X44" i="13"/>
  <c r="Q44" i="13"/>
  <c r="J44" i="13"/>
  <c r="J49" i="13" s="1"/>
  <c r="AO42" i="13"/>
  <c r="AK42" i="13"/>
  <c r="AJ42" i="13"/>
  <c r="AI42" i="13"/>
  <c r="AH42" i="13"/>
  <c r="AG42" i="13"/>
  <c r="AD42" i="13"/>
  <c r="AC42" i="13"/>
  <c r="AB42" i="13"/>
  <c r="AA42" i="13"/>
  <c r="Z42" i="13"/>
  <c r="W42" i="13"/>
  <c r="V42" i="13"/>
  <c r="U42" i="13"/>
  <c r="T42" i="13"/>
  <c r="S42" i="13"/>
  <c r="P42" i="13"/>
  <c r="O42" i="13"/>
  <c r="N42" i="13"/>
  <c r="M42" i="13"/>
  <c r="L42" i="13"/>
  <c r="I42" i="13"/>
  <c r="H42" i="13"/>
  <c r="G42" i="13"/>
  <c r="F42" i="13"/>
  <c r="E42" i="13"/>
  <c r="AR41" i="13"/>
  <c r="AR42" i="13" s="1"/>
  <c r="AQ41" i="13"/>
  <c r="AQ42" i="13" s="1"/>
  <c r="AP41" i="13"/>
  <c r="AP42" i="13" s="1"/>
  <c r="AO41" i="13"/>
  <c r="AN41" i="13"/>
  <c r="AN42" i="13" s="1"/>
  <c r="AL41" i="13"/>
  <c r="AE41" i="13"/>
  <c r="X41" i="13"/>
  <c r="Q41" i="13"/>
  <c r="J41" i="13"/>
  <c r="AR40" i="13"/>
  <c r="AQ40" i="13"/>
  <c r="AP40" i="13"/>
  <c r="AO40" i="13"/>
  <c r="AN40" i="13"/>
  <c r="AS40" i="13" s="1"/>
  <c r="AL40" i="13"/>
  <c r="AE40" i="13"/>
  <c r="X40" i="13"/>
  <c r="Q40" i="13"/>
  <c r="J40" i="13"/>
  <c r="AR39" i="13"/>
  <c r="AQ39" i="13"/>
  <c r="AP39" i="13"/>
  <c r="AO39" i="13"/>
  <c r="AN39" i="13"/>
  <c r="AS39" i="13" s="1"/>
  <c r="AL39" i="13"/>
  <c r="AE39" i="13"/>
  <c r="X39" i="13"/>
  <c r="Q39" i="13"/>
  <c r="J39" i="13"/>
  <c r="AR38" i="13"/>
  <c r="AQ38" i="13"/>
  <c r="AP38" i="13"/>
  <c r="AO38" i="13"/>
  <c r="AN38" i="13"/>
  <c r="AS38" i="13" s="1"/>
  <c r="AL38" i="13"/>
  <c r="AE38" i="13"/>
  <c r="X38" i="13"/>
  <c r="Q38" i="13"/>
  <c r="J38" i="13"/>
  <c r="AR37" i="13"/>
  <c r="AQ37" i="13"/>
  <c r="AP37" i="13"/>
  <c r="AO37" i="13"/>
  <c r="AN37" i="13"/>
  <c r="AS37" i="13" s="1"/>
  <c r="AL37" i="13"/>
  <c r="AL42" i="13" s="1"/>
  <c r="AE37" i="13"/>
  <c r="AE42" i="13" s="1"/>
  <c r="X37" i="13"/>
  <c r="X42" i="13" s="1"/>
  <c r="Q37" i="13"/>
  <c r="Q42" i="13" s="1"/>
  <c r="J37" i="13"/>
  <c r="J42" i="13" s="1"/>
  <c r="AK35" i="13"/>
  <c r="AJ35" i="13"/>
  <c r="AI35" i="13"/>
  <c r="AH35" i="13"/>
  <c r="AG35" i="13"/>
  <c r="AD35" i="13"/>
  <c r="AC35" i="13"/>
  <c r="AB35" i="13"/>
  <c r="AA35" i="13"/>
  <c r="Z35" i="13"/>
  <c r="W35" i="13"/>
  <c r="V35" i="13"/>
  <c r="U35" i="13"/>
  <c r="T35" i="13"/>
  <c r="S35" i="13"/>
  <c r="P35" i="13"/>
  <c r="O35" i="13"/>
  <c r="N35" i="13"/>
  <c r="M35" i="13"/>
  <c r="L35" i="13"/>
  <c r="I35" i="13"/>
  <c r="H35" i="13"/>
  <c r="G35" i="13"/>
  <c r="F35" i="13"/>
  <c r="E35" i="13"/>
  <c r="AR34" i="13"/>
  <c r="AQ34" i="13"/>
  <c r="AP34" i="13"/>
  <c r="AP35" i="13" s="1"/>
  <c r="AO34" i="13"/>
  <c r="AN34" i="13"/>
  <c r="AS34" i="13" s="1"/>
  <c r="AL34" i="13"/>
  <c r="AL35" i="13" s="1"/>
  <c r="AE34" i="13"/>
  <c r="X34" i="13"/>
  <c r="Q34" i="13"/>
  <c r="J34" i="13"/>
  <c r="AR33" i="13"/>
  <c r="AQ33" i="13"/>
  <c r="AP33" i="13"/>
  <c r="AO33" i="13"/>
  <c r="AO35" i="13" s="1"/>
  <c r="AN33" i="13"/>
  <c r="AS33" i="13" s="1"/>
  <c r="AL33" i="13"/>
  <c r="AE33" i="13"/>
  <c r="X33" i="13"/>
  <c r="Q33" i="13"/>
  <c r="J33" i="13"/>
  <c r="AS32" i="13"/>
  <c r="AR32" i="13"/>
  <c r="AQ32" i="13"/>
  <c r="AP32" i="13"/>
  <c r="AO32" i="13"/>
  <c r="AN32" i="13"/>
  <c r="AN35" i="13" s="1"/>
  <c r="AL32" i="13"/>
  <c r="AE32" i="13"/>
  <c r="X32" i="13"/>
  <c r="X35" i="13" s="1"/>
  <c r="Q32" i="13"/>
  <c r="J32" i="13"/>
  <c r="AR31" i="13"/>
  <c r="AS31" i="13" s="1"/>
  <c r="AQ31" i="13"/>
  <c r="AP31" i="13"/>
  <c r="AO31" i="13"/>
  <c r="AN31" i="13"/>
  <c r="AL31" i="13"/>
  <c r="AE31" i="13"/>
  <c r="X31" i="13"/>
  <c r="Q31" i="13"/>
  <c r="J31" i="13"/>
  <c r="AR30" i="13"/>
  <c r="AR35" i="13" s="1"/>
  <c r="AQ30" i="13"/>
  <c r="AQ35" i="13" s="1"/>
  <c r="AP30" i="13"/>
  <c r="AO30" i="13"/>
  <c r="AN30" i="13"/>
  <c r="AL30" i="13"/>
  <c r="AE30" i="13"/>
  <c r="AE35" i="13" s="1"/>
  <c r="X30" i="13"/>
  <c r="Q30" i="13"/>
  <c r="Q35" i="13" s="1"/>
  <c r="J30" i="13"/>
  <c r="J35" i="13" s="1"/>
  <c r="AQ28" i="13"/>
  <c r="AK28" i="13"/>
  <c r="AJ28" i="13"/>
  <c r="AI28" i="13"/>
  <c r="AH28" i="13"/>
  <c r="AG28" i="13"/>
  <c r="AD28" i="13"/>
  <c r="AC28" i="13"/>
  <c r="AB28" i="13"/>
  <c r="AA28" i="13"/>
  <c r="Z28" i="13"/>
  <c r="W28" i="13"/>
  <c r="V28" i="13"/>
  <c r="U28" i="13"/>
  <c r="T28" i="13"/>
  <c r="S28" i="13"/>
  <c r="Q28" i="13"/>
  <c r="P28" i="13"/>
  <c r="O28" i="13"/>
  <c r="N28" i="13"/>
  <c r="M28" i="13"/>
  <c r="L28" i="13"/>
  <c r="I28" i="13"/>
  <c r="H28" i="13"/>
  <c r="G28" i="13"/>
  <c r="F28" i="13"/>
  <c r="E28" i="13"/>
  <c r="AR27" i="13"/>
  <c r="AR28" i="13" s="1"/>
  <c r="AQ27" i="13"/>
  <c r="AP27" i="13"/>
  <c r="AP28" i="13" s="1"/>
  <c r="AO27" i="13"/>
  <c r="AN27" i="13"/>
  <c r="AL27" i="13"/>
  <c r="AE27" i="13"/>
  <c r="X27" i="13"/>
  <c r="Q27" i="13"/>
  <c r="J27" i="13"/>
  <c r="AR26" i="13"/>
  <c r="AQ26" i="13"/>
  <c r="AP26" i="13"/>
  <c r="AO26" i="13"/>
  <c r="AS26" i="13" s="1"/>
  <c r="AN26" i="13"/>
  <c r="AL26" i="13"/>
  <c r="AE26" i="13"/>
  <c r="X26" i="13"/>
  <c r="Q26" i="13"/>
  <c r="J26" i="13"/>
  <c r="AR25" i="13"/>
  <c r="AQ25" i="13"/>
  <c r="AP25" i="13"/>
  <c r="AO25" i="13"/>
  <c r="AN25" i="13"/>
  <c r="AS25" i="13" s="1"/>
  <c r="AL25" i="13"/>
  <c r="AE25" i="13"/>
  <c r="X25" i="13"/>
  <c r="Q25" i="13"/>
  <c r="J25" i="13"/>
  <c r="AR24" i="13"/>
  <c r="AQ24" i="13"/>
  <c r="AP24" i="13"/>
  <c r="AO24" i="13"/>
  <c r="AN24" i="13"/>
  <c r="AS24" i="13" s="1"/>
  <c r="AL24" i="13"/>
  <c r="AE24" i="13"/>
  <c r="X24" i="13"/>
  <c r="X28" i="13" s="1"/>
  <c r="Q24" i="13"/>
  <c r="J24" i="13"/>
  <c r="AR23" i="13"/>
  <c r="AQ23" i="13"/>
  <c r="AP23" i="13"/>
  <c r="AO23" i="13"/>
  <c r="AO28" i="13" s="1"/>
  <c r="AN23" i="13"/>
  <c r="AN28" i="13" s="1"/>
  <c r="AL23" i="13"/>
  <c r="AL28" i="13" s="1"/>
  <c r="AE23" i="13"/>
  <c r="AE28" i="13" s="1"/>
  <c r="X23" i="13"/>
  <c r="Q23" i="13"/>
  <c r="J23" i="13"/>
  <c r="J28" i="13" s="1"/>
  <c r="AK21" i="13"/>
  <c r="AJ21" i="13"/>
  <c r="AI21" i="13"/>
  <c r="AH21" i="13"/>
  <c r="AG21" i="13"/>
  <c r="AD21" i="13"/>
  <c r="AC21" i="13"/>
  <c r="AB21" i="13"/>
  <c r="AA21" i="13"/>
  <c r="Z21" i="13"/>
  <c r="W21" i="13"/>
  <c r="V21" i="13"/>
  <c r="U21" i="13"/>
  <c r="T21" i="13"/>
  <c r="S21" i="13"/>
  <c r="P21" i="13"/>
  <c r="O21" i="13"/>
  <c r="N21" i="13"/>
  <c r="M21" i="13"/>
  <c r="L21" i="13"/>
  <c r="I21" i="13"/>
  <c r="H21" i="13"/>
  <c r="G21" i="13"/>
  <c r="F21" i="13"/>
  <c r="E21" i="13"/>
  <c r="AR20" i="13"/>
  <c r="AR21" i="13" s="1"/>
  <c r="AQ20" i="13"/>
  <c r="AP20" i="13"/>
  <c r="AP21" i="13" s="1"/>
  <c r="AO20" i="13"/>
  <c r="AO21" i="13" s="1"/>
  <c r="AN20" i="13"/>
  <c r="AS20" i="13" s="1"/>
  <c r="AL20" i="13"/>
  <c r="AL21" i="13" s="1"/>
  <c r="AE20" i="13"/>
  <c r="X20" i="13"/>
  <c r="Q20" i="13"/>
  <c r="J20" i="13"/>
  <c r="AR19" i="13"/>
  <c r="AQ19" i="13"/>
  <c r="AQ21" i="13" s="1"/>
  <c r="AP19" i="13"/>
  <c r="AO19" i="13"/>
  <c r="AN19" i="13"/>
  <c r="AS19" i="13" s="1"/>
  <c r="AL19" i="13"/>
  <c r="AE19" i="13"/>
  <c r="X19" i="13"/>
  <c r="Q19" i="13"/>
  <c r="J19" i="13"/>
  <c r="AR18" i="13"/>
  <c r="AQ18" i="13"/>
  <c r="AP18" i="13"/>
  <c r="AO18" i="13"/>
  <c r="AN18" i="13"/>
  <c r="AS18" i="13" s="1"/>
  <c r="AL18" i="13"/>
  <c r="AE18" i="13"/>
  <c r="X18" i="13"/>
  <c r="X21" i="13" s="1"/>
  <c r="Q18" i="13"/>
  <c r="J18" i="13"/>
  <c r="AR17" i="13"/>
  <c r="AQ17" i="13"/>
  <c r="AP17" i="13"/>
  <c r="AO17" i="13"/>
  <c r="AN17" i="13"/>
  <c r="AS17" i="13" s="1"/>
  <c r="AL17" i="13"/>
  <c r="AE17" i="13"/>
  <c r="X17" i="13"/>
  <c r="Q17" i="13"/>
  <c r="J17" i="13"/>
  <c r="AS16" i="13"/>
  <c r="AR16" i="13"/>
  <c r="AQ16" i="13"/>
  <c r="AP16" i="13"/>
  <c r="AO16" i="13"/>
  <c r="AN16" i="13"/>
  <c r="AL16" i="13"/>
  <c r="AE16" i="13"/>
  <c r="AE21" i="13" s="1"/>
  <c r="X16" i="13"/>
  <c r="Q16" i="13"/>
  <c r="Q21" i="13" s="1"/>
  <c r="J16" i="13"/>
  <c r="J21" i="13" s="1"/>
  <c r="AR14" i="13"/>
  <c r="AK14" i="13"/>
  <c r="AJ14" i="13"/>
  <c r="AI14" i="13"/>
  <c r="AH14" i="13"/>
  <c r="AG14" i="13"/>
  <c r="AE14" i="13"/>
  <c r="AD14" i="13"/>
  <c r="AC14" i="13"/>
  <c r="AB14" i="13"/>
  <c r="AA14" i="13"/>
  <c r="Z14" i="13"/>
  <c r="W14" i="13"/>
  <c r="V14" i="13"/>
  <c r="U14" i="13"/>
  <c r="T14" i="13"/>
  <c r="S14" i="13"/>
  <c r="Q14" i="13"/>
  <c r="P14" i="13"/>
  <c r="O14" i="13"/>
  <c r="N14" i="13"/>
  <c r="M14" i="13"/>
  <c r="L14" i="13"/>
  <c r="I14" i="13"/>
  <c r="H14" i="13"/>
  <c r="G14" i="13"/>
  <c r="F14" i="13"/>
  <c r="E14" i="13"/>
  <c r="AR13" i="13"/>
  <c r="AS13" i="13" s="1"/>
  <c r="AQ13" i="13"/>
  <c r="AP13" i="13"/>
  <c r="AO13" i="13"/>
  <c r="AN13" i="13"/>
  <c r="AL13" i="13"/>
  <c r="AL14" i="13" s="1"/>
  <c r="AE13" i="13"/>
  <c r="X13" i="13"/>
  <c r="Q13" i="13"/>
  <c r="J13" i="13"/>
  <c r="AR12" i="13"/>
  <c r="AQ12" i="13"/>
  <c r="AS12" i="13" s="1"/>
  <c r="AP12" i="13"/>
  <c r="AO12" i="13"/>
  <c r="AN12" i="13"/>
  <c r="AL12" i="13"/>
  <c r="AE12" i="13"/>
  <c r="X12" i="13"/>
  <c r="Q12" i="13"/>
  <c r="J12" i="13"/>
  <c r="AR11" i="13"/>
  <c r="AQ11" i="13"/>
  <c r="AP11" i="13"/>
  <c r="AS11" i="13" s="1"/>
  <c r="AO11" i="13"/>
  <c r="AN11" i="13"/>
  <c r="AL11" i="13"/>
  <c r="AE11" i="13"/>
  <c r="X11" i="13"/>
  <c r="X14" i="13" s="1"/>
  <c r="Q11" i="13"/>
  <c r="J11" i="13"/>
  <c r="AR10" i="13"/>
  <c r="AQ10" i="13"/>
  <c r="AP10" i="13"/>
  <c r="AO10" i="13"/>
  <c r="AS10" i="13" s="1"/>
  <c r="AN10" i="13"/>
  <c r="AL10" i="13"/>
  <c r="AE10" i="13"/>
  <c r="X10" i="13"/>
  <c r="Q10" i="13"/>
  <c r="J10" i="13"/>
  <c r="AR9" i="13"/>
  <c r="AQ9" i="13"/>
  <c r="AQ14" i="13" s="1"/>
  <c r="AP9" i="13"/>
  <c r="AP14" i="13" s="1"/>
  <c r="AO9" i="13"/>
  <c r="AO14" i="13" s="1"/>
  <c r="AN9" i="13"/>
  <c r="AN14" i="13" s="1"/>
  <c r="AL9" i="13"/>
  <c r="AE9" i="13"/>
  <c r="X9" i="13"/>
  <c r="Q9" i="13"/>
  <c r="J9" i="13"/>
  <c r="J14" i="13" s="1"/>
  <c r="AN7" i="13"/>
  <c r="AK7" i="13"/>
  <c r="AJ7" i="13"/>
  <c r="AI7" i="13"/>
  <c r="AH7" i="13"/>
  <c r="AG7" i="13"/>
  <c r="AD7" i="13"/>
  <c r="AC7" i="13"/>
  <c r="AB7" i="13"/>
  <c r="AA7" i="13"/>
  <c r="Z7" i="13"/>
  <c r="W7" i="13"/>
  <c r="V7" i="13"/>
  <c r="U7" i="13"/>
  <c r="T7" i="13"/>
  <c r="S7" i="13"/>
  <c r="P7" i="13"/>
  <c r="O7" i="13"/>
  <c r="N7" i="13"/>
  <c r="M7" i="13"/>
  <c r="L7" i="13"/>
  <c r="J7" i="13"/>
  <c r="I7" i="13"/>
  <c r="H7" i="13"/>
  <c r="G7" i="13"/>
  <c r="F7" i="13"/>
  <c r="E7" i="13"/>
  <c r="AR6" i="13"/>
  <c r="AR7" i="13" s="1"/>
  <c r="AQ6" i="13"/>
  <c r="AQ7" i="13" s="1"/>
  <c r="AP6" i="13"/>
  <c r="AP7" i="13" s="1"/>
  <c r="AO6" i="13"/>
  <c r="AO7" i="13" s="1"/>
  <c r="AN6" i="13"/>
  <c r="AS6" i="13" s="1"/>
  <c r="AL6" i="13"/>
  <c r="AL7" i="13" s="1"/>
  <c r="AE6" i="13"/>
  <c r="X6" i="13"/>
  <c r="Q6" i="13"/>
  <c r="J6" i="13"/>
  <c r="AR5" i="13"/>
  <c r="AQ5" i="13"/>
  <c r="AP5" i="13"/>
  <c r="AO5" i="13"/>
  <c r="AN5" i="13"/>
  <c r="AS5" i="13" s="1"/>
  <c r="AL5" i="13"/>
  <c r="AE5" i="13"/>
  <c r="X5" i="13"/>
  <c r="Q5" i="13"/>
  <c r="J5" i="13"/>
  <c r="AR4" i="13"/>
  <c r="AQ4" i="13"/>
  <c r="AP4" i="13"/>
  <c r="AO4" i="13"/>
  <c r="AN4" i="13"/>
  <c r="AS4" i="13" s="1"/>
  <c r="AL4" i="13"/>
  <c r="AE4" i="13"/>
  <c r="X4" i="13"/>
  <c r="X7" i="13" s="1"/>
  <c r="Q4" i="13"/>
  <c r="J4" i="13"/>
  <c r="AR3" i="13"/>
  <c r="AQ3" i="13"/>
  <c r="AP3" i="13"/>
  <c r="AO3" i="13"/>
  <c r="AN3" i="13"/>
  <c r="AS3" i="13" s="1"/>
  <c r="AL3" i="13"/>
  <c r="AE3" i="13"/>
  <c r="X3" i="13"/>
  <c r="Q3" i="13"/>
  <c r="J3" i="13"/>
  <c r="AR2" i="13"/>
  <c r="AQ2" i="13"/>
  <c r="AP2" i="13"/>
  <c r="AO2" i="13"/>
  <c r="AN2" i="13"/>
  <c r="AS2" i="13" s="1"/>
  <c r="AL2" i="13"/>
  <c r="AE2" i="13"/>
  <c r="AE7" i="13" s="1"/>
  <c r="X2" i="13"/>
  <c r="Q2" i="13"/>
  <c r="Q7" i="13" s="1"/>
  <c r="J2" i="13"/>
  <c r="AB112" i="12"/>
  <c r="AA112" i="12"/>
  <c r="Z112" i="12"/>
  <c r="Y112" i="12"/>
  <c r="X112" i="12"/>
  <c r="W112" i="12"/>
  <c r="V112" i="12"/>
  <c r="U112" i="12"/>
  <c r="T112" i="12"/>
  <c r="S112" i="12"/>
  <c r="R112" i="12"/>
  <c r="P112" i="12"/>
  <c r="N112" i="12"/>
  <c r="M112" i="12"/>
  <c r="K112" i="12"/>
  <c r="I112" i="12"/>
  <c r="H112" i="12"/>
  <c r="G112" i="12"/>
  <c r="F112" i="12"/>
  <c r="AF111" i="12"/>
  <c r="AD111" i="12"/>
  <c r="AC111" i="12"/>
  <c r="AE111" i="12" s="1"/>
  <c r="O111" i="12"/>
  <c r="Q111" i="12" s="1"/>
  <c r="J111" i="12"/>
  <c r="L111" i="12" s="1"/>
  <c r="AF110" i="12"/>
  <c r="AD110" i="12"/>
  <c r="AC110" i="12"/>
  <c r="AE110" i="12" s="1"/>
  <c r="Q110" i="12"/>
  <c r="O110" i="12"/>
  <c r="J110" i="12"/>
  <c r="L110" i="12" s="1"/>
  <c r="AD109" i="12"/>
  <c r="AF109" i="12" s="1"/>
  <c r="AC109" i="12"/>
  <c r="AE109" i="12" s="1"/>
  <c r="Q109" i="12"/>
  <c r="O109" i="12"/>
  <c r="J109" i="12"/>
  <c r="L109" i="12" s="1"/>
  <c r="AF108" i="12"/>
  <c r="AD108" i="12"/>
  <c r="AD112" i="12" s="1"/>
  <c r="AC108" i="12"/>
  <c r="AE108" i="12" s="1"/>
  <c r="O108" i="12"/>
  <c r="Q108" i="12" s="1"/>
  <c r="J108" i="12"/>
  <c r="J112" i="12" s="1"/>
  <c r="AF107" i="12"/>
  <c r="AD107" i="12"/>
  <c r="AC107" i="12"/>
  <c r="AE107" i="12" s="1"/>
  <c r="Q107" i="12"/>
  <c r="O107" i="12"/>
  <c r="O112" i="12" s="1"/>
  <c r="J107" i="12"/>
  <c r="L107" i="12" s="1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P105" i="12"/>
  <c r="N105" i="12"/>
  <c r="M105" i="12"/>
  <c r="K105" i="12"/>
  <c r="I105" i="12"/>
  <c r="H105" i="12"/>
  <c r="G105" i="12"/>
  <c r="F105" i="12"/>
  <c r="AF104" i="12"/>
  <c r="AE104" i="12"/>
  <c r="AD104" i="12"/>
  <c r="AC104" i="12"/>
  <c r="Q104" i="12"/>
  <c r="O104" i="12"/>
  <c r="J104" i="12"/>
  <c r="L104" i="12" s="1"/>
  <c r="R104" i="12" s="1"/>
  <c r="AD103" i="12"/>
  <c r="AF103" i="12" s="1"/>
  <c r="AC103" i="12"/>
  <c r="AE103" i="12" s="1"/>
  <c r="O103" i="12"/>
  <c r="Q103" i="12" s="1"/>
  <c r="J103" i="12"/>
  <c r="L103" i="12" s="1"/>
  <c r="R103" i="12" s="1"/>
  <c r="AD102" i="12"/>
  <c r="AF102" i="12" s="1"/>
  <c r="AC102" i="12"/>
  <c r="AE102" i="12" s="1"/>
  <c r="O102" i="12"/>
  <c r="Q102" i="12" s="1"/>
  <c r="L102" i="12"/>
  <c r="J102" i="12"/>
  <c r="AD101" i="12"/>
  <c r="AF101" i="12" s="1"/>
  <c r="AC101" i="12"/>
  <c r="AE101" i="12" s="1"/>
  <c r="O101" i="12"/>
  <c r="Q101" i="12" s="1"/>
  <c r="J101" i="12"/>
  <c r="L101" i="12" s="1"/>
  <c r="R101" i="12" s="1"/>
  <c r="AF100" i="12"/>
  <c r="AE100" i="12"/>
  <c r="AD100" i="12"/>
  <c r="AC100" i="12"/>
  <c r="Q100" i="12"/>
  <c r="O100" i="12"/>
  <c r="O105" i="12" s="1"/>
  <c r="J100" i="12"/>
  <c r="J105" i="12" s="1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P98" i="12"/>
  <c r="N98" i="12"/>
  <c r="M98" i="12"/>
  <c r="K98" i="12"/>
  <c r="I98" i="12"/>
  <c r="H98" i="12"/>
  <c r="G98" i="12"/>
  <c r="F98" i="12"/>
  <c r="AF97" i="12"/>
  <c r="AE97" i="12"/>
  <c r="AD97" i="12"/>
  <c r="AC97" i="12"/>
  <c r="O97" i="12"/>
  <c r="Q97" i="12" s="1"/>
  <c r="J97" i="12"/>
  <c r="L97" i="12" s="1"/>
  <c r="AD96" i="12"/>
  <c r="AF96" i="12" s="1"/>
  <c r="AC96" i="12"/>
  <c r="AE96" i="12" s="1"/>
  <c r="O96" i="12"/>
  <c r="Q96" i="12" s="1"/>
  <c r="J96" i="12"/>
  <c r="L96" i="12" s="1"/>
  <c r="AE95" i="12"/>
  <c r="AD95" i="12"/>
  <c r="AF95" i="12" s="1"/>
  <c r="AC95" i="12"/>
  <c r="O95" i="12"/>
  <c r="Q95" i="12" s="1"/>
  <c r="J95" i="12"/>
  <c r="L95" i="12" s="1"/>
  <c r="AF94" i="12"/>
  <c r="AE94" i="12"/>
  <c r="AD94" i="12"/>
  <c r="AC94" i="12"/>
  <c r="O94" i="12"/>
  <c r="Q94" i="12" s="1"/>
  <c r="J94" i="12"/>
  <c r="L94" i="12" s="1"/>
  <c r="AD93" i="12"/>
  <c r="AF93" i="12" s="1"/>
  <c r="AC93" i="12"/>
  <c r="AE93" i="12" s="1"/>
  <c r="AE98" i="12" s="1"/>
  <c r="O93" i="12"/>
  <c r="O98" i="12" s="1"/>
  <c r="J93" i="12"/>
  <c r="L93" i="12" s="1"/>
  <c r="AB91" i="12"/>
  <c r="AA91" i="12"/>
  <c r="Z91" i="12"/>
  <c r="Y91" i="12"/>
  <c r="X91" i="12"/>
  <c r="W91" i="12"/>
  <c r="V91" i="12"/>
  <c r="U91" i="12"/>
  <c r="T91" i="12"/>
  <c r="S91" i="12"/>
  <c r="R91" i="12"/>
  <c r="P91" i="12"/>
  <c r="N91" i="12"/>
  <c r="M91" i="12"/>
  <c r="K91" i="12"/>
  <c r="I91" i="12"/>
  <c r="H91" i="12"/>
  <c r="G91" i="12"/>
  <c r="F91" i="12"/>
  <c r="AD90" i="12"/>
  <c r="AF90" i="12" s="1"/>
  <c r="AC90" i="12"/>
  <c r="AE90" i="12" s="1"/>
  <c r="O90" i="12"/>
  <c r="Q90" i="12" s="1"/>
  <c r="L90" i="12"/>
  <c r="J90" i="12"/>
  <c r="AD89" i="12"/>
  <c r="AF89" i="12" s="1"/>
  <c r="AC89" i="12"/>
  <c r="AE89" i="12" s="1"/>
  <c r="O89" i="12"/>
  <c r="Q89" i="12" s="1"/>
  <c r="J89" i="12"/>
  <c r="L89" i="12" s="1"/>
  <c r="AE88" i="12"/>
  <c r="AD88" i="12"/>
  <c r="AF88" i="12" s="1"/>
  <c r="AC88" i="12"/>
  <c r="O88" i="12"/>
  <c r="Q88" i="12" s="1"/>
  <c r="L88" i="12"/>
  <c r="J88" i="12"/>
  <c r="AD87" i="12"/>
  <c r="AF87" i="12" s="1"/>
  <c r="AC87" i="12"/>
  <c r="AC91" i="12" s="1"/>
  <c r="O87" i="12"/>
  <c r="Q87" i="12" s="1"/>
  <c r="L87" i="12"/>
  <c r="J87" i="12"/>
  <c r="AD86" i="12"/>
  <c r="AF86" i="12" s="1"/>
  <c r="AF91" i="12" s="1"/>
  <c r="AC86" i="12"/>
  <c r="AE86" i="12" s="1"/>
  <c r="O86" i="12"/>
  <c r="Q86" i="12" s="1"/>
  <c r="J86" i="12"/>
  <c r="J91" i="12" s="1"/>
  <c r="AD84" i="12"/>
  <c r="AB84" i="12"/>
  <c r="AA84" i="12"/>
  <c r="Z84" i="12"/>
  <c r="Y84" i="12"/>
  <c r="X84" i="12"/>
  <c r="W84" i="12"/>
  <c r="V84" i="12"/>
  <c r="U84" i="12"/>
  <c r="T84" i="12"/>
  <c r="S84" i="12"/>
  <c r="R84" i="12"/>
  <c r="P84" i="12"/>
  <c r="N84" i="12"/>
  <c r="M84" i="12"/>
  <c r="K84" i="12"/>
  <c r="I84" i="12"/>
  <c r="H84" i="12"/>
  <c r="G84" i="12"/>
  <c r="F84" i="12"/>
  <c r="AD83" i="12"/>
  <c r="AF83" i="12" s="1"/>
  <c r="AC83" i="12"/>
  <c r="AE83" i="12" s="1"/>
  <c r="O83" i="12"/>
  <c r="Q83" i="12" s="1"/>
  <c r="J83" i="12"/>
  <c r="L83" i="12" s="1"/>
  <c r="AD82" i="12"/>
  <c r="AF82" i="12" s="1"/>
  <c r="AC82" i="12"/>
  <c r="AE82" i="12" s="1"/>
  <c r="O82" i="12"/>
  <c r="Q82" i="12" s="1"/>
  <c r="J82" i="12"/>
  <c r="L82" i="12" s="1"/>
  <c r="AD81" i="12"/>
  <c r="AF81" i="12" s="1"/>
  <c r="AC81" i="12"/>
  <c r="AE81" i="12" s="1"/>
  <c r="O81" i="12"/>
  <c r="Q81" i="12" s="1"/>
  <c r="J81" i="12"/>
  <c r="L81" i="12" s="1"/>
  <c r="AD80" i="12"/>
  <c r="AF80" i="12" s="1"/>
  <c r="AC80" i="12"/>
  <c r="AE80" i="12" s="1"/>
  <c r="O80" i="12"/>
  <c r="O84" i="12" s="1"/>
  <c r="J80" i="12"/>
  <c r="L80" i="12" s="1"/>
  <c r="AD79" i="12"/>
  <c r="AF79" i="12" s="1"/>
  <c r="AC79" i="12"/>
  <c r="AC84" i="12" s="1"/>
  <c r="O79" i="12"/>
  <c r="Q79" i="12" s="1"/>
  <c r="J79" i="12"/>
  <c r="L79" i="12" s="1"/>
  <c r="AB77" i="12"/>
  <c r="AA77" i="12"/>
  <c r="Z77" i="12"/>
  <c r="Y77" i="12"/>
  <c r="X77" i="12"/>
  <c r="W77" i="12"/>
  <c r="V77" i="12"/>
  <c r="U77" i="12"/>
  <c r="T77" i="12"/>
  <c r="S77" i="12"/>
  <c r="R77" i="12"/>
  <c r="P77" i="12"/>
  <c r="O77" i="12"/>
  <c r="N77" i="12"/>
  <c r="M77" i="12"/>
  <c r="K77" i="12"/>
  <c r="I77" i="12"/>
  <c r="H77" i="12"/>
  <c r="G77" i="12"/>
  <c r="F77" i="12"/>
  <c r="AD76" i="12"/>
  <c r="AF76" i="12" s="1"/>
  <c r="AC76" i="12"/>
  <c r="AE76" i="12" s="1"/>
  <c r="Q76" i="12"/>
  <c r="O76" i="12"/>
  <c r="J76" i="12"/>
  <c r="L76" i="12" s="1"/>
  <c r="AF75" i="12"/>
  <c r="AD75" i="12"/>
  <c r="AC75" i="12"/>
  <c r="AE75" i="12" s="1"/>
  <c r="O75" i="12"/>
  <c r="Q75" i="12" s="1"/>
  <c r="J75" i="12"/>
  <c r="L75" i="12" s="1"/>
  <c r="AF74" i="12"/>
  <c r="AD74" i="12"/>
  <c r="AC74" i="12"/>
  <c r="AE74" i="12" s="1"/>
  <c r="Q74" i="12"/>
  <c r="O74" i="12"/>
  <c r="J74" i="12"/>
  <c r="L74" i="12" s="1"/>
  <c r="AD73" i="12"/>
  <c r="AD77" i="12" s="1"/>
  <c r="AC73" i="12"/>
  <c r="AE73" i="12" s="1"/>
  <c r="Q73" i="12"/>
  <c r="O73" i="12"/>
  <c r="J73" i="12"/>
  <c r="L73" i="12" s="1"/>
  <c r="AF72" i="12"/>
  <c r="AD72" i="12"/>
  <c r="AC72" i="12"/>
  <c r="AE72" i="12" s="1"/>
  <c r="O72" i="12"/>
  <c r="Q72" i="12" s="1"/>
  <c r="J72" i="12"/>
  <c r="L72" i="12" s="1"/>
  <c r="AB70" i="12"/>
  <c r="AA70" i="12"/>
  <c r="Z70" i="12"/>
  <c r="Y70" i="12"/>
  <c r="X70" i="12"/>
  <c r="W70" i="12"/>
  <c r="V70" i="12"/>
  <c r="U70" i="12"/>
  <c r="T70" i="12"/>
  <c r="S70" i="12"/>
  <c r="R70" i="12"/>
  <c r="P70" i="12"/>
  <c r="N70" i="12"/>
  <c r="M70" i="12"/>
  <c r="K70" i="12"/>
  <c r="I70" i="12"/>
  <c r="H70" i="12"/>
  <c r="G70" i="12"/>
  <c r="F70" i="12"/>
  <c r="AE69" i="12"/>
  <c r="AD69" i="12"/>
  <c r="AF69" i="12" s="1"/>
  <c r="AC69" i="12"/>
  <c r="O69" i="12"/>
  <c r="Q69" i="12" s="1"/>
  <c r="J69" i="12"/>
  <c r="L69" i="12" s="1"/>
  <c r="AF68" i="12"/>
  <c r="AE68" i="12"/>
  <c r="AD68" i="12"/>
  <c r="AC68" i="12"/>
  <c r="O68" i="12"/>
  <c r="Q68" i="12" s="1"/>
  <c r="J68" i="12"/>
  <c r="L68" i="12" s="1"/>
  <c r="AD67" i="12"/>
  <c r="AF67" i="12" s="1"/>
  <c r="AC67" i="12"/>
  <c r="AE67" i="12" s="1"/>
  <c r="O67" i="12"/>
  <c r="Q67" i="12" s="1"/>
  <c r="J67" i="12"/>
  <c r="L67" i="12" s="1"/>
  <c r="AE66" i="12"/>
  <c r="AD66" i="12"/>
  <c r="AF66" i="12" s="1"/>
  <c r="AC66" i="12"/>
  <c r="AC70" i="12" s="1"/>
  <c r="O66" i="12"/>
  <c r="Q66" i="12" s="1"/>
  <c r="J66" i="12"/>
  <c r="L66" i="12" s="1"/>
  <c r="AF65" i="12"/>
  <c r="AE65" i="12"/>
  <c r="AD65" i="12"/>
  <c r="AD70" i="12" s="1"/>
  <c r="AC65" i="12"/>
  <c r="O65" i="12"/>
  <c r="Q65" i="12" s="1"/>
  <c r="Q70" i="12" s="1"/>
  <c r="J65" i="12"/>
  <c r="L65" i="12" s="1"/>
  <c r="AB63" i="12"/>
  <c r="AA63" i="12"/>
  <c r="Z63" i="12"/>
  <c r="Y63" i="12"/>
  <c r="X63" i="12"/>
  <c r="W63" i="12"/>
  <c r="V63" i="12"/>
  <c r="U63" i="12"/>
  <c r="T63" i="12"/>
  <c r="S63" i="12"/>
  <c r="P63" i="12"/>
  <c r="O63" i="12"/>
  <c r="N63" i="12"/>
  <c r="M63" i="12"/>
  <c r="K63" i="12"/>
  <c r="I63" i="12"/>
  <c r="H63" i="12"/>
  <c r="G63" i="12"/>
  <c r="F63" i="12"/>
  <c r="AE62" i="12"/>
  <c r="AD62" i="12"/>
  <c r="AF62" i="12" s="1"/>
  <c r="AC62" i="12"/>
  <c r="O62" i="12"/>
  <c r="Q62" i="12" s="1"/>
  <c r="J62" i="12"/>
  <c r="L62" i="12" s="1"/>
  <c r="AD61" i="12"/>
  <c r="AF61" i="12" s="1"/>
  <c r="AC61" i="12"/>
  <c r="AC63" i="12" s="1"/>
  <c r="Q61" i="12"/>
  <c r="O61" i="12"/>
  <c r="J61" i="12"/>
  <c r="L61" i="12" s="1"/>
  <c r="R61" i="12" s="1"/>
  <c r="AF60" i="12"/>
  <c r="AD60" i="12"/>
  <c r="AC60" i="12"/>
  <c r="AE60" i="12" s="1"/>
  <c r="O60" i="12"/>
  <c r="Q60" i="12" s="1"/>
  <c r="J60" i="12"/>
  <c r="L60" i="12" s="1"/>
  <c r="R60" i="12" s="1"/>
  <c r="AD59" i="12"/>
  <c r="AF59" i="12" s="1"/>
  <c r="AC59" i="12"/>
  <c r="AE59" i="12" s="1"/>
  <c r="O59" i="12"/>
  <c r="Q59" i="12" s="1"/>
  <c r="J59" i="12"/>
  <c r="L59" i="12" s="1"/>
  <c r="AE58" i="12"/>
  <c r="AD58" i="12"/>
  <c r="AD63" i="12" s="1"/>
  <c r="AC58" i="12"/>
  <c r="O58" i="12"/>
  <c r="Q58" i="12" s="1"/>
  <c r="J58" i="12"/>
  <c r="J63" i="12" s="1"/>
  <c r="AC56" i="12"/>
  <c r="AB56" i="12"/>
  <c r="AA56" i="12"/>
  <c r="Z56" i="12"/>
  <c r="Y56" i="12"/>
  <c r="X56" i="12"/>
  <c r="W56" i="12"/>
  <c r="V56" i="12"/>
  <c r="U56" i="12"/>
  <c r="T56" i="12"/>
  <c r="S56" i="12"/>
  <c r="R56" i="12"/>
  <c r="P56" i="12"/>
  <c r="O56" i="12"/>
  <c r="N56" i="12"/>
  <c r="M56" i="12"/>
  <c r="K56" i="12"/>
  <c r="I56" i="12"/>
  <c r="H56" i="12"/>
  <c r="G56" i="12"/>
  <c r="F56" i="12"/>
  <c r="AE55" i="12"/>
  <c r="AD55" i="12"/>
  <c r="AF55" i="12" s="1"/>
  <c r="AC55" i="12"/>
  <c r="O55" i="12"/>
  <c r="Q55" i="12" s="1"/>
  <c r="L55" i="12"/>
  <c r="J55" i="12"/>
  <c r="AD54" i="12"/>
  <c r="AF54" i="12" s="1"/>
  <c r="AC54" i="12"/>
  <c r="AE54" i="12" s="1"/>
  <c r="O54" i="12"/>
  <c r="Q54" i="12" s="1"/>
  <c r="L54" i="12"/>
  <c r="J54" i="12"/>
  <c r="AD53" i="12"/>
  <c r="AF53" i="12" s="1"/>
  <c r="AC53" i="12"/>
  <c r="AE53" i="12" s="1"/>
  <c r="O53" i="12"/>
  <c r="Q53" i="12" s="1"/>
  <c r="J53" i="12"/>
  <c r="L53" i="12" s="1"/>
  <c r="AE52" i="12"/>
  <c r="AD52" i="12"/>
  <c r="AD56" i="12" s="1"/>
  <c r="AC52" i="12"/>
  <c r="O52" i="12"/>
  <c r="Q52" i="12" s="1"/>
  <c r="L52" i="12"/>
  <c r="J52" i="12"/>
  <c r="J56" i="12" s="1"/>
  <c r="AD51" i="12"/>
  <c r="AF51" i="12" s="1"/>
  <c r="AC51" i="12"/>
  <c r="AE51" i="12" s="1"/>
  <c r="O51" i="12"/>
  <c r="Q51" i="12" s="1"/>
  <c r="L51" i="12"/>
  <c r="J51" i="12"/>
  <c r="AB49" i="12"/>
  <c r="AA49" i="12"/>
  <c r="Z49" i="12"/>
  <c r="Y49" i="12"/>
  <c r="X49" i="12"/>
  <c r="W49" i="12"/>
  <c r="V49" i="12"/>
  <c r="U49" i="12"/>
  <c r="T49" i="12"/>
  <c r="S49" i="12"/>
  <c r="R49" i="12"/>
  <c r="P49" i="12"/>
  <c r="N49" i="12"/>
  <c r="M49" i="12"/>
  <c r="K49" i="12"/>
  <c r="I49" i="12"/>
  <c r="H49" i="12"/>
  <c r="G49" i="12"/>
  <c r="F49" i="12"/>
  <c r="AD48" i="12"/>
  <c r="AF48" i="12" s="1"/>
  <c r="AC48" i="12"/>
  <c r="AE48" i="12" s="1"/>
  <c r="O48" i="12"/>
  <c r="Q48" i="12" s="1"/>
  <c r="J48" i="12"/>
  <c r="L48" i="12" s="1"/>
  <c r="AD47" i="12"/>
  <c r="AF47" i="12" s="1"/>
  <c r="AC47" i="12"/>
  <c r="AE47" i="12" s="1"/>
  <c r="O47" i="12"/>
  <c r="Q47" i="12" s="1"/>
  <c r="J47" i="12"/>
  <c r="L47" i="12" s="1"/>
  <c r="AD46" i="12"/>
  <c r="AF46" i="12" s="1"/>
  <c r="AC46" i="12"/>
  <c r="AE46" i="12" s="1"/>
  <c r="Q46" i="12"/>
  <c r="O46" i="12"/>
  <c r="J46" i="12"/>
  <c r="L46" i="12" s="1"/>
  <c r="AD45" i="12"/>
  <c r="AD49" i="12" s="1"/>
  <c r="AC45" i="12"/>
  <c r="AE45" i="12" s="1"/>
  <c r="O45" i="12"/>
  <c r="Q45" i="12" s="1"/>
  <c r="J45" i="12"/>
  <c r="L45" i="12" s="1"/>
  <c r="AD44" i="12"/>
  <c r="AF44" i="12" s="1"/>
  <c r="AC44" i="12"/>
  <c r="AE44" i="12" s="1"/>
  <c r="O44" i="12"/>
  <c r="Q44" i="12" s="1"/>
  <c r="Q49" i="12" s="1"/>
  <c r="J44" i="12"/>
  <c r="L44" i="12" s="1"/>
  <c r="L49" i="12" s="1"/>
  <c r="AB42" i="12"/>
  <c r="AA42" i="12"/>
  <c r="Z42" i="12"/>
  <c r="Y42" i="12"/>
  <c r="X42" i="12"/>
  <c r="W42" i="12"/>
  <c r="V42" i="12"/>
  <c r="U42" i="12"/>
  <c r="T42" i="12"/>
  <c r="S42" i="12"/>
  <c r="P42" i="12"/>
  <c r="N42" i="12"/>
  <c r="M42" i="12"/>
  <c r="K42" i="12"/>
  <c r="I42" i="12"/>
  <c r="H42" i="12"/>
  <c r="G42" i="12"/>
  <c r="F42" i="12"/>
  <c r="AF41" i="12"/>
  <c r="AD41" i="12"/>
  <c r="AC41" i="12"/>
  <c r="AE41" i="12" s="1"/>
  <c r="O41" i="12"/>
  <c r="Q41" i="12" s="1"/>
  <c r="J41" i="12"/>
  <c r="L41" i="12" s="1"/>
  <c r="R41" i="12" s="1"/>
  <c r="AD40" i="12"/>
  <c r="AD42" i="12" s="1"/>
  <c r="AC40" i="12"/>
  <c r="AC42" i="12" s="1"/>
  <c r="O40" i="12"/>
  <c r="Q40" i="12" s="1"/>
  <c r="L40" i="12"/>
  <c r="R40" i="12" s="1"/>
  <c r="J40" i="12"/>
  <c r="AD39" i="12"/>
  <c r="AF39" i="12" s="1"/>
  <c r="AC39" i="12"/>
  <c r="AE39" i="12" s="1"/>
  <c r="O39" i="12"/>
  <c r="Q39" i="12" s="1"/>
  <c r="J39" i="12"/>
  <c r="L39" i="12" s="1"/>
  <c r="R39" i="12" s="1"/>
  <c r="AE38" i="12"/>
  <c r="AD38" i="12"/>
  <c r="AF38" i="12" s="1"/>
  <c r="AC38" i="12"/>
  <c r="O38" i="12"/>
  <c r="Q38" i="12" s="1"/>
  <c r="J38" i="12"/>
  <c r="L38" i="12" s="1"/>
  <c r="R38" i="12" s="1"/>
  <c r="AF37" i="12"/>
  <c r="AD37" i="12"/>
  <c r="AC37" i="12"/>
  <c r="AE37" i="12" s="1"/>
  <c r="O37" i="12"/>
  <c r="O42" i="12" s="1"/>
  <c r="J37" i="12"/>
  <c r="J42" i="12" s="1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P35" i="12"/>
  <c r="N35" i="12"/>
  <c r="M35" i="12"/>
  <c r="K35" i="12"/>
  <c r="I35" i="12"/>
  <c r="H35" i="12"/>
  <c r="G35" i="12"/>
  <c r="F35" i="12"/>
  <c r="AF34" i="12"/>
  <c r="AD34" i="12"/>
  <c r="AC34" i="12"/>
  <c r="AE34" i="12" s="1"/>
  <c r="Q34" i="12"/>
  <c r="O34" i="12"/>
  <c r="J34" i="12"/>
  <c r="L34" i="12" s="1"/>
  <c r="AD33" i="12"/>
  <c r="AF33" i="12" s="1"/>
  <c r="AC33" i="12"/>
  <c r="AE33" i="12" s="1"/>
  <c r="Q33" i="12"/>
  <c r="O33" i="12"/>
  <c r="J33" i="12"/>
  <c r="L33" i="12" s="1"/>
  <c r="AF32" i="12"/>
  <c r="AD32" i="12"/>
  <c r="AC32" i="12"/>
  <c r="AE32" i="12" s="1"/>
  <c r="O32" i="12"/>
  <c r="Q32" i="12" s="1"/>
  <c r="J32" i="12"/>
  <c r="L32" i="12" s="1"/>
  <c r="AF31" i="12"/>
  <c r="AD31" i="12"/>
  <c r="AC31" i="12"/>
  <c r="AE31" i="12" s="1"/>
  <c r="Q31" i="12"/>
  <c r="O31" i="12"/>
  <c r="J31" i="12"/>
  <c r="L31" i="12" s="1"/>
  <c r="AD30" i="12"/>
  <c r="AF30" i="12" s="1"/>
  <c r="AC30" i="12"/>
  <c r="AE30" i="12" s="1"/>
  <c r="Q30" i="12"/>
  <c r="O30" i="12"/>
  <c r="O35" i="12" s="1"/>
  <c r="J30" i="12"/>
  <c r="L30" i="12" s="1"/>
  <c r="AB28" i="12"/>
  <c r="AA28" i="12"/>
  <c r="Z28" i="12"/>
  <c r="Y28" i="12"/>
  <c r="X28" i="12"/>
  <c r="W28" i="12"/>
  <c r="V28" i="12"/>
  <c r="U28" i="12"/>
  <c r="T28" i="12"/>
  <c r="S28" i="12"/>
  <c r="R28" i="12"/>
  <c r="P28" i="12"/>
  <c r="N28" i="12"/>
  <c r="M28" i="12"/>
  <c r="K28" i="12"/>
  <c r="I28" i="12"/>
  <c r="H28" i="12"/>
  <c r="G28" i="12"/>
  <c r="F28" i="12"/>
  <c r="AD27" i="12"/>
  <c r="AF27" i="12" s="1"/>
  <c r="AC27" i="12"/>
  <c r="AE27" i="12" s="1"/>
  <c r="O27" i="12"/>
  <c r="Q27" i="12" s="1"/>
  <c r="J27" i="12"/>
  <c r="L27" i="12" s="1"/>
  <c r="AE26" i="12"/>
  <c r="AD26" i="12"/>
  <c r="AF26" i="12" s="1"/>
  <c r="AC26" i="12"/>
  <c r="O26" i="12"/>
  <c r="Q26" i="12" s="1"/>
  <c r="J26" i="12"/>
  <c r="L26" i="12" s="1"/>
  <c r="AF25" i="12"/>
  <c r="AE25" i="12"/>
  <c r="AD25" i="12"/>
  <c r="AC25" i="12"/>
  <c r="O25" i="12"/>
  <c r="Q25" i="12" s="1"/>
  <c r="J25" i="12"/>
  <c r="L25" i="12" s="1"/>
  <c r="AD24" i="12"/>
  <c r="AD28" i="12" s="1"/>
  <c r="AC24" i="12"/>
  <c r="AC28" i="12" s="1"/>
  <c r="O24" i="12"/>
  <c r="O28" i="12" s="1"/>
  <c r="J24" i="12"/>
  <c r="L24" i="12" s="1"/>
  <c r="AE23" i="12"/>
  <c r="AD23" i="12"/>
  <c r="AF23" i="12" s="1"/>
  <c r="AC23" i="12"/>
  <c r="O23" i="12"/>
  <c r="Q23" i="12" s="1"/>
  <c r="J23" i="12"/>
  <c r="J28" i="12" s="1"/>
  <c r="AB21" i="12"/>
  <c r="AA21" i="12"/>
  <c r="Z21" i="12"/>
  <c r="Y21" i="12"/>
  <c r="X21" i="12"/>
  <c r="W21" i="12"/>
  <c r="V21" i="12"/>
  <c r="U21" i="12"/>
  <c r="T21" i="12"/>
  <c r="S21" i="12"/>
  <c r="R21" i="12"/>
  <c r="P21" i="12"/>
  <c r="N21" i="12"/>
  <c r="M21" i="12"/>
  <c r="K21" i="12"/>
  <c r="I21" i="12"/>
  <c r="H21" i="12"/>
  <c r="G21" i="12"/>
  <c r="F21" i="12"/>
  <c r="AD20" i="12"/>
  <c r="AF20" i="12" s="1"/>
  <c r="AC20" i="12"/>
  <c r="AE20" i="12" s="1"/>
  <c r="O20" i="12"/>
  <c r="Q20" i="12" s="1"/>
  <c r="J20" i="12"/>
  <c r="L20" i="12" s="1"/>
  <c r="AE19" i="12"/>
  <c r="AD19" i="12"/>
  <c r="AF19" i="12" s="1"/>
  <c r="AC19" i="12"/>
  <c r="O19" i="12"/>
  <c r="Q19" i="12" s="1"/>
  <c r="L19" i="12"/>
  <c r="J19" i="12"/>
  <c r="AD18" i="12"/>
  <c r="AF18" i="12" s="1"/>
  <c r="AC18" i="12"/>
  <c r="AE18" i="12" s="1"/>
  <c r="O18" i="12"/>
  <c r="Q18" i="12" s="1"/>
  <c r="L18" i="12"/>
  <c r="J18" i="12"/>
  <c r="AD17" i="12"/>
  <c r="AF17" i="12" s="1"/>
  <c r="AC17" i="12"/>
  <c r="AE17" i="12" s="1"/>
  <c r="AE21" i="12" s="1"/>
  <c r="O17" i="12"/>
  <c r="O21" i="12" s="1"/>
  <c r="J17" i="12"/>
  <c r="L17" i="12" s="1"/>
  <c r="AE16" i="12"/>
  <c r="AD16" i="12"/>
  <c r="AD21" i="12" s="1"/>
  <c r="AC16" i="12"/>
  <c r="AC21" i="12" s="1"/>
  <c r="O16" i="12"/>
  <c r="Q16" i="12" s="1"/>
  <c r="L16" i="12"/>
  <c r="J16" i="12"/>
  <c r="AB14" i="12"/>
  <c r="AA14" i="12"/>
  <c r="Z14" i="12"/>
  <c r="Y14" i="12"/>
  <c r="X14" i="12"/>
  <c r="W14" i="12"/>
  <c r="V14" i="12"/>
  <c r="U14" i="12"/>
  <c r="T14" i="12"/>
  <c r="S14" i="12"/>
  <c r="R14" i="12"/>
  <c r="P14" i="12"/>
  <c r="O14" i="12"/>
  <c r="N14" i="12"/>
  <c r="M14" i="12"/>
  <c r="K14" i="12"/>
  <c r="I14" i="12"/>
  <c r="H14" i="12"/>
  <c r="G14" i="12"/>
  <c r="F14" i="12"/>
  <c r="AD13" i="12"/>
  <c r="AF13" i="12" s="1"/>
  <c r="AC13" i="12"/>
  <c r="AE13" i="12" s="1"/>
  <c r="O13" i="12"/>
  <c r="Q13" i="12" s="1"/>
  <c r="J13" i="12"/>
  <c r="L13" i="12" s="1"/>
  <c r="AD12" i="12"/>
  <c r="AF12" i="12" s="1"/>
  <c r="AC12" i="12"/>
  <c r="AE12" i="12" s="1"/>
  <c r="O12" i="12"/>
  <c r="Q12" i="12" s="1"/>
  <c r="J12" i="12"/>
  <c r="L12" i="12" s="1"/>
  <c r="AD11" i="12"/>
  <c r="AF11" i="12" s="1"/>
  <c r="AC11" i="12"/>
  <c r="AE11" i="12" s="1"/>
  <c r="O11" i="12"/>
  <c r="Q11" i="12" s="1"/>
  <c r="J11" i="12"/>
  <c r="L11" i="12" s="1"/>
  <c r="AD10" i="12"/>
  <c r="AF10" i="12" s="1"/>
  <c r="AC10" i="12"/>
  <c r="AC14" i="12" s="1"/>
  <c r="Q10" i="12"/>
  <c r="O10" i="12"/>
  <c r="J10" i="12"/>
  <c r="L10" i="12" s="1"/>
  <c r="AD9" i="12"/>
  <c r="AF9" i="12" s="1"/>
  <c r="AF14" i="12" s="1"/>
  <c r="AC9" i="12"/>
  <c r="AE9" i="12" s="1"/>
  <c r="O9" i="12"/>
  <c r="Q9" i="12" s="1"/>
  <c r="Q14" i="12" s="1"/>
  <c r="J9" i="12"/>
  <c r="L9" i="12" s="1"/>
  <c r="AB7" i="12"/>
  <c r="AA7" i="12"/>
  <c r="Z7" i="12"/>
  <c r="Y7" i="12"/>
  <c r="X7" i="12"/>
  <c r="W7" i="12"/>
  <c r="V7" i="12"/>
  <c r="U7" i="12"/>
  <c r="T7" i="12"/>
  <c r="S7" i="12"/>
  <c r="P7" i="12"/>
  <c r="N7" i="12"/>
  <c r="M7" i="12"/>
  <c r="K7" i="12"/>
  <c r="I7" i="12"/>
  <c r="H7" i="12"/>
  <c r="G7" i="12"/>
  <c r="F7" i="12"/>
  <c r="AF6" i="12"/>
  <c r="AD6" i="12"/>
  <c r="AC6" i="12"/>
  <c r="AE6" i="12" s="1"/>
  <c r="O6" i="12"/>
  <c r="Q6" i="12" s="1"/>
  <c r="J6" i="12"/>
  <c r="L6" i="12" s="1"/>
  <c r="R6" i="12" s="1"/>
  <c r="AD5" i="12"/>
  <c r="AF5" i="12" s="1"/>
  <c r="AC5" i="12"/>
  <c r="AE5" i="12" s="1"/>
  <c r="O5" i="12"/>
  <c r="Q5" i="12" s="1"/>
  <c r="J5" i="12"/>
  <c r="L5" i="12" s="1"/>
  <c r="R5" i="12" s="1"/>
  <c r="AE4" i="12"/>
  <c r="AD4" i="12"/>
  <c r="AF4" i="12" s="1"/>
  <c r="AC4" i="12"/>
  <c r="O4" i="12"/>
  <c r="Q4" i="12" s="1"/>
  <c r="J4" i="12"/>
  <c r="L4" i="12" s="1"/>
  <c r="AD3" i="12"/>
  <c r="AF3" i="12" s="1"/>
  <c r="AC3" i="12"/>
  <c r="AE3" i="12" s="1"/>
  <c r="Q3" i="12"/>
  <c r="O3" i="12"/>
  <c r="J3" i="12"/>
  <c r="L3" i="12" s="1"/>
  <c r="R3" i="12" s="1"/>
  <c r="AF2" i="12"/>
  <c r="AD2" i="12"/>
  <c r="AD7" i="12" s="1"/>
  <c r="AC2" i="12"/>
  <c r="AC7" i="12" s="1"/>
  <c r="O2" i="12"/>
  <c r="Q2" i="12" s="1"/>
  <c r="J2" i="12"/>
  <c r="J7" i="12" s="1"/>
  <c r="AK84" i="11"/>
  <c r="AJ84" i="11"/>
  <c r="AI84" i="11"/>
  <c r="AH84" i="11"/>
  <c r="AG84" i="11"/>
  <c r="AD84" i="11"/>
  <c r="AC84" i="11"/>
  <c r="AB84" i="11"/>
  <c r="AA84" i="11"/>
  <c r="Z84" i="11"/>
  <c r="W84" i="11"/>
  <c r="V84" i="11"/>
  <c r="U84" i="11"/>
  <c r="T84" i="11"/>
  <c r="S84" i="11"/>
  <c r="P84" i="11"/>
  <c r="O84" i="11"/>
  <c r="N84" i="11"/>
  <c r="M84" i="11"/>
  <c r="L84" i="11"/>
  <c r="I84" i="11"/>
  <c r="H84" i="11"/>
  <c r="G84" i="11"/>
  <c r="F84" i="11"/>
  <c r="E84" i="11"/>
  <c r="AR83" i="11"/>
  <c r="AQ83" i="11"/>
  <c r="AP83" i="11"/>
  <c r="AO83" i="11"/>
  <c r="AN83" i="11"/>
  <c r="AS83" i="11" s="1"/>
  <c r="AL83" i="11"/>
  <c r="AE83" i="11"/>
  <c r="X83" i="11"/>
  <c r="Q83" i="11"/>
  <c r="J83" i="11"/>
  <c r="AS82" i="11"/>
  <c r="AR82" i="11"/>
  <c r="AQ82" i="11"/>
  <c r="AP82" i="11"/>
  <c r="AO82" i="11"/>
  <c r="AN82" i="11"/>
  <c r="AL82" i="11"/>
  <c r="AE82" i="11"/>
  <c r="X82" i="11"/>
  <c r="Q82" i="11"/>
  <c r="J82" i="11"/>
  <c r="AR81" i="11"/>
  <c r="AS81" i="11" s="1"/>
  <c r="AQ81" i="11"/>
  <c r="AP81" i="11"/>
  <c r="AO81" i="11"/>
  <c r="AN81" i="11"/>
  <c r="AL81" i="11"/>
  <c r="AE81" i="11"/>
  <c r="X81" i="11"/>
  <c r="X84" i="11" s="1"/>
  <c r="Q81" i="11"/>
  <c r="J81" i="11"/>
  <c r="AR80" i="11"/>
  <c r="AQ80" i="11"/>
  <c r="AS80" i="11" s="1"/>
  <c r="AP80" i="11"/>
  <c r="AO80" i="11"/>
  <c r="AN80" i="11"/>
  <c r="AL80" i="11"/>
  <c r="AL84" i="11" s="1"/>
  <c r="AE80" i="11"/>
  <c r="X80" i="11"/>
  <c r="Q80" i="11"/>
  <c r="J80" i="11"/>
  <c r="AR79" i="11"/>
  <c r="AR84" i="11" s="1"/>
  <c r="AQ79" i="11"/>
  <c r="AQ84" i="11" s="1"/>
  <c r="AP79" i="11"/>
  <c r="AP84" i="11" s="1"/>
  <c r="AO79" i="11"/>
  <c r="AO84" i="11" s="1"/>
  <c r="AN79" i="11"/>
  <c r="AN84" i="11" s="1"/>
  <c r="AL79" i="11"/>
  <c r="AE79" i="11"/>
  <c r="AE84" i="11" s="1"/>
  <c r="X79" i="11"/>
  <c r="Q79" i="11"/>
  <c r="Q84" i="11" s="1"/>
  <c r="J79" i="11"/>
  <c r="J84" i="11" s="1"/>
  <c r="AK77" i="11"/>
  <c r="AJ77" i="11"/>
  <c r="AI77" i="11"/>
  <c r="AH77" i="11"/>
  <c r="AG77" i="11"/>
  <c r="AD77" i="11"/>
  <c r="AC77" i="11"/>
  <c r="AB77" i="11"/>
  <c r="AA77" i="11"/>
  <c r="Z77" i="11"/>
  <c r="W77" i="11"/>
  <c r="V77" i="11"/>
  <c r="U77" i="11"/>
  <c r="T77" i="11"/>
  <c r="S77" i="11"/>
  <c r="P77" i="11"/>
  <c r="O77" i="11"/>
  <c r="N77" i="11"/>
  <c r="M77" i="11"/>
  <c r="L77" i="11"/>
  <c r="I77" i="11"/>
  <c r="H77" i="11"/>
  <c r="G77" i="11"/>
  <c r="F77" i="11"/>
  <c r="E77" i="11"/>
  <c r="AR76" i="11"/>
  <c r="AQ76" i="11"/>
  <c r="AP76" i="11"/>
  <c r="AP77" i="11" s="1"/>
  <c r="AO76" i="11"/>
  <c r="AS76" i="11" s="1"/>
  <c r="AN76" i="11"/>
  <c r="AL76" i="11"/>
  <c r="AE76" i="11"/>
  <c r="X76" i="11"/>
  <c r="Q76" i="11"/>
  <c r="J76" i="11"/>
  <c r="AR75" i="11"/>
  <c r="AQ75" i="11"/>
  <c r="AP75" i="11"/>
  <c r="AO75" i="11"/>
  <c r="AN75" i="11"/>
  <c r="AS75" i="11" s="1"/>
  <c r="AL75" i="11"/>
  <c r="AE75" i="11"/>
  <c r="X75" i="11"/>
  <c r="Q75" i="11"/>
  <c r="Q77" i="11" s="1"/>
  <c r="J75" i="11"/>
  <c r="AR74" i="11"/>
  <c r="AQ74" i="11"/>
  <c r="AP74" i="11"/>
  <c r="AO74" i="11"/>
  <c r="AN74" i="11"/>
  <c r="AS74" i="11" s="1"/>
  <c r="AL74" i="11"/>
  <c r="AE74" i="11"/>
  <c r="X74" i="11"/>
  <c r="Q74" i="11"/>
  <c r="J74" i="11"/>
  <c r="AR73" i="11"/>
  <c r="AR77" i="11" s="1"/>
  <c r="AQ73" i="11"/>
  <c r="AQ77" i="11" s="1"/>
  <c r="AP73" i="11"/>
  <c r="AO73" i="11"/>
  <c r="AN73" i="11"/>
  <c r="AS73" i="11" s="1"/>
  <c r="AL73" i="11"/>
  <c r="AE73" i="11"/>
  <c r="X73" i="11"/>
  <c r="Q73" i="11"/>
  <c r="J73" i="11"/>
  <c r="AS72" i="11"/>
  <c r="AS77" i="11" s="1"/>
  <c r="AR72" i="11"/>
  <c r="AQ72" i="11"/>
  <c r="AP72" i="11"/>
  <c r="AO72" i="11"/>
  <c r="AO77" i="11" s="1"/>
  <c r="AN72" i="11"/>
  <c r="AN77" i="11" s="1"/>
  <c r="AL72" i="11"/>
  <c r="AL77" i="11" s="1"/>
  <c r="AE72" i="11"/>
  <c r="AE77" i="11" s="1"/>
  <c r="X72" i="11"/>
  <c r="X77" i="11" s="1"/>
  <c r="Q72" i="11"/>
  <c r="J72" i="11"/>
  <c r="J77" i="11" s="1"/>
  <c r="AK70" i="11"/>
  <c r="AJ70" i="11"/>
  <c r="AI70" i="11"/>
  <c r="AH70" i="11"/>
  <c r="AG70" i="11"/>
  <c r="AD70" i="11"/>
  <c r="AC70" i="11"/>
  <c r="AB70" i="11"/>
  <c r="AA70" i="11"/>
  <c r="Z70" i="11"/>
  <c r="W70" i="11"/>
  <c r="V70" i="11"/>
  <c r="U70" i="11"/>
  <c r="T70" i="11"/>
  <c r="S70" i="11"/>
  <c r="P70" i="11"/>
  <c r="O70" i="11"/>
  <c r="N70" i="11"/>
  <c r="M70" i="11"/>
  <c r="L70" i="11"/>
  <c r="I70" i="11"/>
  <c r="H70" i="11"/>
  <c r="G70" i="11"/>
  <c r="F70" i="11"/>
  <c r="E70" i="11"/>
  <c r="AR69" i="11"/>
  <c r="AR70" i="11" s="1"/>
  <c r="AQ69" i="11"/>
  <c r="AP69" i="11"/>
  <c r="AO69" i="11"/>
  <c r="AN69" i="11"/>
  <c r="AS69" i="11" s="1"/>
  <c r="AL69" i="11"/>
  <c r="AE69" i="11"/>
  <c r="X69" i="11"/>
  <c r="Q69" i="11"/>
  <c r="J69" i="11"/>
  <c r="AR68" i="11"/>
  <c r="AQ68" i="11"/>
  <c r="AP68" i="11"/>
  <c r="AO68" i="11"/>
  <c r="AN68" i="11"/>
  <c r="AS68" i="11" s="1"/>
  <c r="AL68" i="11"/>
  <c r="AE68" i="11"/>
  <c r="X68" i="11"/>
  <c r="Q68" i="11"/>
  <c r="J68" i="11"/>
  <c r="AR67" i="11"/>
  <c r="AQ67" i="11"/>
  <c r="AP67" i="11"/>
  <c r="AP70" i="11" s="1"/>
  <c r="AO67" i="11"/>
  <c r="AN67" i="11"/>
  <c r="AS67" i="11" s="1"/>
  <c r="AL67" i="11"/>
  <c r="AE67" i="11"/>
  <c r="X67" i="11"/>
  <c r="Q67" i="11"/>
  <c r="J67" i="11"/>
  <c r="AR66" i="11"/>
  <c r="AQ66" i="11"/>
  <c r="AP66" i="11"/>
  <c r="AO66" i="11"/>
  <c r="AO70" i="11" s="1"/>
  <c r="AN66" i="11"/>
  <c r="AL66" i="11"/>
  <c r="AL70" i="11" s="1"/>
  <c r="AE66" i="11"/>
  <c r="X66" i="11"/>
  <c r="Q66" i="11"/>
  <c r="J66" i="11"/>
  <c r="AR65" i="11"/>
  <c r="AQ65" i="11"/>
  <c r="AQ70" i="11" s="1"/>
  <c r="AP65" i="11"/>
  <c r="AO65" i="11"/>
  <c r="AN65" i="11"/>
  <c r="AN70" i="11" s="1"/>
  <c r="AL65" i="11"/>
  <c r="AE65" i="11"/>
  <c r="AE70" i="11" s="1"/>
  <c r="X65" i="11"/>
  <c r="X70" i="11" s="1"/>
  <c r="Q65" i="11"/>
  <c r="Q70" i="11" s="1"/>
  <c r="J65" i="11"/>
  <c r="J70" i="11" s="1"/>
  <c r="AK63" i="11"/>
  <c r="AJ63" i="11"/>
  <c r="AI63" i="11"/>
  <c r="AH63" i="11"/>
  <c r="AG63" i="11"/>
  <c r="AD63" i="11"/>
  <c r="AC63" i="11"/>
  <c r="AB63" i="11"/>
  <c r="AA63" i="11"/>
  <c r="Z63" i="11"/>
  <c r="W63" i="11"/>
  <c r="V63" i="11"/>
  <c r="U63" i="11"/>
  <c r="T63" i="11"/>
  <c r="S63" i="11"/>
  <c r="P63" i="11"/>
  <c r="O63" i="11"/>
  <c r="N63" i="11"/>
  <c r="M63" i="11"/>
  <c r="L63" i="11"/>
  <c r="I63" i="11"/>
  <c r="H63" i="11"/>
  <c r="G63" i="11"/>
  <c r="F63" i="11"/>
  <c r="E63" i="11"/>
  <c r="AR62" i="11"/>
  <c r="AR63" i="11" s="1"/>
  <c r="AQ62" i="11"/>
  <c r="AS62" i="11" s="1"/>
  <c r="AP62" i="11"/>
  <c r="AO62" i="11"/>
  <c r="AN62" i="11"/>
  <c r="AL62" i="11"/>
  <c r="AL63" i="11" s="1"/>
  <c r="AE62" i="11"/>
  <c r="X62" i="11"/>
  <c r="Q62" i="11"/>
  <c r="J62" i="11"/>
  <c r="AR61" i="11"/>
  <c r="AQ61" i="11"/>
  <c r="AQ63" i="11" s="1"/>
  <c r="AP61" i="11"/>
  <c r="AS61" i="11" s="1"/>
  <c r="AO61" i="11"/>
  <c r="AN61" i="11"/>
  <c r="AL61" i="11"/>
  <c r="AE61" i="11"/>
  <c r="AE63" i="11" s="1"/>
  <c r="X61" i="11"/>
  <c r="Q61" i="11"/>
  <c r="J61" i="11"/>
  <c r="AR60" i="11"/>
  <c r="AQ60" i="11"/>
  <c r="AP60" i="11"/>
  <c r="AO60" i="11"/>
  <c r="AS60" i="11" s="1"/>
  <c r="AN60" i="11"/>
  <c r="AL60" i="11"/>
  <c r="AE60" i="11"/>
  <c r="X60" i="11"/>
  <c r="X63" i="11" s="1"/>
  <c r="Q60" i="11"/>
  <c r="J60" i="11"/>
  <c r="AR59" i="11"/>
  <c r="AQ59" i="11"/>
  <c r="AP59" i="11"/>
  <c r="AO59" i="11"/>
  <c r="AN59" i="11"/>
  <c r="AS59" i="11" s="1"/>
  <c r="AL59" i="11"/>
  <c r="AE59" i="11"/>
  <c r="X59" i="11"/>
  <c r="Q59" i="11"/>
  <c r="Q63" i="11" s="1"/>
  <c r="J59" i="11"/>
  <c r="AR58" i="11"/>
  <c r="AQ58" i="11"/>
  <c r="AP58" i="11"/>
  <c r="AP63" i="11" s="1"/>
  <c r="AO58" i="11"/>
  <c r="AO63" i="11" s="1"/>
  <c r="AN58" i="11"/>
  <c r="AN63" i="11" s="1"/>
  <c r="AL58" i="11"/>
  <c r="AE58" i="11"/>
  <c r="X58" i="11"/>
  <c r="Q58" i="11"/>
  <c r="J58" i="11"/>
  <c r="J63" i="11" s="1"/>
  <c r="AK56" i="11"/>
  <c r="AJ56" i="11"/>
  <c r="AI56" i="11"/>
  <c r="AH56" i="11"/>
  <c r="AG56" i="11"/>
  <c r="AD56" i="11"/>
  <c r="AC56" i="11"/>
  <c r="AB56" i="11"/>
  <c r="AA56" i="11"/>
  <c r="Z56" i="11"/>
  <c r="W56" i="11"/>
  <c r="V56" i="11"/>
  <c r="U56" i="11"/>
  <c r="T56" i="11"/>
  <c r="S56" i="11"/>
  <c r="P56" i="11"/>
  <c r="O56" i="11"/>
  <c r="N56" i="11"/>
  <c r="M56" i="11"/>
  <c r="L56" i="11"/>
  <c r="I56" i="11"/>
  <c r="H56" i="11"/>
  <c r="G56" i="11"/>
  <c r="F56" i="11"/>
  <c r="E56" i="11"/>
  <c r="AR55" i="11"/>
  <c r="AQ55" i="11"/>
  <c r="AP55" i="11"/>
  <c r="AO55" i="11"/>
  <c r="AN55" i="11"/>
  <c r="AS55" i="11" s="1"/>
  <c r="AL55" i="11"/>
  <c r="AL56" i="11" s="1"/>
  <c r="AE55" i="11"/>
  <c r="X55" i="11"/>
  <c r="Q55" i="11"/>
  <c r="J55" i="11"/>
  <c r="AS54" i="11"/>
  <c r="AR54" i="11"/>
  <c r="AQ54" i="11"/>
  <c r="AP54" i="11"/>
  <c r="AO54" i="11"/>
  <c r="AN54" i="11"/>
  <c r="AL54" i="11"/>
  <c r="AE54" i="11"/>
  <c r="X54" i="11"/>
  <c r="Q54" i="11"/>
  <c r="J54" i="11"/>
  <c r="AR53" i="11"/>
  <c r="AR56" i="11" s="1"/>
  <c r="AQ53" i="11"/>
  <c r="AP53" i="11"/>
  <c r="AO53" i="11"/>
  <c r="AN53" i="11"/>
  <c r="AS53" i="11" s="1"/>
  <c r="AL53" i="11"/>
  <c r="AE53" i="11"/>
  <c r="X53" i="11"/>
  <c r="X56" i="11" s="1"/>
  <c r="Q53" i="11"/>
  <c r="J53" i="11"/>
  <c r="AR52" i="11"/>
  <c r="AQ52" i="11"/>
  <c r="AQ56" i="11" s="1"/>
  <c r="AP52" i="11"/>
  <c r="AO52" i="11"/>
  <c r="AO56" i="11" s="1"/>
  <c r="AN52" i="11"/>
  <c r="AS52" i="11" s="1"/>
  <c r="AL52" i="11"/>
  <c r="AE52" i="11"/>
  <c r="X52" i="11"/>
  <c r="Q52" i="11"/>
  <c r="J52" i="11"/>
  <c r="AR51" i="11"/>
  <c r="AQ51" i="11"/>
  <c r="AP51" i="11"/>
  <c r="AP56" i="11" s="1"/>
  <c r="AO51" i="11"/>
  <c r="AN51" i="11"/>
  <c r="AS51" i="11" s="1"/>
  <c r="AL51" i="11"/>
  <c r="AE51" i="11"/>
  <c r="AE56" i="11" s="1"/>
  <c r="X51" i="11"/>
  <c r="Q51" i="11"/>
  <c r="Q56" i="11" s="1"/>
  <c r="J51" i="11"/>
  <c r="J56" i="11" s="1"/>
  <c r="AK49" i="11"/>
  <c r="AJ49" i="11"/>
  <c r="AI49" i="11"/>
  <c r="AH49" i="11"/>
  <c r="AG49" i="11"/>
  <c r="AD49" i="11"/>
  <c r="AC49" i="11"/>
  <c r="AB49" i="11"/>
  <c r="AA49" i="11"/>
  <c r="Z49" i="11"/>
  <c r="W49" i="11"/>
  <c r="V49" i="11"/>
  <c r="U49" i="11"/>
  <c r="T49" i="11"/>
  <c r="S49" i="11"/>
  <c r="Q49" i="11"/>
  <c r="P49" i="11"/>
  <c r="O49" i="11"/>
  <c r="N49" i="11"/>
  <c r="M49" i="11"/>
  <c r="L49" i="11"/>
  <c r="I49" i="11"/>
  <c r="H49" i="11"/>
  <c r="G49" i="11"/>
  <c r="F49" i="11"/>
  <c r="E49" i="11"/>
  <c r="AR48" i="11"/>
  <c r="AQ48" i="11"/>
  <c r="AP48" i="11"/>
  <c r="AO48" i="11"/>
  <c r="AO49" i="11" s="1"/>
  <c r="AN48" i="11"/>
  <c r="AL48" i="11"/>
  <c r="AE48" i="11"/>
  <c r="X48" i="11"/>
  <c r="Q48" i="11"/>
  <c r="J48" i="11"/>
  <c r="AR47" i="11"/>
  <c r="AQ47" i="11"/>
  <c r="AP47" i="11"/>
  <c r="AO47" i="11"/>
  <c r="AN47" i="11"/>
  <c r="AS47" i="11" s="1"/>
  <c r="AL47" i="11"/>
  <c r="AE47" i="11"/>
  <c r="X47" i="11"/>
  <c r="Q47" i="11"/>
  <c r="J47" i="11"/>
  <c r="AR46" i="11"/>
  <c r="AQ46" i="11"/>
  <c r="AS46" i="11" s="1"/>
  <c r="AP46" i="11"/>
  <c r="AO46" i="11"/>
  <c r="AN46" i="11"/>
  <c r="AL46" i="11"/>
  <c r="AL49" i="11" s="1"/>
  <c r="AE46" i="11"/>
  <c r="X46" i="11"/>
  <c r="Q46" i="11"/>
  <c r="J46" i="11"/>
  <c r="AR45" i="11"/>
  <c r="AR49" i="11" s="1"/>
  <c r="AQ45" i="11"/>
  <c r="AP45" i="11"/>
  <c r="AO45" i="11"/>
  <c r="AS45" i="11" s="1"/>
  <c r="AN45" i="11"/>
  <c r="AL45" i="11"/>
  <c r="AE45" i="11"/>
  <c r="AE49" i="11" s="1"/>
  <c r="X45" i="11"/>
  <c r="Q45" i="11"/>
  <c r="J45" i="11"/>
  <c r="AR44" i="11"/>
  <c r="AQ44" i="11"/>
  <c r="AQ49" i="11" s="1"/>
  <c r="AP44" i="11"/>
  <c r="AP49" i="11" s="1"/>
  <c r="AO44" i="11"/>
  <c r="AN44" i="11"/>
  <c r="AN49" i="11" s="1"/>
  <c r="AL44" i="11"/>
  <c r="AE44" i="11"/>
  <c r="X44" i="11"/>
  <c r="X49" i="11" s="1"/>
  <c r="Q44" i="11"/>
  <c r="J44" i="11"/>
  <c r="J49" i="11" s="1"/>
  <c r="AK42" i="11"/>
  <c r="AJ42" i="11"/>
  <c r="AI42" i="11"/>
  <c r="AH42" i="11"/>
  <c r="AG42" i="11"/>
  <c r="AD42" i="11"/>
  <c r="AC42" i="11"/>
  <c r="AB42" i="11"/>
  <c r="AA42" i="11"/>
  <c r="Z42" i="11"/>
  <c r="W42" i="11"/>
  <c r="V42" i="11"/>
  <c r="U42" i="11"/>
  <c r="T42" i="11"/>
  <c r="S42" i="11"/>
  <c r="P42" i="11"/>
  <c r="O42" i="11"/>
  <c r="N42" i="11"/>
  <c r="M42" i="11"/>
  <c r="L42" i="11"/>
  <c r="I42" i="11"/>
  <c r="H42" i="11"/>
  <c r="G42" i="11"/>
  <c r="F42" i="11"/>
  <c r="E42" i="11"/>
  <c r="AR41" i="11"/>
  <c r="AQ41" i="11"/>
  <c r="AP41" i="11"/>
  <c r="AO41" i="11"/>
  <c r="AO42" i="11" s="1"/>
  <c r="AN41" i="11"/>
  <c r="AS41" i="11" s="1"/>
  <c r="AL41" i="11"/>
  <c r="AE41" i="11"/>
  <c r="X41" i="11"/>
  <c r="Q41" i="11"/>
  <c r="J41" i="11"/>
  <c r="AR40" i="11"/>
  <c r="AQ40" i="11"/>
  <c r="AP40" i="11"/>
  <c r="AO40" i="11"/>
  <c r="AN40" i="11"/>
  <c r="AS40" i="11" s="1"/>
  <c r="AL40" i="11"/>
  <c r="AE40" i="11"/>
  <c r="X40" i="11"/>
  <c r="Q40" i="11"/>
  <c r="J40" i="11"/>
  <c r="AR39" i="11"/>
  <c r="AQ39" i="11"/>
  <c r="AP39" i="11"/>
  <c r="AO39" i="11"/>
  <c r="AN39" i="11"/>
  <c r="AS39" i="11" s="1"/>
  <c r="AL39" i="11"/>
  <c r="AE39" i="11"/>
  <c r="X39" i="11"/>
  <c r="Q39" i="11"/>
  <c r="J39" i="11"/>
  <c r="AS38" i="11"/>
  <c r="AR38" i="11"/>
  <c r="AQ38" i="11"/>
  <c r="AQ42" i="11" s="1"/>
  <c r="AP38" i="11"/>
  <c r="AP42" i="11" s="1"/>
  <c r="AO38" i="11"/>
  <c r="AN38" i="11"/>
  <c r="AL38" i="11"/>
  <c r="AL42" i="11" s="1"/>
  <c r="AE38" i="11"/>
  <c r="AE42" i="11" s="1"/>
  <c r="X38" i="11"/>
  <c r="Q38" i="11"/>
  <c r="J38" i="11"/>
  <c r="AR37" i="11"/>
  <c r="AR42" i="11" s="1"/>
  <c r="AQ37" i="11"/>
  <c r="AP37" i="11"/>
  <c r="AO37" i="11"/>
  <c r="AN37" i="11"/>
  <c r="AS37" i="11" s="1"/>
  <c r="AL37" i="11"/>
  <c r="AE37" i="11"/>
  <c r="X37" i="11"/>
  <c r="X42" i="11" s="1"/>
  <c r="Q37" i="11"/>
  <c r="Q42" i="11" s="1"/>
  <c r="J37" i="11"/>
  <c r="J42" i="11" s="1"/>
  <c r="AK35" i="11"/>
  <c r="AJ35" i="11"/>
  <c r="AI35" i="11"/>
  <c r="AH35" i="11"/>
  <c r="AG35" i="11"/>
  <c r="AD35" i="11"/>
  <c r="AC35" i="11"/>
  <c r="AB35" i="11"/>
  <c r="AA35" i="11"/>
  <c r="Z35" i="11"/>
  <c r="W35" i="11"/>
  <c r="V35" i="11"/>
  <c r="U35" i="11"/>
  <c r="T35" i="11"/>
  <c r="S35" i="11"/>
  <c r="P35" i="11"/>
  <c r="O35" i="11"/>
  <c r="N35" i="11"/>
  <c r="M35" i="11"/>
  <c r="L35" i="11"/>
  <c r="I35" i="11"/>
  <c r="H35" i="11"/>
  <c r="G35" i="11"/>
  <c r="F35" i="11"/>
  <c r="E35" i="11"/>
  <c r="AR34" i="11"/>
  <c r="AQ34" i="11"/>
  <c r="AQ35" i="11" s="1"/>
  <c r="AP34" i="11"/>
  <c r="AO34" i="11"/>
  <c r="AN34" i="11"/>
  <c r="AS34" i="11" s="1"/>
  <c r="AL34" i="11"/>
  <c r="AE34" i="11"/>
  <c r="X34" i="11"/>
  <c r="Q34" i="11"/>
  <c r="J34" i="11"/>
  <c r="AR33" i="11"/>
  <c r="AQ33" i="11"/>
  <c r="AP33" i="11"/>
  <c r="AO33" i="11"/>
  <c r="AN33" i="11"/>
  <c r="AS33" i="11" s="1"/>
  <c r="AL33" i="11"/>
  <c r="AE33" i="11"/>
  <c r="X33" i="11"/>
  <c r="Q33" i="11"/>
  <c r="J33" i="11"/>
  <c r="AR32" i="11"/>
  <c r="AQ32" i="11"/>
  <c r="AP32" i="11"/>
  <c r="AO32" i="11"/>
  <c r="AO35" i="11" s="1"/>
  <c r="AN32" i="11"/>
  <c r="AL32" i="11"/>
  <c r="AE32" i="11"/>
  <c r="X32" i="11"/>
  <c r="Q32" i="11"/>
  <c r="J32" i="11"/>
  <c r="AR31" i="11"/>
  <c r="AQ31" i="11"/>
  <c r="AP31" i="11"/>
  <c r="AO31" i="11"/>
  <c r="AN31" i="11"/>
  <c r="AN35" i="11" s="1"/>
  <c r="AL31" i="11"/>
  <c r="AE31" i="11"/>
  <c r="X31" i="11"/>
  <c r="Q31" i="11"/>
  <c r="J31" i="11"/>
  <c r="AR30" i="11"/>
  <c r="AR35" i="11" s="1"/>
  <c r="AQ30" i="11"/>
  <c r="AS30" i="11" s="1"/>
  <c r="AP30" i="11"/>
  <c r="AP35" i="11" s="1"/>
  <c r="AO30" i="11"/>
  <c r="AN30" i="11"/>
  <c r="AL30" i="11"/>
  <c r="AL35" i="11" s="1"/>
  <c r="AE30" i="11"/>
  <c r="AE35" i="11" s="1"/>
  <c r="X30" i="11"/>
  <c r="X35" i="11" s="1"/>
  <c r="Q30" i="11"/>
  <c r="Q35" i="11" s="1"/>
  <c r="J30" i="11"/>
  <c r="J35" i="11" s="1"/>
  <c r="AK28" i="11"/>
  <c r="AJ28" i="11"/>
  <c r="AI28" i="11"/>
  <c r="AH28" i="11"/>
  <c r="AG28" i="11"/>
  <c r="AD28" i="11"/>
  <c r="AC28" i="11"/>
  <c r="AB28" i="11"/>
  <c r="AA28" i="11"/>
  <c r="Z28" i="11"/>
  <c r="W28" i="11"/>
  <c r="V28" i="11"/>
  <c r="U28" i="11"/>
  <c r="T28" i="11"/>
  <c r="S28" i="11"/>
  <c r="P28" i="11"/>
  <c r="O28" i="11"/>
  <c r="N28" i="11"/>
  <c r="M28" i="11"/>
  <c r="L28" i="11"/>
  <c r="I28" i="11"/>
  <c r="H28" i="11"/>
  <c r="G28" i="11"/>
  <c r="F28" i="11"/>
  <c r="E28" i="11"/>
  <c r="AR27" i="11"/>
  <c r="AQ27" i="11"/>
  <c r="AP27" i="11"/>
  <c r="AO27" i="11"/>
  <c r="AS27" i="11" s="1"/>
  <c r="AN27" i="11"/>
  <c r="AL27" i="11"/>
  <c r="AE27" i="11"/>
  <c r="X27" i="11"/>
  <c r="Q27" i="11"/>
  <c r="J27" i="11"/>
  <c r="AS26" i="11"/>
  <c r="AR26" i="11"/>
  <c r="AQ26" i="11"/>
  <c r="AP26" i="11"/>
  <c r="AO26" i="11"/>
  <c r="AN26" i="11"/>
  <c r="AL26" i="11"/>
  <c r="AE26" i="11"/>
  <c r="X26" i="11"/>
  <c r="Q26" i="11"/>
  <c r="J26" i="11"/>
  <c r="AR25" i="11"/>
  <c r="AQ25" i="11"/>
  <c r="AP25" i="11"/>
  <c r="AO25" i="11"/>
  <c r="AN25" i="11"/>
  <c r="AS25" i="11" s="1"/>
  <c r="AL25" i="11"/>
  <c r="AE25" i="11"/>
  <c r="X25" i="11"/>
  <c r="Q25" i="11"/>
  <c r="J25" i="11"/>
  <c r="AR24" i="11"/>
  <c r="AR28" i="11" s="1"/>
  <c r="AQ24" i="11"/>
  <c r="AQ28" i="11" s="1"/>
  <c r="AP24" i="11"/>
  <c r="AO24" i="11"/>
  <c r="AO28" i="11" s="1"/>
  <c r="AN24" i="11"/>
  <c r="AS24" i="11" s="1"/>
  <c r="AL24" i="11"/>
  <c r="AE24" i="11"/>
  <c r="X24" i="11"/>
  <c r="Q24" i="11"/>
  <c r="Q28" i="11" s="1"/>
  <c r="J24" i="11"/>
  <c r="AR23" i="11"/>
  <c r="AQ23" i="11"/>
  <c r="AP23" i="11"/>
  <c r="AP28" i="11" s="1"/>
  <c r="AO23" i="11"/>
  <c r="AN23" i="11"/>
  <c r="AN28" i="11" s="1"/>
  <c r="AL23" i="11"/>
  <c r="AL28" i="11" s="1"/>
  <c r="AE23" i="11"/>
  <c r="AE28" i="11" s="1"/>
  <c r="X23" i="11"/>
  <c r="X28" i="11" s="1"/>
  <c r="Q23" i="11"/>
  <c r="J23" i="11"/>
  <c r="J28" i="11" s="1"/>
  <c r="AK21" i="11"/>
  <c r="AJ21" i="11"/>
  <c r="AI21" i="11"/>
  <c r="AH21" i="11"/>
  <c r="AG21" i="11"/>
  <c r="AD21" i="11"/>
  <c r="AC21" i="11"/>
  <c r="AB21" i="11"/>
  <c r="AA21" i="11"/>
  <c r="Z21" i="11"/>
  <c r="W21" i="11"/>
  <c r="V21" i="11"/>
  <c r="U21" i="11"/>
  <c r="T21" i="11"/>
  <c r="S21" i="11"/>
  <c r="Q21" i="11"/>
  <c r="P21" i="11"/>
  <c r="O21" i="11"/>
  <c r="N21" i="11"/>
  <c r="M21" i="11"/>
  <c r="L21" i="11"/>
  <c r="I21" i="11"/>
  <c r="H21" i="11"/>
  <c r="G21" i="11"/>
  <c r="F21" i="11"/>
  <c r="E21" i="11"/>
  <c r="AR20" i="11"/>
  <c r="AQ20" i="11"/>
  <c r="AP20" i="11"/>
  <c r="AO20" i="11"/>
  <c r="AS20" i="11" s="1"/>
  <c r="AN20" i="11"/>
  <c r="AL20" i="11"/>
  <c r="AE20" i="11"/>
  <c r="X20" i="11"/>
  <c r="Q20" i="11"/>
  <c r="J20" i="11"/>
  <c r="AR19" i="11"/>
  <c r="AQ19" i="11"/>
  <c r="AP19" i="11"/>
  <c r="AO19" i="11"/>
  <c r="AN19" i="11"/>
  <c r="AS19" i="11" s="1"/>
  <c r="AL19" i="11"/>
  <c r="AE19" i="11"/>
  <c r="X19" i="11"/>
  <c r="Q19" i="11"/>
  <c r="J19" i="11"/>
  <c r="AR18" i="11"/>
  <c r="AQ18" i="11"/>
  <c r="AQ21" i="11" s="1"/>
  <c r="AP18" i="11"/>
  <c r="AO18" i="11"/>
  <c r="AN18" i="11"/>
  <c r="AS18" i="11" s="1"/>
  <c r="AL18" i="11"/>
  <c r="AE18" i="11"/>
  <c r="X18" i="11"/>
  <c r="Q18" i="11"/>
  <c r="J18" i="11"/>
  <c r="AR17" i="11"/>
  <c r="AQ17" i="11"/>
  <c r="AP17" i="11"/>
  <c r="AP21" i="11" s="1"/>
  <c r="AO17" i="11"/>
  <c r="AN17" i="11"/>
  <c r="AS17" i="11" s="1"/>
  <c r="AL17" i="11"/>
  <c r="AL21" i="11" s="1"/>
  <c r="AE17" i="11"/>
  <c r="AE21" i="11" s="1"/>
  <c r="X17" i="11"/>
  <c r="Q17" i="11"/>
  <c r="J17" i="11"/>
  <c r="AR16" i="11"/>
  <c r="AR21" i="11" s="1"/>
  <c r="AQ16" i="11"/>
  <c r="AP16" i="11"/>
  <c r="AO16" i="11"/>
  <c r="AS16" i="11" s="1"/>
  <c r="AN16" i="11"/>
  <c r="AL16" i="11"/>
  <c r="AE16" i="11"/>
  <c r="X16" i="11"/>
  <c r="X21" i="11" s="1"/>
  <c r="Q16" i="11"/>
  <c r="J16" i="11"/>
  <c r="J21" i="11" s="1"/>
  <c r="AK14" i="11"/>
  <c r="AJ14" i="11"/>
  <c r="AI14" i="11"/>
  <c r="AH14" i="11"/>
  <c r="AG14" i="11"/>
  <c r="AD14" i="11"/>
  <c r="AC14" i="11"/>
  <c r="AB14" i="11"/>
  <c r="AA14" i="11"/>
  <c r="Z14" i="11"/>
  <c r="W14" i="11"/>
  <c r="V14" i="11"/>
  <c r="U14" i="11"/>
  <c r="T14" i="11"/>
  <c r="S14" i="11"/>
  <c r="P14" i="11"/>
  <c r="O14" i="11"/>
  <c r="N14" i="11"/>
  <c r="M14" i="11"/>
  <c r="L14" i="11"/>
  <c r="I14" i="11"/>
  <c r="H14" i="11"/>
  <c r="G14" i="11"/>
  <c r="F14" i="11"/>
  <c r="E14" i="11"/>
  <c r="AR13" i="11"/>
  <c r="AQ13" i="11"/>
  <c r="AP13" i="11"/>
  <c r="AO13" i="11"/>
  <c r="AN13" i="11"/>
  <c r="AN14" i="11" s="1"/>
  <c r="AL13" i="11"/>
  <c r="AE13" i="11"/>
  <c r="X13" i="11"/>
  <c r="Q13" i="11"/>
  <c r="J13" i="11"/>
  <c r="AR12" i="11"/>
  <c r="AQ12" i="11"/>
  <c r="AS12" i="11" s="1"/>
  <c r="AP12" i="11"/>
  <c r="AO12" i="11"/>
  <c r="AN12" i="11"/>
  <c r="AL12" i="11"/>
  <c r="AE12" i="11"/>
  <c r="X12" i="11"/>
  <c r="Q12" i="11"/>
  <c r="J12" i="11"/>
  <c r="AR11" i="11"/>
  <c r="AQ11" i="11"/>
  <c r="AP11" i="11"/>
  <c r="AO11" i="11"/>
  <c r="AS11" i="11" s="1"/>
  <c r="AN11" i="11"/>
  <c r="AL11" i="11"/>
  <c r="AE11" i="11"/>
  <c r="AE14" i="11" s="1"/>
  <c r="X11" i="11"/>
  <c r="Q11" i="11"/>
  <c r="J11" i="11"/>
  <c r="AS10" i="11"/>
  <c r="AR10" i="11"/>
  <c r="AQ10" i="11"/>
  <c r="AQ14" i="11" s="1"/>
  <c r="AP10" i="11"/>
  <c r="AO10" i="11"/>
  <c r="AN10" i="11"/>
  <c r="AL10" i="11"/>
  <c r="AE10" i="11"/>
  <c r="X10" i="11"/>
  <c r="Q10" i="11"/>
  <c r="J10" i="11"/>
  <c r="AR9" i="11"/>
  <c r="AR14" i="11" s="1"/>
  <c r="AQ9" i="11"/>
  <c r="AP9" i="11"/>
  <c r="AP14" i="11" s="1"/>
  <c r="AO9" i="11"/>
  <c r="AO14" i="11" s="1"/>
  <c r="AN9" i="11"/>
  <c r="AS9" i="11" s="1"/>
  <c r="AL9" i="11"/>
  <c r="AL14" i="11" s="1"/>
  <c r="AE9" i="11"/>
  <c r="X9" i="11"/>
  <c r="X14" i="11" s="1"/>
  <c r="Q9" i="11"/>
  <c r="Q14" i="11" s="1"/>
  <c r="J9" i="11"/>
  <c r="J14" i="11" s="1"/>
  <c r="AK7" i="11"/>
  <c r="AJ7" i="11"/>
  <c r="AI7" i="11"/>
  <c r="AH7" i="11"/>
  <c r="AG7" i="11"/>
  <c r="AD7" i="11"/>
  <c r="AC7" i="11"/>
  <c r="AB7" i="11"/>
  <c r="AA7" i="11"/>
  <c r="Z7" i="11"/>
  <c r="W7" i="11"/>
  <c r="V7" i="11"/>
  <c r="U7" i="11"/>
  <c r="T7" i="11"/>
  <c r="S7" i="11"/>
  <c r="P7" i="11"/>
  <c r="O7" i="11"/>
  <c r="N7" i="11"/>
  <c r="M7" i="11"/>
  <c r="L7" i="11"/>
  <c r="I7" i="11"/>
  <c r="H7" i="11"/>
  <c r="G7" i="11"/>
  <c r="F7" i="11"/>
  <c r="E7" i="11"/>
  <c r="AR6" i="11"/>
  <c r="AQ6" i="11"/>
  <c r="AQ7" i="11" s="1"/>
  <c r="AP6" i="11"/>
  <c r="AO6" i="11"/>
  <c r="AN6" i="11"/>
  <c r="AS6" i="11" s="1"/>
  <c r="AL6" i="11"/>
  <c r="AE6" i="11"/>
  <c r="X6" i="11"/>
  <c r="Q6" i="11"/>
  <c r="J6" i="11"/>
  <c r="AR5" i="11"/>
  <c r="AQ5" i="11"/>
  <c r="AP5" i="11"/>
  <c r="AO5" i="11"/>
  <c r="AN5" i="11"/>
  <c r="AS5" i="11" s="1"/>
  <c r="AL5" i="11"/>
  <c r="AE5" i="11"/>
  <c r="X5" i="11"/>
  <c r="Q5" i="11"/>
  <c r="J5" i="11"/>
  <c r="AR4" i="11"/>
  <c r="AQ4" i="11"/>
  <c r="AP4" i="11"/>
  <c r="AO4" i="11"/>
  <c r="AS4" i="11" s="1"/>
  <c r="AN4" i="11"/>
  <c r="AL4" i="11"/>
  <c r="AE4" i="11"/>
  <c r="X4" i="11"/>
  <c r="Q4" i="11"/>
  <c r="J4" i="11"/>
  <c r="AR3" i="11"/>
  <c r="AR7" i="11" s="1"/>
  <c r="AQ3" i="11"/>
  <c r="AP3" i="11"/>
  <c r="AP7" i="11" s="1"/>
  <c r="AO3" i="11"/>
  <c r="AO7" i="11" s="1"/>
  <c r="AN3" i="11"/>
  <c r="AS3" i="11" s="1"/>
  <c r="AL3" i="11"/>
  <c r="AE3" i="11"/>
  <c r="AE7" i="11" s="1"/>
  <c r="X3" i="11"/>
  <c r="X7" i="11" s="1"/>
  <c r="Q3" i="11"/>
  <c r="J3" i="11"/>
  <c r="AR2" i="11"/>
  <c r="AQ2" i="11"/>
  <c r="AP2" i="11"/>
  <c r="AO2" i="11"/>
  <c r="AN2" i="11"/>
  <c r="AS2" i="11" s="1"/>
  <c r="AL2" i="11"/>
  <c r="AL7" i="11" s="1"/>
  <c r="AE2" i="11"/>
  <c r="X2" i="11"/>
  <c r="Q2" i="11"/>
  <c r="Q7" i="11" s="1"/>
  <c r="J2" i="11"/>
  <c r="J7" i="11" s="1"/>
  <c r="AB112" i="10"/>
  <c r="AA112" i="10"/>
  <c r="Z112" i="10"/>
  <c r="Y112" i="10"/>
  <c r="X112" i="10"/>
  <c r="W112" i="10"/>
  <c r="V112" i="10"/>
  <c r="U112" i="10"/>
  <c r="T112" i="10"/>
  <c r="S112" i="10"/>
  <c r="R112" i="10"/>
  <c r="P112" i="10"/>
  <c r="N112" i="10"/>
  <c r="M112" i="10"/>
  <c r="K112" i="10"/>
  <c r="I112" i="10"/>
  <c r="H112" i="10"/>
  <c r="G112" i="10"/>
  <c r="F112" i="10"/>
  <c r="AD111" i="10"/>
  <c r="AF111" i="10" s="1"/>
  <c r="AC111" i="10"/>
  <c r="AE111" i="10" s="1"/>
  <c r="O111" i="10"/>
  <c r="Q111" i="10" s="1"/>
  <c r="L111" i="10"/>
  <c r="J111" i="10"/>
  <c r="AF110" i="10"/>
  <c r="AD110" i="10"/>
  <c r="AC110" i="10"/>
  <c r="AE110" i="10" s="1"/>
  <c r="O110" i="10"/>
  <c r="Q110" i="10" s="1"/>
  <c r="J110" i="10"/>
  <c r="L110" i="10" s="1"/>
  <c r="AD109" i="10"/>
  <c r="AF109" i="10" s="1"/>
  <c r="AC109" i="10"/>
  <c r="AE109" i="10" s="1"/>
  <c r="Q109" i="10"/>
  <c r="O109" i="10"/>
  <c r="J109" i="10"/>
  <c r="L109" i="10" s="1"/>
  <c r="AD108" i="10"/>
  <c r="AD112" i="10" s="1"/>
  <c r="AC108" i="10"/>
  <c r="AE108" i="10" s="1"/>
  <c r="O108" i="10"/>
  <c r="O112" i="10" s="1"/>
  <c r="J108" i="10"/>
  <c r="L108" i="10" s="1"/>
  <c r="AF107" i="10"/>
  <c r="AD107" i="10"/>
  <c r="AC107" i="10"/>
  <c r="AE107" i="10" s="1"/>
  <c r="O107" i="10"/>
  <c r="Q107" i="10" s="1"/>
  <c r="J107" i="10"/>
  <c r="L107" i="10" s="1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P105" i="10"/>
  <c r="N105" i="10"/>
  <c r="M105" i="10"/>
  <c r="K105" i="10"/>
  <c r="I105" i="10"/>
  <c r="H105" i="10"/>
  <c r="G105" i="10"/>
  <c r="F105" i="10"/>
  <c r="AF104" i="10"/>
  <c r="AE104" i="10"/>
  <c r="AD104" i="10"/>
  <c r="AC104" i="10"/>
  <c r="O104" i="10"/>
  <c r="Q104" i="10" s="1"/>
  <c r="J104" i="10"/>
  <c r="L104" i="10" s="1"/>
  <c r="AD103" i="10"/>
  <c r="AF103" i="10" s="1"/>
  <c r="AC103" i="10"/>
  <c r="AE103" i="10" s="1"/>
  <c r="Q103" i="10"/>
  <c r="O103" i="10"/>
  <c r="L103" i="10"/>
  <c r="J103" i="10"/>
  <c r="AD102" i="10"/>
  <c r="AF102" i="10" s="1"/>
  <c r="AC102" i="10"/>
  <c r="AE102" i="10" s="1"/>
  <c r="O102" i="10"/>
  <c r="Q102" i="10" s="1"/>
  <c r="J102" i="10"/>
  <c r="L102" i="10" s="1"/>
  <c r="AF101" i="10"/>
  <c r="AE101" i="10"/>
  <c r="AD101" i="10"/>
  <c r="AC101" i="10"/>
  <c r="O101" i="10"/>
  <c r="Q101" i="10" s="1"/>
  <c r="J101" i="10"/>
  <c r="AD100" i="10"/>
  <c r="AF100" i="10" s="1"/>
  <c r="AC100" i="10"/>
  <c r="AE100" i="10" s="1"/>
  <c r="O100" i="10"/>
  <c r="O105" i="10" s="1"/>
  <c r="L100" i="10"/>
  <c r="J100" i="10"/>
  <c r="AB98" i="10"/>
  <c r="AA98" i="10"/>
  <c r="Z98" i="10"/>
  <c r="Y98" i="10"/>
  <c r="X98" i="10"/>
  <c r="W98" i="10"/>
  <c r="V98" i="10"/>
  <c r="U98" i="10"/>
  <c r="T98" i="10"/>
  <c r="S98" i="10"/>
  <c r="R98" i="10"/>
  <c r="P98" i="10"/>
  <c r="N98" i="10"/>
  <c r="M98" i="10"/>
  <c r="K98" i="10"/>
  <c r="I98" i="10"/>
  <c r="H98" i="10"/>
  <c r="G98" i="10"/>
  <c r="F98" i="10"/>
  <c r="AD97" i="10"/>
  <c r="AF97" i="10" s="1"/>
  <c r="AC97" i="10"/>
  <c r="AE97" i="10" s="1"/>
  <c r="O97" i="10"/>
  <c r="Q97" i="10" s="1"/>
  <c r="L97" i="10"/>
  <c r="J97" i="10"/>
  <c r="AD96" i="10"/>
  <c r="AF96" i="10" s="1"/>
  <c r="AC96" i="10"/>
  <c r="AE96" i="10" s="1"/>
  <c r="O96" i="10"/>
  <c r="Q96" i="10" s="1"/>
  <c r="J96" i="10"/>
  <c r="L96" i="10" s="1"/>
  <c r="AE95" i="10"/>
  <c r="AD95" i="10"/>
  <c r="AF95" i="10" s="1"/>
  <c r="AC95" i="10"/>
  <c r="O95" i="10"/>
  <c r="Q95" i="10" s="1"/>
  <c r="J95" i="10"/>
  <c r="L95" i="10" s="1"/>
  <c r="AD94" i="10"/>
  <c r="AF94" i="10" s="1"/>
  <c r="AC94" i="10"/>
  <c r="AE94" i="10" s="1"/>
  <c r="O94" i="10"/>
  <c r="L94" i="10"/>
  <c r="J94" i="10"/>
  <c r="AD93" i="10"/>
  <c r="AF93" i="10" s="1"/>
  <c r="AC93" i="10"/>
  <c r="AE93" i="10" s="1"/>
  <c r="O93" i="10"/>
  <c r="Q93" i="10" s="1"/>
  <c r="J93" i="10"/>
  <c r="J98" i="10" s="1"/>
  <c r="AD91" i="10"/>
  <c r="AB91" i="10"/>
  <c r="AA91" i="10"/>
  <c r="Z91" i="10"/>
  <c r="Y91" i="10"/>
  <c r="X91" i="10"/>
  <c r="W91" i="10"/>
  <c r="V91" i="10"/>
  <c r="U91" i="10"/>
  <c r="T91" i="10"/>
  <c r="S91" i="10"/>
  <c r="P91" i="10"/>
  <c r="N91" i="10"/>
  <c r="M91" i="10"/>
  <c r="K91" i="10"/>
  <c r="I91" i="10"/>
  <c r="H91" i="10"/>
  <c r="G91" i="10"/>
  <c r="F91" i="10"/>
  <c r="AD90" i="10"/>
  <c r="AF90" i="10" s="1"/>
  <c r="AC90" i="10"/>
  <c r="AE90" i="10" s="1"/>
  <c r="O90" i="10"/>
  <c r="Q90" i="10" s="1"/>
  <c r="J90" i="10"/>
  <c r="L90" i="10" s="1"/>
  <c r="R90" i="10" s="1"/>
  <c r="AF89" i="10"/>
  <c r="AE89" i="10"/>
  <c r="AD89" i="10"/>
  <c r="AC89" i="10"/>
  <c r="O89" i="10"/>
  <c r="Q89" i="10" s="1"/>
  <c r="J89" i="10"/>
  <c r="L89" i="10" s="1"/>
  <c r="AD88" i="10"/>
  <c r="AF88" i="10" s="1"/>
  <c r="AC88" i="10"/>
  <c r="AE88" i="10" s="1"/>
  <c r="Q88" i="10"/>
  <c r="O88" i="10"/>
  <c r="J88" i="10"/>
  <c r="L88" i="10" s="1"/>
  <c r="R88" i="10" s="1"/>
  <c r="AD87" i="10"/>
  <c r="AF87" i="10" s="1"/>
  <c r="AF91" i="10" s="1"/>
  <c r="AC87" i="10"/>
  <c r="AE87" i="10" s="1"/>
  <c r="O87" i="10"/>
  <c r="Q87" i="10" s="1"/>
  <c r="J87" i="10"/>
  <c r="L87" i="10" s="1"/>
  <c r="R87" i="10" s="1"/>
  <c r="AD86" i="10"/>
  <c r="AF86" i="10" s="1"/>
  <c r="AC86" i="10"/>
  <c r="O86" i="10"/>
  <c r="O91" i="10" s="1"/>
  <c r="J86" i="10"/>
  <c r="L86" i="10" s="1"/>
  <c r="AB84" i="10"/>
  <c r="AA84" i="10"/>
  <c r="Z84" i="10"/>
  <c r="Y84" i="10"/>
  <c r="X84" i="10"/>
  <c r="W84" i="10"/>
  <c r="V84" i="10"/>
  <c r="U84" i="10"/>
  <c r="T84" i="10"/>
  <c r="S84" i="10"/>
  <c r="R84" i="10"/>
  <c r="P84" i="10"/>
  <c r="N84" i="10"/>
  <c r="M84" i="10"/>
  <c r="K84" i="10"/>
  <c r="I84" i="10"/>
  <c r="H84" i="10"/>
  <c r="G84" i="10"/>
  <c r="F84" i="10"/>
  <c r="AD83" i="10"/>
  <c r="AF83" i="10" s="1"/>
  <c r="AC83" i="10"/>
  <c r="AE83" i="10" s="1"/>
  <c r="O83" i="10"/>
  <c r="Q83" i="10" s="1"/>
  <c r="J83" i="10"/>
  <c r="L83" i="10" s="1"/>
  <c r="AE82" i="10"/>
  <c r="AD82" i="10"/>
  <c r="AF82" i="10" s="1"/>
  <c r="AC82" i="10"/>
  <c r="Q82" i="10"/>
  <c r="O82" i="10"/>
  <c r="J82" i="10"/>
  <c r="L82" i="10" s="1"/>
  <c r="AD81" i="10"/>
  <c r="AF81" i="10" s="1"/>
  <c r="AC81" i="10"/>
  <c r="AE81" i="10" s="1"/>
  <c r="O81" i="10"/>
  <c r="Q81" i="10" s="1"/>
  <c r="J81" i="10"/>
  <c r="L81" i="10" s="1"/>
  <c r="AD80" i="10"/>
  <c r="AF80" i="10" s="1"/>
  <c r="AC80" i="10"/>
  <c r="AE80" i="10" s="1"/>
  <c r="O80" i="10"/>
  <c r="O84" i="10" s="1"/>
  <c r="J80" i="10"/>
  <c r="AD79" i="10"/>
  <c r="AF79" i="10" s="1"/>
  <c r="AF84" i="10" s="1"/>
  <c r="AC79" i="10"/>
  <c r="AC84" i="10" s="1"/>
  <c r="Q79" i="10"/>
  <c r="O79" i="10"/>
  <c r="J79" i="10"/>
  <c r="L79" i="10" s="1"/>
  <c r="AB77" i="10"/>
  <c r="AA77" i="10"/>
  <c r="Z77" i="10"/>
  <c r="Y77" i="10"/>
  <c r="X77" i="10"/>
  <c r="W77" i="10"/>
  <c r="V77" i="10"/>
  <c r="U77" i="10"/>
  <c r="T77" i="10"/>
  <c r="S77" i="10"/>
  <c r="R77" i="10"/>
  <c r="P77" i="10"/>
  <c r="N77" i="10"/>
  <c r="M77" i="10"/>
  <c r="K77" i="10"/>
  <c r="I77" i="10"/>
  <c r="H77" i="10"/>
  <c r="G77" i="10"/>
  <c r="F77" i="10"/>
  <c r="AD76" i="10"/>
  <c r="AF76" i="10" s="1"/>
  <c r="AC76" i="10"/>
  <c r="AE76" i="10" s="1"/>
  <c r="Q76" i="10"/>
  <c r="O76" i="10"/>
  <c r="J76" i="10"/>
  <c r="L76" i="10" s="1"/>
  <c r="AD75" i="10"/>
  <c r="AF75" i="10" s="1"/>
  <c r="AC75" i="10"/>
  <c r="AE75" i="10" s="1"/>
  <c r="O75" i="10"/>
  <c r="Q75" i="10" s="1"/>
  <c r="J75" i="10"/>
  <c r="L75" i="10" s="1"/>
  <c r="AF74" i="10"/>
  <c r="AD74" i="10"/>
  <c r="AC74" i="10"/>
  <c r="AE74" i="10" s="1"/>
  <c r="Q74" i="10"/>
  <c r="O74" i="10"/>
  <c r="J74" i="10"/>
  <c r="L74" i="10" s="1"/>
  <c r="AD73" i="10"/>
  <c r="AC73" i="10"/>
  <c r="Q73" i="10"/>
  <c r="O73" i="10"/>
  <c r="J73" i="10"/>
  <c r="L73" i="10" s="1"/>
  <c r="AD72" i="10"/>
  <c r="AF72" i="10" s="1"/>
  <c r="AC72" i="10"/>
  <c r="AE72" i="10" s="1"/>
  <c r="O72" i="10"/>
  <c r="Q72" i="10" s="1"/>
  <c r="L72" i="10"/>
  <c r="J72" i="10"/>
  <c r="J77" i="10" s="1"/>
  <c r="AB70" i="10"/>
  <c r="AA70" i="10"/>
  <c r="Z70" i="10"/>
  <c r="Y70" i="10"/>
  <c r="X70" i="10"/>
  <c r="W70" i="10"/>
  <c r="V70" i="10"/>
  <c r="U70" i="10"/>
  <c r="T70" i="10"/>
  <c r="S70" i="10"/>
  <c r="R70" i="10"/>
  <c r="P70" i="10"/>
  <c r="N70" i="10"/>
  <c r="M70" i="10"/>
  <c r="K70" i="10"/>
  <c r="J70" i="10"/>
  <c r="I70" i="10"/>
  <c r="H70" i="10"/>
  <c r="G70" i="10"/>
  <c r="F70" i="10"/>
  <c r="AD69" i="10"/>
  <c r="AF69" i="10" s="1"/>
  <c r="AC69" i="10"/>
  <c r="AE69" i="10" s="1"/>
  <c r="O69" i="10"/>
  <c r="Q69" i="10" s="1"/>
  <c r="J69" i="10"/>
  <c r="L69" i="10" s="1"/>
  <c r="AF68" i="10"/>
  <c r="AE68" i="10"/>
  <c r="AD68" i="10"/>
  <c r="AC68" i="10"/>
  <c r="O68" i="10"/>
  <c r="Q68" i="10" s="1"/>
  <c r="J68" i="10"/>
  <c r="L68" i="10" s="1"/>
  <c r="AD67" i="10"/>
  <c r="AF67" i="10" s="1"/>
  <c r="AC67" i="10"/>
  <c r="AE67" i="10" s="1"/>
  <c r="O67" i="10"/>
  <c r="Q67" i="10" s="1"/>
  <c r="L67" i="10"/>
  <c r="J67" i="10"/>
  <c r="AD66" i="10"/>
  <c r="AF66" i="10" s="1"/>
  <c r="AF70" i="10" s="1"/>
  <c r="AC66" i="10"/>
  <c r="AC70" i="10" s="1"/>
  <c r="O66" i="10"/>
  <c r="Q66" i="10" s="1"/>
  <c r="L66" i="10"/>
  <c r="J66" i="10"/>
  <c r="AF65" i="10"/>
  <c r="AE65" i="10"/>
  <c r="AD65" i="10"/>
  <c r="AD70" i="10" s="1"/>
  <c r="AC65" i="10"/>
  <c r="O65" i="10"/>
  <c r="Q65" i="10" s="1"/>
  <c r="J65" i="10"/>
  <c r="L65" i="10" s="1"/>
  <c r="AC63" i="10"/>
  <c r="AB63" i="10"/>
  <c r="AA63" i="10"/>
  <c r="Z63" i="10"/>
  <c r="Y63" i="10"/>
  <c r="X63" i="10"/>
  <c r="W63" i="10"/>
  <c r="V63" i="10"/>
  <c r="U63" i="10"/>
  <c r="T63" i="10"/>
  <c r="S63" i="10"/>
  <c r="R63" i="10"/>
  <c r="P63" i="10"/>
  <c r="O63" i="10"/>
  <c r="N63" i="10"/>
  <c r="M63" i="10"/>
  <c r="K63" i="10"/>
  <c r="I63" i="10"/>
  <c r="H63" i="10"/>
  <c r="G63" i="10"/>
  <c r="F63" i="10"/>
  <c r="AE62" i="10"/>
  <c r="AD62" i="10"/>
  <c r="AD63" i="10" s="1"/>
  <c r="AC62" i="10"/>
  <c r="O62" i="10"/>
  <c r="Q62" i="10" s="1"/>
  <c r="L62" i="10"/>
  <c r="J62" i="10"/>
  <c r="AD61" i="10"/>
  <c r="AF61" i="10" s="1"/>
  <c r="AC61" i="10"/>
  <c r="AE61" i="10" s="1"/>
  <c r="Q61" i="10"/>
  <c r="O61" i="10"/>
  <c r="L61" i="10"/>
  <c r="J61" i="10"/>
  <c r="AD60" i="10"/>
  <c r="AF60" i="10" s="1"/>
  <c r="AC60" i="10"/>
  <c r="AE60" i="10" s="1"/>
  <c r="O60" i="10"/>
  <c r="Q60" i="10" s="1"/>
  <c r="J60" i="10"/>
  <c r="L60" i="10" s="1"/>
  <c r="AF59" i="10"/>
  <c r="AE59" i="10"/>
  <c r="AD59" i="10"/>
  <c r="AC59" i="10"/>
  <c r="O59" i="10"/>
  <c r="Q59" i="10" s="1"/>
  <c r="L59" i="10"/>
  <c r="J59" i="10"/>
  <c r="AD58" i="10"/>
  <c r="AF58" i="10" s="1"/>
  <c r="AC58" i="10"/>
  <c r="AE58" i="10" s="1"/>
  <c r="O58" i="10"/>
  <c r="Q58" i="10" s="1"/>
  <c r="Q63" i="10" s="1"/>
  <c r="L58" i="10"/>
  <c r="J58" i="10"/>
  <c r="AB56" i="10"/>
  <c r="AA56" i="10"/>
  <c r="Z56" i="10"/>
  <c r="Y56" i="10"/>
  <c r="X56" i="10"/>
  <c r="W56" i="10"/>
  <c r="V56" i="10"/>
  <c r="U56" i="10"/>
  <c r="T56" i="10"/>
  <c r="S56" i="10"/>
  <c r="R56" i="10"/>
  <c r="P56" i="10"/>
  <c r="N56" i="10"/>
  <c r="M56" i="10"/>
  <c r="K56" i="10"/>
  <c r="I56" i="10"/>
  <c r="H56" i="10"/>
  <c r="G56" i="10"/>
  <c r="F56" i="10"/>
  <c r="AD55" i="10"/>
  <c r="AF55" i="10" s="1"/>
  <c r="AC55" i="10"/>
  <c r="AE55" i="10" s="1"/>
  <c r="Q55" i="10"/>
  <c r="O55" i="10"/>
  <c r="J55" i="10"/>
  <c r="L55" i="10" s="1"/>
  <c r="AD54" i="10"/>
  <c r="AF54" i="10" s="1"/>
  <c r="AC54" i="10"/>
  <c r="AE54" i="10" s="1"/>
  <c r="O54" i="10"/>
  <c r="Q54" i="10" s="1"/>
  <c r="J54" i="10"/>
  <c r="L54" i="10" s="1"/>
  <c r="AD53" i="10"/>
  <c r="AF53" i="10" s="1"/>
  <c r="AC53" i="10"/>
  <c r="AE53" i="10" s="1"/>
  <c r="Q53" i="10"/>
  <c r="O53" i="10"/>
  <c r="J53" i="10"/>
  <c r="L53" i="10" s="1"/>
  <c r="AD52" i="10"/>
  <c r="AC52" i="10"/>
  <c r="AE52" i="10" s="1"/>
  <c r="O52" i="10"/>
  <c r="O56" i="10" s="1"/>
  <c r="J52" i="10"/>
  <c r="J56" i="10" s="1"/>
  <c r="AD51" i="10"/>
  <c r="AF51" i="10" s="1"/>
  <c r="AC51" i="10"/>
  <c r="AE51" i="10" s="1"/>
  <c r="O51" i="10"/>
  <c r="Q51" i="10" s="1"/>
  <c r="J51" i="10"/>
  <c r="L51" i="10" s="1"/>
  <c r="AB49" i="10"/>
  <c r="AA49" i="10"/>
  <c r="Z49" i="10"/>
  <c r="Y49" i="10"/>
  <c r="X49" i="10"/>
  <c r="W49" i="10"/>
  <c r="V49" i="10"/>
  <c r="U49" i="10"/>
  <c r="T49" i="10"/>
  <c r="S49" i="10"/>
  <c r="P49" i="10"/>
  <c r="N49" i="10"/>
  <c r="M49" i="10"/>
  <c r="K49" i="10"/>
  <c r="I49" i="10"/>
  <c r="H49" i="10"/>
  <c r="G49" i="10"/>
  <c r="F49" i="10"/>
  <c r="AF48" i="10"/>
  <c r="AD48" i="10"/>
  <c r="AC48" i="10"/>
  <c r="AE48" i="10" s="1"/>
  <c r="O48" i="10"/>
  <c r="Q48" i="10" s="1"/>
  <c r="J48" i="10"/>
  <c r="L48" i="10" s="1"/>
  <c r="AD47" i="10"/>
  <c r="AD49" i="10" s="1"/>
  <c r="AC47" i="10"/>
  <c r="AE47" i="10" s="1"/>
  <c r="O47" i="10"/>
  <c r="Q47" i="10" s="1"/>
  <c r="L47" i="10"/>
  <c r="R47" i="10" s="1"/>
  <c r="J47" i="10"/>
  <c r="AD46" i="10"/>
  <c r="AF46" i="10" s="1"/>
  <c r="AC46" i="10"/>
  <c r="AE46" i="10" s="1"/>
  <c r="Q46" i="10"/>
  <c r="R46" i="10" s="1"/>
  <c r="O46" i="10"/>
  <c r="L46" i="10"/>
  <c r="J46" i="10"/>
  <c r="AD45" i="10"/>
  <c r="AF45" i="10" s="1"/>
  <c r="AC45" i="10"/>
  <c r="AE45" i="10" s="1"/>
  <c r="O45" i="10"/>
  <c r="Q45" i="10" s="1"/>
  <c r="J45" i="10"/>
  <c r="L45" i="10" s="1"/>
  <c r="R45" i="10" s="1"/>
  <c r="AF44" i="10"/>
  <c r="AD44" i="10"/>
  <c r="AC44" i="10"/>
  <c r="AE44" i="10" s="1"/>
  <c r="AE49" i="10" s="1"/>
  <c r="O44" i="10"/>
  <c r="J44" i="10"/>
  <c r="L44" i="10" s="1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P42" i="10"/>
  <c r="N42" i="10"/>
  <c r="M42" i="10"/>
  <c r="K42" i="10"/>
  <c r="I42" i="10"/>
  <c r="H42" i="10"/>
  <c r="G42" i="10"/>
  <c r="F42" i="10"/>
  <c r="AF41" i="10"/>
  <c r="AD41" i="10"/>
  <c r="AC41" i="10"/>
  <c r="AE41" i="10" s="1"/>
  <c r="O41" i="10"/>
  <c r="Q41" i="10" s="1"/>
  <c r="J41" i="10"/>
  <c r="L41" i="10" s="1"/>
  <c r="R41" i="10" s="1"/>
  <c r="AF40" i="10"/>
  <c r="AE40" i="10"/>
  <c r="AD40" i="10"/>
  <c r="AC40" i="10"/>
  <c r="O40" i="10"/>
  <c r="Q40" i="10" s="1"/>
  <c r="L40" i="10"/>
  <c r="R40" i="10" s="1"/>
  <c r="J40" i="10"/>
  <c r="AD39" i="10"/>
  <c r="AF39" i="10" s="1"/>
  <c r="AC39" i="10"/>
  <c r="AE39" i="10" s="1"/>
  <c r="O39" i="10"/>
  <c r="Q39" i="10" s="1"/>
  <c r="R39" i="10" s="1"/>
  <c r="L39" i="10"/>
  <c r="J39" i="10"/>
  <c r="AD38" i="10"/>
  <c r="AF38" i="10" s="1"/>
  <c r="AC38" i="10"/>
  <c r="AE38" i="10" s="1"/>
  <c r="O38" i="10"/>
  <c r="Q38" i="10" s="1"/>
  <c r="L38" i="10"/>
  <c r="R38" i="10" s="1"/>
  <c r="J38" i="10"/>
  <c r="AF37" i="10"/>
  <c r="AF42" i="10" s="1"/>
  <c r="AD37" i="10"/>
  <c r="AC37" i="10"/>
  <c r="AE37" i="10" s="1"/>
  <c r="AE42" i="10" s="1"/>
  <c r="O37" i="10"/>
  <c r="J37" i="10"/>
  <c r="L37" i="10" s="1"/>
  <c r="AB35" i="10"/>
  <c r="AA35" i="10"/>
  <c r="Z35" i="10"/>
  <c r="Y35" i="10"/>
  <c r="X35" i="10"/>
  <c r="W35" i="10"/>
  <c r="V35" i="10"/>
  <c r="U35" i="10"/>
  <c r="T35" i="10"/>
  <c r="S35" i="10"/>
  <c r="R35" i="10"/>
  <c r="P35" i="10"/>
  <c r="N35" i="10"/>
  <c r="M35" i="10"/>
  <c r="K35" i="10"/>
  <c r="I35" i="10"/>
  <c r="H35" i="10"/>
  <c r="G35" i="10"/>
  <c r="F35" i="10"/>
  <c r="AF34" i="10"/>
  <c r="AD34" i="10"/>
  <c r="AC34" i="10"/>
  <c r="AE34" i="10" s="1"/>
  <c r="Q34" i="10"/>
  <c r="O34" i="10"/>
  <c r="J34" i="10"/>
  <c r="L34" i="10" s="1"/>
  <c r="AD33" i="10"/>
  <c r="AF33" i="10" s="1"/>
  <c r="AC33" i="10"/>
  <c r="AE33" i="10" s="1"/>
  <c r="Q33" i="10"/>
  <c r="Q35" i="10" s="1"/>
  <c r="O33" i="10"/>
  <c r="J33" i="10"/>
  <c r="L33" i="10" s="1"/>
  <c r="AD32" i="10"/>
  <c r="AF32" i="10" s="1"/>
  <c r="AC32" i="10"/>
  <c r="AE32" i="10" s="1"/>
  <c r="O32" i="10"/>
  <c r="Q32" i="10" s="1"/>
  <c r="J32" i="10"/>
  <c r="L32" i="10" s="1"/>
  <c r="AF31" i="10"/>
  <c r="AD31" i="10"/>
  <c r="AC31" i="10"/>
  <c r="AE31" i="10" s="1"/>
  <c r="Q31" i="10"/>
  <c r="O31" i="10"/>
  <c r="J31" i="10"/>
  <c r="J35" i="10" s="1"/>
  <c r="AD30" i="10"/>
  <c r="AF30" i="10" s="1"/>
  <c r="AF35" i="10" s="1"/>
  <c r="AC30" i="10"/>
  <c r="AC35" i="10" s="1"/>
  <c r="Q30" i="10"/>
  <c r="O30" i="10"/>
  <c r="O35" i="10" s="1"/>
  <c r="J30" i="10"/>
  <c r="L30" i="10" s="1"/>
  <c r="AB28" i="10"/>
  <c r="AA28" i="10"/>
  <c r="Z28" i="10"/>
  <c r="Y28" i="10"/>
  <c r="X28" i="10"/>
  <c r="W28" i="10"/>
  <c r="V28" i="10"/>
  <c r="U28" i="10"/>
  <c r="T28" i="10"/>
  <c r="S28" i="10"/>
  <c r="R28" i="10"/>
  <c r="P28" i="10"/>
  <c r="N28" i="10"/>
  <c r="M28" i="10"/>
  <c r="K28" i="10"/>
  <c r="I28" i="10"/>
  <c r="H28" i="10"/>
  <c r="G28" i="10"/>
  <c r="F28" i="10"/>
  <c r="AD27" i="10"/>
  <c r="AF27" i="10" s="1"/>
  <c r="AC27" i="10"/>
  <c r="AE27" i="10" s="1"/>
  <c r="O27" i="10"/>
  <c r="Q27" i="10" s="1"/>
  <c r="L27" i="10"/>
  <c r="J27" i="10"/>
  <c r="AD26" i="10"/>
  <c r="AF26" i="10" s="1"/>
  <c r="AC26" i="10"/>
  <c r="AE26" i="10" s="1"/>
  <c r="O26" i="10"/>
  <c r="Q26" i="10" s="1"/>
  <c r="J26" i="10"/>
  <c r="L26" i="10" s="1"/>
  <c r="AF25" i="10"/>
  <c r="AE25" i="10"/>
  <c r="AD25" i="10"/>
  <c r="AC25" i="10"/>
  <c r="O25" i="10"/>
  <c r="Q25" i="10" s="1"/>
  <c r="J25" i="10"/>
  <c r="L25" i="10" s="1"/>
  <c r="AD24" i="10"/>
  <c r="AC24" i="10"/>
  <c r="O24" i="10"/>
  <c r="O28" i="10" s="1"/>
  <c r="L24" i="10"/>
  <c r="J24" i="10"/>
  <c r="AD23" i="10"/>
  <c r="AF23" i="10" s="1"/>
  <c r="AC23" i="10"/>
  <c r="AE23" i="10" s="1"/>
  <c r="O23" i="10"/>
  <c r="Q23" i="10" s="1"/>
  <c r="J23" i="10"/>
  <c r="AB21" i="10"/>
  <c r="AA21" i="10"/>
  <c r="Z21" i="10"/>
  <c r="Y21" i="10"/>
  <c r="X21" i="10"/>
  <c r="W21" i="10"/>
  <c r="V21" i="10"/>
  <c r="U21" i="10"/>
  <c r="T21" i="10"/>
  <c r="S21" i="10"/>
  <c r="R21" i="10"/>
  <c r="P21" i="10"/>
  <c r="N21" i="10"/>
  <c r="M21" i="10"/>
  <c r="K21" i="10"/>
  <c r="I21" i="10"/>
  <c r="H21" i="10"/>
  <c r="G21" i="10"/>
  <c r="F21" i="10"/>
  <c r="AD20" i="10"/>
  <c r="AF20" i="10" s="1"/>
  <c r="AC20" i="10"/>
  <c r="AE20" i="10" s="1"/>
  <c r="O20" i="10"/>
  <c r="Q20" i="10" s="1"/>
  <c r="J20" i="10"/>
  <c r="L20" i="10" s="1"/>
  <c r="AE19" i="10"/>
  <c r="AD19" i="10"/>
  <c r="AF19" i="10" s="1"/>
  <c r="AC19" i="10"/>
  <c r="O19" i="10"/>
  <c r="Q19" i="10" s="1"/>
  <c r="J19" i="10"/>
  <c r="L19" i="10" s="1"/>
  <c r="AD18" i="10"/>
  <c r="AF18" i="10" s="1"/>
  <c r="AC18" i="10"/>
  <c r="AE18" i="10" s="1"/>
  <c r="O18" i="10"/>
  <c r="Q18" i="10" s="1"/>
  <c r="L18" i="10"/>
  <c r="J18" i="10"/>
  <c r="AD17" i="10"/>
  <c r="AF17" i="10" s="1"/>
  <c r="AC17" i="10"/>
  <c r="AE17" i="10" s="1"/>
  <c r="O17" i="10"/>
  <c r="O21" i="10" s="1"/>
  <c r="J17" i="10"/>
  <c r="L17" i="10" s="1"/>
  <c r="AF16" i="10"/>
  <c r="AE16" i="10"/>
  <c r="AE21" i="10" s="1"/>
  <c r="AD16" i="10"/>
  <c r="AC16" i="10"/>
  <c r="AC21" i="10" s="1"/>
  <c r="O16" i="10"/>
  <c r="Q16" i="10" s="1"/>
  <c r="J16" i="10"/>
  <c r="L16" i="10" s="1"/>
  <c r="AB14" i="10"/>
  <c r="AA14" i="10"/>
  <c r="Z14" i="10"/>
  <c r="Y14" i="10"/>
  <c r="X14" i="10"/>
  <c r="W14" i="10"/>
  <c r="V14" i="10"/>
  <c r="U14" i="10"/>
  <c r="T14" i="10"/>
  <c r="S14" i="10"/>
  <c r="R14" i="10"/>
  <c r="P14" i="10"/>
  <c r="O14" i="10"/>
  <c r="N14" i="10"/>
  <c r="M14" i="10"/>
  <c r="K14" i="10"/>
  <c r="I14" i="10"/>
  <c r="H14" i="10"/>
  <c r="G14" i="10"/>
  <c r="F14" i="10"/>
  <c r="AE13" i="10"/>
  <c r="AD13" i="10"/>
  <c r="AF13" i="10" s="1"/>
  <c r="AC13" i="10"/>
  <c r="Q13" i="10"/>
  <c r="O13" i="10"/>
  <c r="J13" i="10"/>
  <c r="L13" i="10" s="1"/>
  <c r="AD12" i="10"/>
  <c r="AF12" i="10" s="1"/>
  <c r="AC12" i="10"/>
  <c r="AE12" i="10" s="1"/>
  <c r="Q12" i="10"/>
  <c r="O12" i="10"/>
  <c r="J12" i="10"/>
  <c r="L12" i="10" s="1"/>
  <c r="AD11" i="10"/>
  <c r="AF11" i="10" s="1"/>
  <c r="AC11" i="10"/>
  <c r="AE11" i="10" s="1"/>
  <c r="O11" i="10"/>
  <c r="Q11" i="10" s="1"/>
  <c r="J11" i="10"/>
  <c r="L11" i="10" s="1"/>
  <c r="AD10" i="10"/>
  <c r="AD14" i="10" s="1"/>
  <c r="AC10" i="10"/>
  <c r="AE10" i="10" s="1"/>
  <c r="Q10" i="10"/>
  <c r="O10" i="10"/>
  <c r="J10" i="10"/>
  <c r="L10" i="10" s="1"/>
  <c r="AD9" i="10"/>
  <c r="AF9" i="10" s="1"/>
  <c r="AC9" i="10"/>
  <c r="AE9" i="10" s="1"/>
  <c r="O9" i="10"/>
  <c r="Q9" i="10" s="1"/>
  <c r="Q14" i="10" s="1"/>
  <c r="J9" i="10"/>
  <c r="J14" i="10" s="1"/>
  <c r="AB7" i="10"/>
  <c r="AA7" i="10"/>
  <c r="Z7" i="10"/>
  <c r="Y7" i="10"/>
  <c r="X7" i="10"/>
  <c r="W7" i="10"/>
  <c r="V7" i="10"/>
  <c r="U7" i="10"/>
  <c r="T7" i="10"/>
  <c r="S7" i="10"/>
  <c r="P7" i="10"/>
  <c r="N7" i="10"/>
  <c r="M7" i="10"/>
  <c r="K7" i="10"/>
  <c r="J7" i="10"/>
  <c r="I7" i="10"/>
  <c r="H7" i="10"/>
  <c r="G7" i="10"/>
  <c r="F7" i="10"/>
  <c r="AD6" i="10"/>
  <c r="AF6" i="10" s="1"/>
  <c r="AC6" i="10"/>
  <c r="AE6" i="10" s="1"/>
  <c r="O6" i="10"/>
  <c r="Q6" i="10" s="1"/>
  <c r="J6" i="10"/>
  <c r="L6" i="10" s="1"/>
  <c r="AD5" i="10"/>
  <c r="AF5" i="10" s="1"/>
  <c r="AC5" i="10"/>
  <c r="AE5" i="10" s="1"/>
  <c r="O5" i="10"/>
  <c r="Q5" i="10" s="1"/>
  <c r="J5" i="10"/>
  <c r="L5" i="10" s="1"/>
  <c r="R5" i="10" s="1"/>
  <c r="AE4" i="10"/>
  <c r="AD4" i="10"/>
  <c r="AF4" i="10" s="1"/>
  <c r="AC4" i="10"/>
  <c r="O4" i="10"/>
  <c r="Q4" i="10" s="1"/>
  <c r="J4" i="10"/>
  <c r="L4" i="10" s="1"/>
  <c r="R4" i="10" s="1"/>
  <c r="AD3" i="10"/>
  <c r="AF3" i="10" s="1"/>
  <c r="AC3" i="10"/>
  <c r="AE3" i="10" s="1"/>
  <c r="Q3" i="10"/>
  <c r="R3" i="10" s="1"/>
  <c r="O3" i="10"/>
  <c r="J3" i="10"/>
  <c r="L3" i="10" s="1"/>
  <c r="AD2" i="10"/>
  <c r="AF2" i="10" s="1"/>
  <c r="AC2" i="10"/>
  <c r="O2" i="10"/>
  <c r="J2" i="10"/>
  <c r="L2" i="10" s="1"/>
  <c r="AD14" i="7"/>
  <c r="AF14" i="7"/>
  <c r="AL21" i="8"/>
  <c r="AK21" i="8"/>
  <c r="AJ21" i="8"/>
  <c r="AI21" i="8"/>
  <c r="AH21" i="8"/>
  <c r="AE21" i="8"/>
  <c r="AD21" i="8"/>
  <c r="AC21" i="8"/>
  <c r="AB21" i="8"/>
  <c r="AA21" i="8"/>
  <c r="X21" i="8"/>
  <c r="W21" i="8"/>
  <c r="V21" i="8"/>
  <c r="U21" i="8"/>
  <c r="T21" i="8"/>
  <c r="Q21" i="8"/>
  <c r="P21" i="8"/>
  <c r="O21" i="8"/>
  <c r="N21" i="8"/>
  <c r="M21" i="8"/>
  <c r="J21" i="8"/>
  <c r="I21" i="8"/>
  <c r="H21" i="8"/>
  <c r="G21" i="8"/>
  <c r="F21" i="8"/>
  <c r="AS20" i="8"/>
  <c r="AR20" i="8"/>
  <c r="AQ20" i="8"/>
  <c r="AP20" i="8"/>
  <c r="AO20" i="8"/>
  <c r="AM20" i="8"/>
  <c r="AF20" i="8"/>
  <c r="Y20" i="8"/>
  <c r="R20" i="8"/>
  <c r="K20" i="8"/>
  <c r="AS19" i="8"/>
  <c r="AR19" i="8"/>
  <c r="AQ19" i="8"/>
  <c r="AP19" i="8"/>
  <c r="AO19" i="8"/>
  <c r="AM19" i="8"/>
  <c r="AF19" i="8"/>
  <c r="Y19" i="8"/>
  <c r="R19" i="8"/>
  <c r="K19" i="8"/>
  <c r="AS18" i="8"/>
  <c r="AR18" i="8"/>
  <c r="AQ18" i="8"/>
  <c r="AP18" i="8"/>
  <c r="AO18" i="8"/>
  <c r="AM18" i="8"/>
  <c r="AF18" i="8"/>
  <c r="Y18" i="8"/>
  <c r="R18" i="8"/>
  <c r="K18" i="8"/>
  <c r="AS17" i="8"/>
  <c r="AR17" i="8"/>
  <c r="AQ17" i="8"/>
  <c r="AP17" i="8"/>
  <c r="AO17" i="8"/>
  <c r="AM17" i="8"/>
  <c r="AF17" i="8"/>
  <c r="Y17" i="8"/>
  <c r="R17" i="8"/>
  <c r="K17" i="8"/>
  <c r="AS16" i="8"/>
  <c r="AR16" i="8"/>
  <c r="AQ16" i="8"/>
  <c r="AP16" i="8"/>
  <c r="AO16" i="8"/>
  <c r="AM16" i="8"/>
  <c r="AF16" i="8"/>
  <c r="Y16" i="8"/>
  <c r="R16" i="8"/>
  <c r="K16" i="8"/>
  <c r="O10" i="7"/>
  <c r="Q10" i="7" s="1"/>
  <c r="O11" i="7"/>
  <c r="Q11" i="7" s="1"/>
  <c r="O12" i="7"/>
  <c r="Q12" i="7" s="1"/>
  <c r="O13" i="7"/>
  <c r="Q13" i="7" s="1"/>
  <c r="O9" i="7"/>
  <c r="Q9" i="7" s="1"/>
  <c r="N14" i="7"/>
  <c r="J10" i="7"/>
  <c r="L10" i="7" s="1"/>
  <c r="J11" i="7"/>
  <c r="L11" i="7" s="1"/>
  <c r="J12" i="7"/>
  <c r="L12" i="7" s="1"/>
  <c r="J13" i="7"/>
  <c r="L13" i="7" s="1"/>
  <c r="J9" i="7"/>
  <c r="L9" i="7" s="1"/>
  <c r="I14" i="7"/>
  <c r="AE7" i="8"/>
  <c r="AD7" i="8"/>
  <c r="AC7" i="8"/>
  <c r="AB7" i="8"/>
  <c r="AA7" i="8"/>
  <c r="AL7" i="8"/>
  <c r="AK7" i="8"/>
  <c r="AJ7" i="8"/>
  <c r="AI7" i="8"/>
  <c r="AH7" i="8"/>
  <c r="X7" i="8"/>
  <c r="W7" i="8"/>
  <c r="V7" i="8"/>
  <c r="U7" i="8"/>
  <c r="T7" i="8"/>
  <c r="Q7" i="8"/>
  <c r="P7" i="8"/>
  <c r="O7" i="8"/>
  <c r="N7" i="8"/>
  <c r="M7" i="8"/>
  <c r="J7" i="8"/>
  <c r="I7" i="8"/>
  <c r="H7" i="8"/>
  <c r="G7" i="8"/>
  <c r="F7" i="8"/>
  <c r="AS6" i="8"/>
  <c r="AR6" i="8"/>
  <c r="AQ6" i="8"/>
  <c r="AP6" i="8"/>
  <c r="AO6" i="8"/>
  <c r="AF6" i="8"/>
  <c r="AM6" i="8"/>
  <c r="Y6" i="8"/>
  <c r="R6" i="8"/>
  <c r="K6" i="8"/>
  <c r="AS5" i="8"/>
  <c r="AR5" i="8"/>
  <c r="AQ5" i="8"/>
  <c r="AP5" i="8"/>
  <c r="AO5" i="8"/>
  <c r="AF5" i="8"/>
  <c r="AM5" i="8"/>
  <c r="Y5" i="8"/>
  <c r="R5" i="8"/>
  <c r="K5" i="8"/>
  <c r="AS4" i="8"/>
  <c r="AR4" i="8"/>
  <c r="AQ4" i="8"/>
  <c r="AP4" i="8"/>
  <c r="AO4" i="8"/>
  <c r="AF4" i="8"/>
  <c r="AM4" i="8"/>
  <c r="Y4" i="8"/>
  <c r="R4" i="8"/>
  <c r="K4" i="8"/>
  <c r="AS3" i="8"/>
  <c r="AR3" i="8"/>
  <c r="AQ3" i="8"/>
  <c r="AP3" i="8"/>
  <c r="AO3" i="8"/>
  <c r="AF3" i="8"/>
  <c r="AM3" i="8"/>
  <c r="Y3" i="8"/>
  <c r="R3" i="8"/>
  <c r="K3" i="8"/>
  <c r="AS2" i="8"/>
  <c r="AR2" i="8"/>
  <c r="AQ2" i="8"/>
  <c r="AP2" i="8"/>
  <c r="AO2" i="8"/>
  <c r="AF2" i="8"/>
  <c r="AM2" i="8"/>
  <c r="Y2" i="8"/>
  <c r="R2" i="8"/>
  <c r="K2" i="8"/>
  <c r="AK25" i="9"/>
  <c r="AJ25" i="9"/>
  <c r="AI25" i="9"/>
  <c r="AH25" i="9"/>
  <c r="AG25" i="9"/>
  <c r="AD25" i="9"/>
  <c r="AC25" i="9"/>
  <c r="AB25" i="9"/>
  <c r="AA25" i="9"/>
  <c r="Z25" i="9"/>
  <c r="W25" i="9"/>
  <c r="V25" i="9"/>
  <c r="U25" i="9"/>
  <c r="T25" i="9"/>
  <c r="S25" i="9"/>
  <c r="P25" i="9"/>
  <c r="O25" i="9"/>
  <c r="N25" i="9"/>
  <c r="M25" i="9"/>
  <c r="L25" i="9"/>
  <c r="I25" i="9"/>
  <c r="H25" i="9"/>
  <c r="G25" i="9"/>
  <c r="F25" i="9"/>
  <c r="E25" i="9"/>
  <c r="AR24" i="9"/>
  <c r="AQ24" i="9"/>
  <c r="AP24" i="9"/>
  <c r="AO24" i="9"/>
  <c r="AN24" i="9"/>
  <c r="AL24" i="9"/>
  <c r="AE24" i="9"/>
  <c r="X24" i="9"/>
  <c r="X25" i="9" s="1"/>
  <c r="Q24" i="9"/>
  <c r="J24" i="9"/>
  <c r="AR23" i="9"/>
  <c r="AQ23" i="9"/>
  <c r="AP23" i="9"/>
  <c r="AO23" i="9"/>
  <c r="AN23" i="9"/>
  <c r="AL23" i="9"/>
  <c r="AE23" i="9"/>
  <c r="X23" i="9"/>
  <c r="Q23" i="9"/>
  <c r="J23" i="9"/>
  <c r="AR22" i="9"/>
  <c r="AQ22" i="9"/>
  <c r="AP22" i="9"/>
  <c r="AO22" i="9"/>
  <c r="AN22" i="9"/>
  <c r="AL22" i="9"/>
  <c r="AE22" i="9"/>
  <c r="X22" i="9"/>
  <c r="Q22" i="9"/>
  <c r="J22" i="9"/>
  <c r="AR21" i="9"/>
  <c r="AQ21" i="9"/>
  <c r="AP21" i="9"/>
  <c r="AO21" i="9"/>
  <c r="AN21" i="9"/>
  <c r="AL21" i="9"/>
  <c r="AE21" i="9"/>
  <c r="X21" i="9"/>
  <c r="Q21" i="9"/>
  <c r="J21" i="9"/>
  <c r="AR20" i="9"/>
  <c r="AQ20" i="9"/>
  <c r="AP20" i="9"/>
  <c r="AO20" i="9"/>
  <c r="AN20" i="9"/>
  <c r="AL20" i="9"/>
  <c r="AE20" i="9"/>
  <c r="X20" i="9"/>
  <c r="Q20" i="9"/>
  <c r="J20" i="9"/>
  <c r="W16" i="5"/>
  <c r="V16" i="5"/>
  <c r="U16" i="5"/>
  <c r="T16" i="5"/>
  <c r="S16" i="5"/>
  <c r="R16" i="5"/>
  <c r="Q16" i="5"/>
  <c r="P16" i="5"/>
  <c r="J16" i="5"/>
  <c r="I16" i="5"/>
  <c r="H16" i="5"/>
  <c r="G16" i="5"/>
  <c r="F16" i="5"/>
  <c r="E16" i="5"/>
  <c r="Y15" i="5"/>
  <c r="X15" i="5"/>
  <c r="M15" i="5"/>
  <c r="N15" i="5" s="1"/>
  <c r="K15" i="5"/>
  <c r="L15" i="5" s="1"/>
  <c r="O15" i="5" s="1"/>
  <c r="Y14" i="5"/>
  <c r="X14" i="5"/>
  <c r="M14" i="5"/>
  <c r="N14" i="5" s="1"/>
  <c r="K14" i="5"/>
  <c r="L14" i="5" s="1"/>
  <c r="O14" i="5" s="1"/>
  <c r="Y13" i="5"/>
  <c r="X13" i="5"/>
  <c r="M13" i="5"/>
  <c r="N13" i="5" s="1"/>
  <c r="K13" i="5"/>
  <c r="L13" i="5" s="1"/>
  <c r="O13" i="5" s="1"/>
  <c r="Y12" i="5"/>
  <c r="X12" i="5"/>
  <c r="M12" i="5"/>
  <c r="N12" i="5" s="1"/>
  <c r="L12" i="5"/>
  <c r="O12" i="5" s="1"/>
  <c r="K12" i="5"/>
  <c r="Y11" i="5"/>
  <c r="Y16" i="5" s="1"/>
  <c r="X11" i="5"/>
  <c r="X16" i="5" s="1"/>
  <c r="M11" i="5"/>
  <c r="M16" i="5" s="1"/>
  <c r="K11" i="5"/>
  <c r="K16" i="5" s="1"/>
  <c r="AS13" i="8"/>
  <c r="AR13" i="8"/>
  <c r="AQ13" i="8"/>
  <c r="AP13" i="8"/>
  <c r="AO13" i="8"/>
  <c r="AS12" i="8"/>
  <c r="AR12" i="8"/>
  <c r="AQ12" i="8"/>
  <c r="AP12" i="8"/>
  <c r="AO12" i="8"/>
  <c r="AS11" i="8"/>
  <c r="AR11" i="8"/>
  <c r="AQ11" i="8"/>
  <c r="AP11" i="8"/>
  <c r="AO11" i="8"/>
  <c r="AS10" i="8"/>
  <c r="AR10" i="8"/>
  <c r="AQ10" i="8"/>
  <c r="AP10" i="8"/>
  <c r="AO10" i="8"/>
  <c r="AS9" i="8"/>
  <c r="AR9" i="8"/>
  <c r="AQ9" i="8"/>
  <c r="AP9" i="8"/>
  <c r="AO9" i="8"/>
  <c r="AE14" i="8"/>
  <c r="AD14" i="8"/>
  <c r="AC14" i="8"/>
  <c r="AB14" i="8"/>
  <c r="AA14" i="8"/>
  <c r="AF13" i="8"/>
  <c r="AF12" i="8"/>
  <c r="AF11" i="8"/>
  <c r="AF10" i="8"/>
  <c r="AF9" i="8"/>
  <c r="AL14" i="8"/>
  <c r="AK14" i="8"/>
  <c r="AJ14" i="8"/>
  <c r="AI14" i="8"/>
  <c r="AH14" i="8"/>
  <c r="AM13" i="8"/>
  <c r="AM12" i="8"/>
  <c r="AM11" i="8"/>
  <c r="AM10" i="8"/>
  <c r="AM9" i="8"/>
  <c r="AN10" i="7"/>
  <c r="AP10" i="7" s="1"/>
  <c r="AN11" i="7"/>
  <c r="AP11" i="7" s="1"/>
  <c r="AN12" i="7"/>
  <c r="AP12" i="7" s="1"/>
  <c r="AN13" i="7"/>
  <c r="AP13" i="7" s="1"/>
  <c r="AN9" i="7"/>
  <c r="AP9" i="7" s="1"/>
  <c r="AM9" i="7"/>
  <c r="AO9" i="7" s="1"/>
  <c r="AM10" i="7"/>
  <c r="AO10" i="7" s="1"/>
  <c r="AM11" i="7"/>
  <c r="AO11" i="7" s="1"/>
  <c r="AM12" i="7"/>
  <c r="AO12" i="7" s="1"/>
  <c r="AM13" i="7"/>
  <c r="AO13" i="7" s="1"/>
  <c r="AI14" i="7"/>
  <c r="AK14" i="7"/>
  <c r="AH14" i="7"/>
  <c r="AJ14" i="7"/>
  <c r="AL14" i="7"/>
  <c r="AG14" i="7"/>
  <c r="X14" i="8"/>
  <c r="W14" i="8"/>
  <c r="V14" i="8"/>
  <c r="U14" i="8"/>
  <c r="T14" i="8"/>
  <c r="Y13" i="8"/>
  <c r="Y12" i="8"/>
  <c r="Y11" i="8"/>
  <c r="Y10" i="8"/>
  <c r="Y9" i="8"/>
  <c r="Q14" i="8"/>
  <c r="P14" i="8"/>
  <c r="O14" i="8"/>
  <c r="N14" i="8"/>
  <c r="M14" i="8"/>
  <c r="J14" i="8"/>
  <c r="I14" i="8"/>
  <c r="H14" i="8"/>
  <c r="G14" i="8"/>
  <c r="F14" i="8"/>
  <c r="R13" i="8"/>
  <c r="K13" i="8"/>
  <c r="R12" i="8"/>
  <c r="K12" i="8"/>
  <c r="R11" i="8"/>
  <c r="K11" i="8"/>
  <c r="R10" i="8"/>
  <c r="K10" i="8"/>
  <c r="R9" i="8"/>
  <c r="K9" i="8"/>
  <c r="B16" i="9"/>
  <c r="F5" i="9"/>
  <c r="F4" i="9"/>
  <c r="F3" i="9"/>
  <c r="F2" i="9"/>
  <c r="E6" i="9"/>
  <c r="D6" i="9"/>
  <c r="C6" i="9"/>
  <c r="B6" i="9"/>
  <c r="A1" i="4"/>
  <c r="B1" i="4"/>
  <c r="C1" i="4"/>
  <c r="D1" i="4"/>
  <c r="E1" i="4"/>
  <c r="A2" i="4"/>
  <c r="B2" i="4"/>
  <c r="C2" i="4"/>
  <c r="D2" i="4"/>
  <c r="D6" i="4" s="1"/>
  <c r="E2" i="4"/>
  <c r="E6" i="4" s="1"/>
  <c r="A3" i="4"/>
  <c r="B3" i="4"/>
  <c r="C3" i="4"/>
  <c r="D3" i="4"/>
  <c r="E3" i="4"/>
  <c r="A4" i="4"/>
  <c r="B4" i="4"/>
  <c r="C4" i="4"/>
  <c r="D4" i="4"/>
  <c r="E4" i="4"/>
  <c r="F4" i="4" s="1"/>
  <c r="A5" i="4"/>
  <c r="B5" i="4"/>
  <c r="C5" i="4"/>
  <c r="D5" i="4"/>
  <c r="E5" i="4"/>
  <c r="F14" i="7"/>
  <c r="F2" i="1"/>
  <c r="F3" i="1"/>
  <c r="F4" i="1"/>
  <c r="F5" i="1"/>
  <c r="F1" i="1"/>
  <c r="F6" i="1" s="1"/>
  <c r="B6" i="1"/>
  <c r="C6" i="1"/>
  <c r="D6" i="1"/>
  <c r="E6" i="1"/>
  <c r="A6" i="1"/>
  <c r="B16" i="4"/>
  <c r="F1" i="4"/>
  <c r="P14" i="7"/>
  <c r="M14" i="7"/>
  <c r="K14" i="7"/>
  <c r="H14" i="7"/>
  <c r="L3" i="5"/>
  <c r="L4" i="5"/>
  <c r="L5" i="5"/>
  <c r="L6" i="5"/>
  <c r="L2" i="5"/>
  <c r="D8" i="5"/>
  <c r="E8" i="5"/>
  <c r="F8" i="5"/>
  <c r="G8" i="5"/>
  <c r="H8" i="5"/>
  <c r="I8" i="5"/>
  <c r="C8" i="5"/>
  <c r="B6" i="4"/>
  <c r="F3" i="4"/>
  <c r="C3" i="5"/>
  <c r="K3" i="5" s="1"/>
  <c r="M3" i="5" s="1"/>
  <c r="C4" i="5"/>
  <c r="K4" i="5" s="1"/>
  <c r="M4" i="5" s="1"/>
  <c r="C5" i="5"/>
  <c r="K5" i="5" s="1"/>
  <c r="M5" i="5" s="1"/>
  <c r="C6" i="5"/>
  <c r="K6" i="5" s="1"/>
  <c r="M6" i="5" s="1"/>
  <c r="C2" i="5"/>
  <c r="K2" i="5" s="1"/>
  <c r="M2" i="5" s="1"/>
  <c r="AS28" i="8" l="1"/>
  <c r="AT26" i="8"/>
  <c r="AR28" i="8"/>
  <c r="AM28" i="8"/>
  <c r="AO28" i="8"/>
  <c r="BH35" i="19"/>
  <c r="AN40" i="18"/>
  <c r="AL42" i="18"/>
  <c r="L42" i="18"/>
  <c r="AN37" i="18"/>
  <c r="J42" i="18"/>
  <c r="AN38" i="18"/>
  <c r="AK42" i="18"/>
  <c r="Q37" i="18"/>
  <c r="Q42" i="18" s="1"/>
  <c r="Z39" i="18"/>
  <c r="Z42" i="18" s="1"/>
  <c r="R67" i="18"/>
  <c r="L56" i="18"/>
  <c r="R51" i="18"/>
  <c r="R68" i="18"/>
  <c r="L70" i="18"/>
  <c r="R65" i="18"/>
  <c r="R70" i="18" s="1"/>
  <c r="R53" i="18"/>
  <c r="AN49" i="18"/>
  <c r="R61" i="18"/>
  <c r="R63" i="18" s="1"/>
  <c r="L63" i="18"/>
  <c r="R54" i="18"/>
  <c r="R46" i="18"/>
  <c r="AL63" i="18"/>
  <c r="Z61" i="18"/>
  <c r="Z63" i="18" s="1"/>
  <c r="AL49" i="18"/>
  <c r="Z47" i="18"/>
  <c r="Z49" i="18" s="1"/>
  <c r="AK63" i="18"/>
  <c r="Z62" i="18"/>
  <c r="AK49" i="18"/>
  <c r="Z48" i="18"/>
  <c r="L44" i="18"/>
  <c r="Z65" i="18"/>
  <c r="Z70" i="18" s="1"/>
  <c r="Z51" i="18"/>
  <c r="Z56" i="18" s="1"/>
  <c r="O70" i="18"/>
  <c r="O56" i="18"/>
  <c r="AT14" i="19"/>
  <c r="BV32" i="19"/>
  <c r="BV30" i="19"/>
  <c r="BV31" i="19"/>
  <c r="AB10" i="7"/>
  <c r="AB48" i="7"/>
  <c r="AB18" i="7"/>
  <c r="Y35" i="18"/>
  <c r="Y21" i="18"/>
  <c r="Y14" i="18"/>
  <c r="Z26" i="18"/>
  <c r="Z16" i="18"/>
  <c r="Z4" i="18"/>
  <c r="Z17" i="18"/>
  <c r="Z2" i="18"/>
  <c r="Y28" i="18"/>
  <c r="Z33" i="18"/>
  <c r="Z10" i="18"/>
  <c r="Z23" i="18"/>
  <c r="Z9" i="18"/>
  <c r="Y7" i="18"/>
  <c r="AT28" i="19"/>
  <c r="AF35" i="19"/>
  <c r="AT35" i="19"/>
  <c r="BQ35" i="19"/>
  <c r="R28" i="19"/>
  <c r="BV24" i="19"/>
  <c r="BV28" i="19"/>
  <c r="BQ28" i="19"/>
  <c r="AF21" i="19"/>
  <c r="BV17" i="19"/>
  <c r="AT21" i="19"/>
  <c r="BV21" i="19"/>
  <c r="BH21" i="19"/>
  <c r="AA28" i="7"/>
  <c r="AA56" i="7"/>
  <c r="AB60" i="7"/>
  <c r="AB25" i="7"/>
  <c r="AB74" i="7"/>
  <c r="AA7" i="7"/>
  <c r="AB16" i="7"/>
  <c r="AB26" i="7"/>
  <c r="AB40" i="7"/>
  <c r="AB52" i="7"/>
  <c r="AA21" i="7"/>
  <c r="AB41" i="7"/>
  <c r="AB66" i="7"/>
  <c r="AA49" i="7"/>
  <c r="AB3" i="7"/>
  <c r="AB67" i="7"/>
  <c r="AA14" i="7"/>
  <c r="AB32" i="7"/>
  <c r="AB58" i="7"/>
  <c r="AB68" i="7"/>
  <c r="AB11" i="7"/>
  <c r="AB19" i="7"/>
  <c r="AB27" i="7"/>
  <c r="AB45" i="7"/>
  <c r="AB53" i="7"/>
  <c r="AB61" i="7"/>
  <c r="AB69" i="7"/>
  <c r="AB75" i="7"/>
  <c r="AB76" i="7"/>
  <c r="AA77" i="7"/>
  <c r="AB33" i="7"/>
  <c r="AB44" i="7"/>
  <c r="AB12" i="7"/>
  <c r="AB20" i="7"/>
  <c r="AB30" i="7"/>
  <c r="AB38" i="7"/>
  <c r="AB46" i="7"/>
  <c r="AB54" i="7"/>
  <c r="AB62" i="7"/>
  <c r="AB72" i="7"/>
  <c r="AB9" i="7"/>
  <c r="AA42" i="7"/>
  <c r="AB6" i="7"/>
  <c r="AA70" i="7"/>
  <c r="AB5" i="7"/>
  <c r="AB13" i="7"/>
  <c r="AB23" i="7"/>
  <c r="AB28" i="7" s="1"/>
  <c r="AB39" i="7"/>
  <c r="AB47" i="7"/>
  <c r="AB55" i="7"/>
  <c r="AB65" i="7"/>
  <c r="AB34" i="7"/>
  <c r="AB4" i="7"/>
  <c r="AA35" i="7"/>
  <c r="Z3" i="18"/>
  <c r="Z24" i="18"/>
  <c r="Z31" i="18"/>
  <c r="Z11" i="18"/>
  <c r="Z18" i="18"/>
  <c r="Z25" i="18"/>
  <c r="Z32" i="18"/>
  <c r="Z5" i="18"/>
  <c r="Z12" i="18"/>
  <c r="Z19" i="18"/>
  <c r="Z6" i="18"/>
  <c r="Z13" i="18"/>
  <c r="Z20" i="18"/>
  <c r="Z27" i="18"/>
  <c r="Z34" i="18"/>
  <c r="R25" i="18"/>
  <c r="AN28" i="18"/>
  <c r="R31" i="18"/>
  <c r="O28" i="18"/>
  <c r="Q24" i="18"/>
  <c r="R24" i="18" s="1"/>
  <c r="R26" i="18"/>
  <c r="J28" i="18"/>
  <c r="L23" i="18"/>
  <c r="R23" i="18" s="1"/>
  <c r="AM28" i="18"/>
  <c r="R27" i="18"/>
  <c r="AK28" i="18"/>
  <c r="AL28" i="18"/>
  <c r="AM70" i="7"/>
  <c r="J14" i="18"/>
  <c r="R10" i="18"/>
  <c r="R13" i="18"/>
  <c r="R34" i="18"/>
  <c r="R11" i="18"/>
  <c r="R32" i="18"/>
  <c r="Q14" i="18"/>
  <c r="AM14" i="18"/>
  <c r="AN14" i="18"/>
  <c r="R12" i="18"/>
  <c r="R19" i="18"/>
  <c r="O14" i="18"/>
  <c r="J21" i="18"/>
  <c r="AK14" i="18"/>
  <c r="L9" i="18"/>
  <c r="AL14" i="18"/>
  <c r="J35" i="18"/>
  <c r="AL35" i="18"/>
  <c r="BQ21" i="19"/>
  <c r="BV9" i="19"/>
  <c r="BR14" i="19"/>
  <c r="BS14" i="19"/>
  <c r="BU14" i="19"/>
  <c r="BV10" i="19"/>
  <c r="BV12" i="19"/>
  <c r="BV13" i="19"/>
  <c r="BQ14" i="19"/>
  <c r="AK21" i="18"/>
  <c r="Q35" i="18"/>
  <c r="AM35" i="18"/>
  <c r="R33" i="18"/>
  <c r="AN30" i="18"/>
  <c r="AN35" i="18" s="1"/>
  <c r="O35" i="18"/>
  <c r="AK35" i="18"/>
  <c r="L30" i="18"/>
  <c r="AM18" i="18"/>
  <c r="AM21" i="18" s="1"/>
  <c r="O21" i="18"/>
  <c r="Q17" i="18"/>
  <c r="R17" i="18" s="1"/>
  <c r="R6" i="18"/>
  <c r="L16" i="18"/>
  <c r="R16" i="18" s="1"/>
  <c r="AN21" i="18"/>
  <c r="R18" i="18"/>
  <c r="R20" i="18"/>
  <c r="AL21" i="18"/>
  <c r="Y7" i="19"/>
  <c r="BV6" i="19"/>
  <c r="BA7" i="19"/>
  <c r="BR7" i="19"/>
  <c r="BT7" i="19"/>
  <c r="BH7" i="19"/>
  <c r="BQ7" i="19"/>
  <c r="BO7" i="19"/>
  <c r="BU7" i="19"/>
  <c r="BV5" i="19"/>
  <c r="K7" i="19"/>
  <c r="R7" i="19"/>
  <c r="BV4" i="19"/>
  <c r="BS7" i="19"/>
  <c r="O7" i="18"/>
  <c r="J7" i="18"/>
  <c r="R5" i="18"/>
  <c r="BV3" i="19"/>
  <c r="BV2" i="19"/>
  <c r="AM7" i="18"/>
  <c r="R4" i="18"/>
  <c r="Q7" i="18"/>
  <c r="AN7" i="18"/>
  <c r="R3" i="18"/>
  <c r="L2" i="18"/>
  <c r="AL7" i="18"/>
  <c r="AK7" i="18"/>
  <c r="AN70" i="7"/>
  <c r="J70" i="7"/>
  <c r="Q70" i="7"/>
  <c r="AP70" i="7"/>
  <c r="L66" i="7"/>
  <c r="L70" i="7" s="1"/>
  <c r="O70" i="7"/>
  <c r="AO66" i="7"/>
  <c r="AO70" i="7" s="1"/>
  <c r="J77" i="7"/>
  <c r="AN77" i="7"/>
  <c r="Q77" i="7"/>
  <c r="AO77" i="7"/>
  <c r="O77" i="7"/>
  <c r="L73" i="7"/>
  <c r="L77" i="7" s="1"/>
  <c r="AP73" i="7"/>
  <c r="AP77" i="7" s="1"/>
  <c r="AM77" i="7"/>
  <c r="AL63" i="7"/>
  <c r="AN56" i="7"/>
  <c r="AP51" i="7"/>
  <c r="AP56" i="7" s="1"/>
  <c r="AN63" i="7"/>
  <c r="Y28" i="8"/>
  <c r="AT27" i="8"/>
  <c r="AP28" i="8"/>
  <c r="AQ28" i="8"/>
  <c r="AT24" i="8"/>
  <c r="AT23" i="8"/>
  <c r="AT28" i="8" s="1"/>
  <c r="AF28" i="8"/>
  <c r="R28" i="8"/>
  <c r="K28" i="8"/>
  <c r="R46" i="16"/>
  <c r="Q49" i="16"/>
  <c r="R44" i="16"/>
  <c r="R49" i="16" s="1"/>
  <c r="L49" i="16"/>
  <c r="AE44" i="16"/>
  <c r="AE49" i="16" s="1"/>
  <c r="AF44" i="16"/>
  <c r="AF49" i="16" s="1"/>
  <c r="K21" i="17"/>
  <c r="R21" i="17"/>
  <c r="AP21" i="17"/>
  <c r="AF21" i="17"/>
  <c r="AO21" i="17"/>
  <c r="AT16" i="17"/>
  <c r="AT21" i="17" s="1"/>
  <c r="L37" i="16"/>
  <c r="Q37" i="16"/>
  <c r="Q42" i="16" s="1"/>
  <c r="AE37" i="16"/>
  <c r="AE42" i="16" s="1"/>
  <c r="AF37" i="16"/>
  <c r="AF42" i="16" s="1"/>
  <c r="R31" i="16"/>
  <c r="J35" i="16"/>
  <c r="AC35" i="16"/>
  <c r="AD35" i="16"/>
  <c r="Q30" i="16"/>
  <c r="Q35" i="16" s="1"/>
  <c r="L30" i="16"/>
  <c r="AE30" i="16"/>
  <c r="AE35" i="16" s="1"/>
  <c r="AF30" i="16"/>
  <c r="AF35" i="16" s="1"/>
  <c r="AD28" i="16"/>
  <c r="AO14" i="17"/>
  <c r="AF14" i="17"/>
  <c r="R14" i="17"/>
  <c r="AT9" i="17"/>
  <c r="AT14" i="17" s="1"/>
  <c r="L23" i="16"/>
  <c r="Q23" i="16"/>
  <c r="Q28" i="16" s="1"/>
  <c r="AE23" i="16"/>
  <c r="AE28" i="16" s="1"/>
  <c r="AF23" i="16"/>
  <c r="AF28" i="16" s="1"/>
  <c r="L9" i="16"/>
  <c r="R13" i="16"/>
  <c r="L14" i="16"/>
  <c r="R19" i="16"/>
  <c r="R18" i="16"/>
  <c r="O21" i="16"/>
  <c r="R20" i="16"/>
  <c r="R9" i="16"/>
  <c r="R14" i="16" s="1"/>
  <c r="J7" i="16"/>
  <c r="R17" i="16"/>
  <c r="O14" i="16"/>
  <c r="AE9" i="16"/>
  <c r="AE14" i="16" s="1"/>
  <c r="AC21" i="16"/>
  <c r="AF9" i="16"/>
  <c r="AF14" i="16" s="1"/>
  <c r="AE17" i="16"/>
  <c r="AE21" i="16" s="1"/>
  <c r="J21" i="16"/>
  <c r="L21" i="16"/>
  <c r="Q16" i="16"/>
  <c r="AF16" i="16"/>
  <c r="AF21" i="16" s="1"/>
  <c r="R6" i="16"/>
  <c r="AR7" i="17"/>
  <c r="R7" i="17"/>
  <c r="AT4" i="17"/>
  <c r="AS7" i="17"/>
  <c r="AM7" i="17"/>
  <c r="AF7" i="17"/>
  <c r="AT6" i="17"/>
  <c r="Y7" i="17"/>
  <c r="AP7" i="17"/>
  <c r="K7" i="17"/>
  <c r="AT5" i="17"/>
  <c r="AQ7" i="17"/>
  <c r="L2" i="16"/>
  <c r="R2" i="16" s="1"/>
  <c r="AC7" i="16"/>
  <c r="AD7" i="16"/>
  <c r="R3" i="16"/>
  <c r="AT2" i="17"/>
  <c r="AO7" i="17"/>
  <c r="Q7" i="16"/>
  <c r="R4" i="16"/>
  <c r="O7" i="16"/>
  <c r="AE2" i="16"/>
  <c r="AE7" i="16" s="1"/>
  <c r="AF2" i="16"/>
  <c r="AF7" i="16" s="1"/>
  <c r="AM56" i="7"/>
  <c r="L63" i="7"/>
  <c r="Q63" i="7"/>
  <c r="AO63" i="7"/>
  <c r="J63" i="7"/>
  <c r="O63" i="7"/>
  <c r="AP59" i="7"/>
  <c r="AP63" i="7" s="1"/>
  <c r="AM63" i="7"/>
  <c r="L56" i="7"/>
  <c r="Q56" i="7"/>
  <c r="J56" i="7"/>
  <c r="O56" i="7"/>
  <c r="AO52" i="7"/>
  <c r="AO56" i="7" s="1"/>
  <c r="AM42" i="7"/>
  <c r="J49" i="7"/>
  <c r="AM49" i="7"/>
  <c r="AN42" i="7"/>
  <c r="AP37" i="7"/>
  <c r="AP42" i="7" s="1"/>
  <c r="L42" i="7"/>
  <c r="Q42" i="7"/>
  <c r="J42" i="7"/>
  <c r="AO45" i="7"/>
  <c r="AO49" i="7" s="1"/>
  <c r="O42" i="7"/>
  <c r="AO38" i="7"/>
  <c r="AO42" i="7" s="1"/>
  <c r="AN49" i="7"/>
  <c r="Q49" i="7"/>
  <c r="AP49" i="7"/>
  <c r="L45" i="7"/>
  <c r="L49" i="7" s="1"/>
  <c r="O49" i="7"/>
  <c r="AN35" i="7"/>
  <c r="AO35" i="7"/>
  <c r="Q35" i="7"/>
  <c r="L35" i="7"/>
  <c r="J28" i="7"/>
  <c r="O35" i="7"/>
  <c r="AN28" i="7"/>
  <c r="AP31" i="7"/>
  <c r="AP35" i="7" s="1"/>
  <c r="AM35" i="7"/>
  <c r="J35" i="7"/>
  <c r="Q28" i="7"/>
  <c r="AO28" i="7"/>
  <c r="L24" i="7"/>
  <c r="L28" i="7" s="1"/>
  <c r="O28" i="7"/>
  <c r="AP24" i="7"/>
  <c r="AP28" i="7" s="1"/>
  <c r="AM28" i="7"/>
  <c r="AS35" i="15"/>
  <c r="AS49" i="15"/>
  <c r="AS9" i="15"/>
  <c r="AS14" i="15" s="1"/>
  <c r="AN35" i="15"/>
  <c r="AS41" i="15"/>
  <c r="AS42" i="15" s="1"/>
  <c r="AS6" i="15"/>
  <c r="AS58" i="15"/>
  <c r="AS63" i="15" s="1"/>
  <c r="AS23" i="15"/>
  <c r="AS28" i="15" s="1"/>
  <c r="AS2" i="15"/>
  <c r="AS7" i="15" s="1"/>
  <c r="AR49" i="15"/>
  <c r="AS51" i="15"/>
  <c r="AS56" i="15" s="1"/>
  <c r="AS20" i="15"/>
  <c r="AS21" i="15" s="1"/>
  <c r="AN42" i="15"/>
  <c r="Q14" i="14"/>
  <c r="AD7" i="14"/>
  <c r="P35" i="14"/>
  <c r="N7" i="14"/>
  <c r="BG93" i="14"/>
  <c r="BG98" i="14" s="1"/>
  <c r="BE98" i="14"/>
  <c r="P42" i="14"/>
  <c r="BF98" i="14"/>
  <c r="BH93" i="14"/>
  <c r="BH98" i="14" s="1"/>
  <c r="P168" i="14"/>
  <c r="AE105" i="14"/>
  <c r="AE7" i="14"/>
  <c r="AE21" i="14"/>
  <c r="AC70" i="14"/>
  <c r="P79" i="14"/>
  <c r="P84" i="14" s="1"/>
  <c r="I119" i="14"/>
  <c r="AD154" i="14"/>
  <c r="AD56" i="14"/>
  <c r="AC147" i="14"/>
  <c r="K10" i="14"/>
  <c r="Q10" i="14" s="1"/>
  <c r="AD161" i="14"/>
  <c r="AD112" i="14"/>
  <c r="AB28" i="14"/>
  <c r="K42" i="14"/>
  <c r="AE45" i="14"/>
  <c r="AE49" i="14" s="1"/>
  <c r="AC49" i="14"/>
  <c r="N49" i="14"/>
  <c r="AD84" i="14"/>
  <c r="AE122" i="14"/>
  <c r="AE126" i="14" s="1"/>
  <c r="AC126" i="14"/>
  <c r="N126" i="14"/>
  <c r="AE154" i="14"/>
  <c r="AE168" i="14"/>
  <c r="Q18" i="14"/>
  <c r="K3" i="14"/>
  <c r="Q3" i="14" s="1"/>
  <c r="Q7" i="14" s="1"/>
  <c r="K17" i="14"/>
  <c r="Q17" i="14" s="1"/>
  <c r="Q21" i="14" s="1"/>
  <c r="AD28" i="14"/>
  <c r="AC28" i="14"/>
  <c r="AE84" i="14"/>
  <c r="K91" i="14"/>
  <c r="K93" i="14"/>
  <c r="K98" i="14" s="1"/>
  <c r="N105" i="14"/>
  <c r="K147" i="14"/>
  <c r="P156" i="14"/>
  <c r="P161" i="14" s="1"/>
  <c r="AE35" i="14"/>
  <c r="P105" i="14"/>
  <c r="K31" i="14"/>
  <c r="Q31" i="14" s="1"/>
  <c r="Q35" i="14" s="1"/>
  <c r="I35" i="14"/>
  <c r="P119" i="14"/>
  <c r="AE42" i="14"/>
  <c r="Q32" i="14"/>
  <c r="P77" i="14"/>
  <c r="P98" i="14"/>
  <c r="K133" i="14"/>
  <c r="I168" i="14"/>
  <c r="AS98" i="14"/>
  <c r="AD21" i="14"/>
  <c r="AD42" i="14"/>
  <c r="AE63" i="14"/>
  <c r="AE161" i="14"/>
  <c r="AD119" i="14"/>
  <c r="AB14" i="14"/>
  <c r="AE28" i="14"/>
  <c r="AB35" i="14"/>
  <c r="AC42" i="14"/>
  <c r="K70" i="14"/>
  <c r="AD77" i="14"/>
  <c r="P91" i="14"/>
  <c r="AB98" i="14"/>
  <c r="AL98" i="14"/>
  <c r="P133" i="14"/>
  <c r="I140" i="14"/>
  <c r="K135" i="14"/>
  <c r="K140" i="14" s="1"/>
  <c r="AB147" i="14"/>
  <c r="AD142" i="14"/>
  <c r="AD147" i="14" s="1"/>
  <c r="AB168" i="14"/>
  <c r="AD63" i="14"/>
  <c r="K168" i="14"/>
  <c r="I91" i="14"/>
  <c r="AE112" i="14"/>
  <c r="P154" i="14"/>
  <c r="AD14" i="14"/>
  <c r="AC14" i="14"/>
  <c r="N35" i="14"/>
  <c r="AC35" i="14"/>
  <c r="K49" i="14"/>
  <c r="P56" i="14"/>
  <c r="P70" i="14"/>
  <c r="AE77" i="14"/>
  <c r="AC98" i="14"/>
  <c r="AN94" i="14"/>
  <c r="AN98" i="14" s="1"/>
  <c r="AC119" i="14"/>
  <c r="K126" i="14"/>
  <c r="P140" i="14"/>
  <c r="AE147" i="14"/>
  <c r="K24" i="14"/>
  <c r="Q24" i="14" s="1"/>
  <c r="Q28" i="14" s="1"/>
  <c r="Q26" i="14"/>
  <c r="P49" i="14"/>
  <c r="K58" i="14"/>
  <c r="K63" i="14" s="1"/>
  <c r="I63" i="14"/>
  <c r="AB70" i="14"/>
  <c r="AD65" i="14"/>
  <c r="AD70" i="14" s="1"/>
  <c r="AB112" i="14"/>
  <c r="P126" i="14"/>
  <c r="AD140" i="14"/>
  <c r="I147" i="14"/>
  <c r="K161" i="14"/>
  <c r="P38" i="14"/>
  <c r="AE59" i="14"/>
  <c r="AB63" i="14"/>
  <c r="K72" i="14"/>
  <c r="K77" i="14" s="1"/>
  <c r="N77" i="14"/>
  <c r="AD101" i="14"/>
  <c r="AD105" i="14" s="1"/>
  <c r="AE136" i="14"/>
  <c r="AE140" i="14" s="1"/>
  <c r="AB140" i="14"/>
  <c r="K149" i="14"/>
  <c r="K154" i="14" s="1"/>
  <c r="N154" i="14"/>
  <c r="N98" i="14"/>
  <c r="I112" i="14"/>
  <c r="N119" i="14"/>
  <c r="AB77" i="14"/>
  <c r="AD93" i="14"/>
  <c r="AD98" i="14" s="1"/>
  <c r="AC105" i="14"/>
  <c r="AB154" i="14"/>
  <c r="I161" i="14"/>
  <c r="K52" i="14"/>
  <c r="K56" i="14" s="1"/>
  <c r="K7" i="14"/>
  <c r="K14" i="14"/>
  <c r="K21" i="14"/>
  <c r="K35" i="14"/>
  <c r="AE38" i="14"/>
  <c r="AB42" i="14"/>
  <c r="N56" i="14"/>
  <c r="AC77" i="14"/>
  <c r="AD87" i="14"/>
  <c r="AD91" i="14" s="1"/>
  <c r="AE93" i="14"/>
  <c r="AE98" i="14" s="1"/>
  <c r="AE115" i="14"/>
  <c r="AE119" i="14" s="1"/>
  <c r="AB119" i="14"/>
  <c r="N133" i="14"/>
  <c r="P143" i="14"/>
  <c r="P147" i="14" s="1"/>
  <c r="AC154" i="14"/>
  <c r="AD164" i="14"/>
  <c r="AD168" i="14" s="1"/>
  <c r="I133" i="14"/>
  <c r="AS94" i="14"/>
  <c r="I105" i="14"/>
  <c r="AT19" i="8"/>
  <c r="AT20" i="8"/>
  <c r="R4" i="7"/>
  <c r="J21" i="7"/>
  <c r="AN7" i="7"/>
  <c r="R5" i="7"/>
  <c r="Q7" i="7"/>
  <c r="O7" i="7"/>
  <c r="AM7" i="7"/>
  <c r="AO7" i="7"/>
  <c r="J7" i="7"/>
  <c r="R3" i="7"/>
  <c r="R6" i="7"/>
  <c r="L2" i="7"/>
  <c r="AP2" i="7"/>
  <c r="AP7" i="7" s="1"/>
  <c r="AN21" i="7"/>
  <c r="Q21" i="7"/>
  <c r="AO21" i="7"/>
  <c r="L17" i="7"/>
  <c r="L21" i="7" s="1"/>
  <c r="O21" i="7"/>
  <c r="AP17" i="7"/>
  <c r="AP21" i="7" s="1"/>
  <c r="AM21" i="7"/>
  <c r="AS70" i="13"/>
  <c r="AS7" i="13"/>
  <c r="AS21" i="13"/>
  <c r="AS79" i="13"/>
  <c r="AS84" i="13" s="1"/>
  <c r="AS9" i="13"/>
  <c r="AS14" i="13" s="1"/>
  <c r="AS41" i="13"/>
  <c r="AS42" i="13" s="1"/>
  <c r="AQ63" i="13"/>
  <c r="AO77" i="13"/>
  <c r="AN21" i="13"/>
  <c r="AS58" i="13"/>
  <c r="AS63" i="13" s="1"/>
  <c r="AS23" i="13"/>
  <c r="AS55" i="13"/>
  <c r="AS56" i="13" s="1"/>
  <c r="AS30" i="13"/>
  <c r="AS35" i="13" s="1"/>
  <c r="AS44" i="13"/>
  <c r="AS49" i="13" s="1"/>
  <c r="AN70" i="13"/>
  <c r="AR70" i="13"/>
  <c r="AS72" i="13"/>
  <c r="AS77" i="13" s="1"/>
  <c r="AS27" i="13"/>
  <c r="R4" i="12"/>
  <c r="AE49" i="12"/>
  <c r="AE70" i="12"/>
  <c r="R102" i="12"/>
  <c r="Q28" i="12"/>
  <c r="AF49" i="12"/>
  <c r="Q112" i="12"/>
  <c r="Q63" i="12"/>
  <c r="L98" i="12"/>
  <c r="AE112" i="12"/>
  <c r="Q7" i="12"/>
  <c r="L56" i="12"/>
  <c r="L84" i="12"/>
  <c r="L35" i="12"/>
  <c r="Q56" i="12"/>
  <c r="Q84" i="12"/>
  <c r="AF112" i="12"/>
  <c r="AE91" i="12"/>
  <c r="AE56" i="12"/>
  <c r="AF70" i="12"/>
  <c r="L77" i="12"/>
  <c r="AF98" i="12"/>
  <c r="AE105" i="12"/>
  <c r="AF7" i="12"/>
  <c r="Q35" i="12"/>
  <c r="AE42" i="12"/>
  <c r="AF56" i="12"/>
  <c r="R59" i="12"/>
  <c r="Q77" i="12"/>
  <c r="AF84" i="12"/>
  <c r="AF105" i="12"/>
  <c r="L21" i="12"/>
  <c r="AE35" i="12"/>
  <c r="AE77" i="12"/>
  <c r="L14" i="12"/>
  <c r="AF35" i="12"/>
  <c r="AF42" i="12"/>
  <c r="R62" i="12"/>
  <c r="L70" i="12"/>
  <c r="Q91" i="12"/>
  <c r="Q105" i="12"/>
  <c r="L2" i="12"/>
  <c r="Q24" i="12"/>
  <c r="AE10" i="12"/>
  <c r="AE14" i="12" s="1"/>
  <c r="AF16" i="12"/>
  <c r="AF21" i="12" s="1"/>
  <c r="AE40" i="12"/>
  <c r="AF58" i="12"/>
  <c r="AF63" i="12" s="1"/>
  <c r="J21" i="12"/>
  <c r="AE24" i="12"/>
  <c r="AE28" i="12" s="1"/>
  <c r="AE61" i="12"/>
  <c r="AE63" i="12" s="1"/>
  <c r="AF73" i="12"/>
  <c r="AF77" i="12" s="1"/>
  <c r="AC77" i="12"/>
  <c r="J84" i="12"/>
  <c r="L86" i="12"/>
  <c r="L91" i="12" s="1"/>
  <c r="O91" i="12"/>
  <c r="AF24" i="12"/>
  <c r="AF28" i="12" s="1"/>
  <c r="J35" i="12"/>
  <c r="L37" i="12"/>
  <c r="O49" i="12"/>
  <c r="AE87" i="12"/>
  <c r="L108" i="12"/>
  <c r="L112" i="12" s="1"/>
  <c r="O7" i="12"/>
  <c r="Q17" i="12"/>
  <c r="Q21" i="12" s="1"/>
  <c r="J98" i="12"/>
  <c r="L100" i="12"/>
  <c r="AE2" i="12"/>
  <c r="AE7" i="12" s="1"/>
  <c r="Q37" i="12"/>
  <c r="Q42" i="12" s="1"/>
  <c r="AF45" i="12"/>
  <c r="AC49" i="12"/>
  <c r="L58" i="12"/>
  <c r="O70" i="12"/>
  <c r="Q80" i="12"/>
  <c r="AD91" i="12"/>
  <c r="Q93" i="12"/>
  <c r="Q98" i="12" s="1"/>
  <c r="J70" i="12"/>
  <c r="J14" i="12"/>
  <c r="AC112" i="12"/>
  <c r="J49" i="12"/>
  <c r="AF52" i="12"/>
  <c r="AF40" i="12"/>
  <c r="AD14" i="12"/>
  <c r="J77" i="12"/>
  <c r="AE79" i="12"/>
  <c r="AE84" i="12" s="1"/>
  <c r="L23" i="12"/>
  <c r="L28" i="12" s="1"/>
  <c r="R11" i="7"/>
  <c r="AS42" i="11"/>
  <c r="AS21" i="11"/>
  <c r="AS7" i="11"/>
  <c r="AS56" i="11"/>
  <c r="AS32" i="11"/>
  <c r="AN42" i="11"/>
  <c r="AS48" i="11"/>
  <c r="AS66" i="11"/>
  <c r="AN7" i="11"/>
  <c r="AS13" i="11"/>
  <c r="AS14" i="11" s="1"/>
  <c r="AS31" i="11"/>
  <c r="AS35" i="11" s="1"/>
  <c r="AS65" i="11"/>
  <c r="AN56" i="11"/>
  <c r="AN21" i="11"/>
  <c r="AS79" i="11"/>
  <c r="AS84" i="11" s="1"/>
  <c r="AS44" i="11"/>
  <c r="AO21" i="11"/>
  <c r="AS58" i="11"/>
  <c r="AS63" i="11" s="1"/>
  <c r="AS23" i="11"/>
  <c r="AS28" i="11" s="1"/>
  <c r="L7" i="10"/>
  <c r="R6" i="10"/>
  <c r="AF21" i="10"/>
  <c r="L56" i="10"/>
  <c r="AE30" i="10"/>
  <c r="AE35" i="10" s="1"/>
  <c r="AC77" i="10"/>
  <c r="AE73" i="10"/>
  <c r="O77" i="10"/>
  <c r="AE112" i="10"/>
  <c r="O7" i="10"/>
  <c r="AF24" i="10"/>
  <c r="AD28" i="10"/>
  <c r="AF47" i="10"/>
  <c r="AF49" i="10" s="1"/>
  <c r="J63" i="10"/>
  <c r="Q70" i="10"/>
  <c r="Q84" i="10"/>
  <c r="AC91" i="10"/>
  <c r="AF98" i="10"/>
  <c r="AF105" i="10"/>
  <c r="L63" i="10"/>
  <c r="Q24" i="10"/>
  <c r="Q28" i="10" s="1"/>
  <c r="L52" i="10"/>
  <c r="AF62" i="10"/>
  <c r="Q2" i="10"/>
  <c r="Q7" i="10" s="1"/>
  <c r="AC14" i="10"/>
  <c r="L49" i="10"/>
  <c r="R48" i="10"/>
  <c r="Q52" i="10"/>
  <c r="L77" i="10"/>
  <c r="R89" i="10"/>
  <c r="J105" i="10"/>
  <c r="AF112" i="10"/>
  <c r="AD84" i="10"/>
  <c r="L42" i="10"/>
  <c r="L9" i="10"/>
  <c r="L14" i="10" s="1"/>
  <c r="AE98" i="10"/>
  <c r="AC7" i="10"/>
  <c r="AE14" i="10"/>
  <c r="L21" i="10"/>
  <c r="J28" i="10"/>
  <c r="O49" i="10"/>
  <c r="AC49" i="10"/>
  <c r="Q77" i="10"/>
  <c r="J112" i="10"/>
  <c r="AC28" i="10"/>
  <c r="AE24" i="10"/>
  <c r="AE28" i="10" s="1"/>
  <c r="AF7" i="10"/>
  <c r="AF14" i="10"/>
  <c r="L23" i="10"/>
  <c r="L28" i="10" s="1"/>
  <c r="L35" i="10"/>
  <c r="AD56" i="10"/>
  <c r="AE70" i="10"/>
  <c r="AE77" i="10"/>
  <c r="AE79" i="10"/>
  <c r="AE84" i="10" s="1"/>
  <c r="O98" i="10"/>
  <c r="AF28" i="10"/>
  <c r="J21" i="10"/>
  <c r="AF56" i="10"/>
  <c r="L112" i="10"/>
  <c r="AE63" i="10"/>
  <c r="Q100" i="10"/>
  <c r="Q105" i="10" s="1"/>
  <c r="AF63" i="10"/>
  <c r="Q56" i="10"/>
  <c r="AE56" i="10"/>
  <c r="O42" i="10"/>
  <c r="AF73" i="10"/>
  <c r="AD77" i="10"/>
  <c r="AF10" i="10"/>
  <c r="L91" i="10"/>
  <c r="Q112" i="10"/>
  <c r="L70" i="10"/>
  <c r="AE105" i="10"/>
  <c r="AF77" i="10"/>
  <c r="Q94" i="10"/>
  <c r="Q98" i="10" s="1"/>
  <c r="AD21" i="10"/>
  <c r="AD35" i="10"/>
  <c r="J84" i="10"/>
  <c r="L93" i="10"/>
  <c r="L98" i="10" s="1"/>
  <c r="Q108" i="10"/>
  <c r="L80" i="10"/>
  <c r="L84" i="10" s="1"/>
  <c r="Q17" i="10"/>
  <c r="Q21" i="10" s="1"/>
  <c r="L31" i="10"/>
  <c r="Q86" i="10"/>
  <c r="Q91" i="10" s="1"/>
  <c r="AE2" i="10"/>
  <c r="AE7" i="10" s="1"/>
  <c r="Q37" i="10"/>
  <c r="Q42" i="10" s="1"/>
  <c r="Q44" i="10"/>
  <c r="Q49" i="10" s="1"/>
  <c r="AF52" i="10"/>
  <c r="AC56" i="10"/>
  <c r="O70" i="10"/>
  <c r="Q80" i="10"/>
  <c r="AD98" i="10"/>
  <c r="L101" i="10"/>
  <c r="L105" i="10" s="1"/>
  <c r="AE66" i="10"/>
  <c r="AF108" i="10"/>
  <c r="AC112" i="10"/>
  <c r="J42" i="10"/>
  <c r="J49" i="10"/>
  <c r="AC98" i="10"/>
  <c r="AD7" i="10"/>
  <c r="J91" i="10"/>
  <c r="AE86" i="10"/>
  <c r="AE91" i="10" s="1"/>
  <c r="AT18" i="8"/>
  <c r="AT17" i="8"/>
  <c r="AR21" i="8"/>
  <c r="AM21" i="8"/>
  <c r="K21" i="8"/>
  <c r="Y21" i="8"/>
  <c r="AP21" i="8"/>
  <c r="R21" i="8"/>
  <c r="AQ21" i="8"/>
  <c r="AF21" i="8"/>
  <c r="AS21" i="8"/>
  <c r="AT16" i="8"/>
  <c r="AO21" i="8"/>
  <c r="R10" i="7"/>
  <c r="R9" i="7"/>
  <c r="R13" i="7"/>
  <c r="R12" i="7"/>
  <c r="AP14" i="7"/>
  <c r="AT12" i="8"/>
  <c r="AO14" i="7"/>
  <c r="AT5" i="8"/>
  <c r="AO7" i="8"/>
  <c r="AP7" i="8"/>
  <c r="Y7" i="8"/>
  <c r="AM7" i="8"/>
  <c r="AR14" i="8"/>
  <c r="AR7" i="8"/>
  <c r="AS7" i="8"/>
  <c r="AT10" i="8"/>
  <c r="AT6" i="8"/>
  <c r="K7" i="8"/>
  <c r="R7" i="8"/>
  <c r="AF7" i="8"/>
  <c r="AT4" i="8"/>
  <c r="AT3" i="8"/>
  <c r="AQ14" i="8"/>
  <c r="AQ7" i="8"/>
  <c r="AN14" i="7"/>
  <c r="AT2" i="8"/>
  <c r="AF14" i="8"/>
  <c r="AT13" i="8"/>
  <c r="AS14" i="8"/>
  <c r="AT11" i="8"/>
  <c r="AM14" i="8"/>
  <c r="AO14" i="8"/>
  <c r="AP14" i="8"/>
  <c r="AS22" i="9"/>
  <c r="AN25" i="9"/>
  <c r="AL25" i="9"/>
  <c r="AS23" i="9"/>
  <c r="AS21" i="9"/>
  <c r="AQ25" i="9"/>
  <c r="AR25" i="9"/>
  <c r="AS24" i="9"/>
  <c r="AO25" i="9"/>
  <c r="J25" i="9"/>
  <c r="Q25" i="9"/>
  <c r="AP25" i="9"/>
  <c r="AE25" i="9"/>
  <c r="AS20" i="9"/>
  <c r="L11" i="5"/>
  <c r="N11" i="5"/>
  <c r="N16" i="5" s="1"/>
  <c r="AT9" i="8"/>
  <c r="AM14" i="7"/>
  <c r="K14" i="8"/>
  <c r="R14" i="8"/>
  <c r="Y14" i="8"/>
  <c r="F1" i="9"/>
  <c r="F6" i="9" s="1"/>
  <c r="A6" i="9"/>
  <c r="O14" i="7"/>
  <c r="J14" i="7"/>
  <c r="F5" i="4"/>
  <c r="F2" i="4"/>
  <c r="F6" i="4" s="1"/>
  <c r="C6" i="4"/>
  <c r="Q14" i="7"/>
  <c r="A6" i="4"/>
  <c r="G14" i="7"/>
  <c r="AN42" i="18" l="1"/>
  <c r="R37" i="18"/>
  <c r="R42" i="18" s="1"/>
  <c r="R44" i="18"/>
  <c r="R49" i="18" s="1"/>
  <c r="L49" i="18"/>
  <c r="R56" i="18"/>
  <c r="Q28" i="18"/>
  <c r="BV35" i="19"/>
  <c r="AB35" i="7"/>
  <c r="AB63" i="7"/>
  <c r="AB42" i="7"/>
  <c r="Z21" i="18"/>
  <c r="Z14" i="18"/>
  <c r="Z35" i="18"/>
  <c r="Z28" i="18"/>
  <c r="AB21" i="7"/>
  <c r="AB7" i="7"/>
  <c r="AB56" i="7"/>
  <c r="AB14" i="7"/>
  <c r="AB49" i="7"/>
  <c r="AB70" i="7"/>
  <c r="AB77" i="7"/>
  <c r="Z7" i="18"/>
  <c r="L28" i="18"/>
  <c r="R28" i="18"/>
  <c r="L14" i="18"/>
  <c r="R9" i="18"/>
  <c r="R14" i="18" s="1"/>
  <c r="BV14" i="19"/>
  <c r="L35" i="18"/>
  <c r="R30" i="18"/>
  <c r="R35" i="18" s="1"/>
  <c r="R21" i="18"/>
  <c r="L21" i="18"/>
  <c r="Q21" i="18"/>
  <c r="BV7" i="19"/>
  <c r="R2" i="18"/>
  <c r="R7" i="18" s="1"/>
  <c r="L7" i="18"/>
  <c r="L42" i="16"/>
  <c r="R37" i="16"/>
  <c r="R42" i="16" s="1"/>
  <c r="R30" i="16"/>
  <c r="R35" i="16" s="1"/>
  <c r="L35" i="16"/>
  <c r="L28" i="16"/>
  <c r="R23" i="16"/>
  <c r="R28" i="16" s="1"/>
  <c r="R7" i="16"/>
  <c r="L7" i="16"/>
  <c r="Q21" i="16"/>
  <c r="R16" i="16"/>
  <c r="R21" i="16" s="1"/>
  <c r="AT7" i="17"/>
  <c r="K28" i="14"/>
  <c r="R2" i="7"/>
  <c r="R7" i="7" s="1"/>
  <c r="L7" i="7"/>
  <c r="AS28" i="13"/>
  <c r="R100" i="12"/>
  <c r="R105" i="12" s="1"/>
  <c r="L105" i="12"/>
  <c r="R58" i="12"/>
  <c r="R63" i="12" s="1"/>
  <c r="L63" i="12"/>
  <c r="R37" i="12"/>
  <c r="R42" i="12" s="1"/>
  <c r="L42" i="12"/>
  <c r="R2" i="12"/>
  <c r="R7" i="12" s="1"/>
  <c r="L7" i="12"/>
  <c r="AS49" i="11"/>
  <c r="AS70" i="11"/>
  <c r="R86" i="10"/>
  <c r="R91" i="10" s="1"/>
  <c r="R44" i="10"/>
  <c r="R49" i="10" s="1"/>
  <c r="R37" i="10"/>
  <c r="R42" i="10" s="1"/>
  <c r="R2" i="10"/>
  <c r="R7" i="10" s="1"/>
  <c r="AT21" i="8"/>
  <c r="AT7" i="8"/>
  <c r="AT14" i="8"/>
  <c r="AS25" i="9"/>
  <c r="O11" i="5"/>
  <c r="O16" i="5" s="1"/>
  <c r="L16" i="5"/>
  <c r="R14" i="7"/>
  <c r="L14" i="7"/>
</calcChain>
</file>

<file path=xl/sharedStrings.xml><?xml version="1.0" encoding="utf-8"?>
<sst xmlns="http://purl.oclc.org/ooxml/spreadsheetml/main" count="1036" uniqueCount="121">
  <si>
    <t>A_Q</t>
  </si>
  <si>
    <t>Z_BI</t>
  </si>
  <si>
    <t>E_all</t>
  </si>
  <si>
    <t>A_all</t>
  </si>
  <si>
    <t>A_P</t>
  </si>
  <si>
    <t>Z_D</t>
  </si>
  <si>
    <t>A_BI</t>
  </si>
  <si>
    <t>LGD</t>
  </si>
  <si>
    <t>W</t>
  </si>
  <si>
    <t>W*(1-LGD)</t>
  </si>
  <si>
    <t>HR</t>
  </si>
  <si>
    <t>WR</t>
  </si>
  <si>
    <t>A_Q-1</t>
  </si>
  <si>
    <t>A_Q-2</t>
  </si>
  <si>
    <t>id</t>
  </si>
  <si>
    <t>name</t>
  </si>
  <si>
    <t>BK1</t>
  </si>
  <si>
    <t>BK2</t>
  </si>
  <si>
    <t>BK3</t>
  </si>
  <si>
    <t>BK4</t>
  </si>
  <si>
    <t>BK5</t>
  </si>
  <si>
    <t>Z_all</t>
  </si>
  <si>
    <t>CRR</t>
  </si>
  <si>
    <t>ER</t>
  </si>
  <si>
    <t>CAR</t>
  </si>
  <si>
    <t>TIBAR</t>
  </si>
  <si>
    <t>A_exBI</t>
  </si>
  <si>
    <t>A_R</t>
  </si>
  <si>
    <t>Z_exBI</t>
  </si>
  <si>
    <t>t</t>
  </si>
  <si>
    <t>A_BI_all</t>
  </si>
  <si>
    <t>Z_BI_all</t>
  </si>
  <si>
    <t>BB.Shock_BI_def_s</t>
  </si>
  <si>
    <t>Shock_BI_def</t>
  </si>
  <si>
    <t>BB.Shock_BI_run_br_s</t>
  </si>
  <si>
    <t>Shock_BI_run_br</t>
  </si>
  <si>
    <t>Shock_BI_run_ilq</t>
  </si>
  <si>
    <t>Shock_BI_run</t>
  </si>
  <si>
    <t>BB.Shock_BI_run_ilq_s</t>
  </si>
  <si>
    <t>BB.Shock_BI_def_t</t>
  </si>
  <si>
    <t>BB.Shock_BI_run_ilq_t</t>
  </si>
  <si>
    <t>BB.Shock_BI_run_br_t</t>
  </si>
  <si>
    <t>tau</t>
  </si>
  <si>
    <t>BB.Shock_BI_run_s</t>
  </si>
  <si>
    <t>BB.Shock_BI_run_t</t>
  </si>
  <si>
    <t>Shock_B_A</t>
  </si>
  <si>
    <t>Shock_B_Z</t>
  </si>
  <si>
    <t>含义</t>
  </si>
  <si>
    <t>样式</t>
  </si>
  <si>
    <t>未变化的</t>
  </si>
  <si>
    <t>数字区</t>
  </si>
  <si>
    <t>变化的，因为流动性短缺银行之银行间流动挤兑冲击</t>
  </si>
  <si>
    <t>变化的，因为银行间违约冲击</t>
  </si>
  <si>
    <t>变化的，因为外部冲击</t>
  </si>
  <si>
    <t>变化的，因为破产银行之银行间流动挤兑冲击</t>
  </si>
  <si>
    <t>变化的，因为破产银行清算影响</t>
  </si>
  <si>
    <t>变化的，因为回合结束前，手动清零部分冲击，这些冲击不影响下一回合运行</t>
  </si>
  <si>
    <t>银行名称区</t>
  </si>
  <si>
    <t>字体颜色</t>
  </si>
  <si>
    <t>名称填充色</t>
  </si>
  <si>
    <t>数字填充色</t>
  </si>
  <si>
    <t>在银行之变量集之内的，由Excel公式计算设定的数字</t>
  </si>
  <si>
    <t>在银行之变量集之外的，由Excel公式计算设定的数字</t>
  </si>
  <si>
    <t>在银行只变量集之内的，手动设定的数字</t>
  </si>
  <si>
    <t>2-1</t>
  </si>
  <si>
    <t>BB.Shock_BI_s</t>
  </si>
  <si>
    <t>2-2</t>
  </si>
  <si>
    <t>0</t>
  </si>
  <si>
    <t>1-1</t>
  </si>
  <si>
    <t>1-2</t>
  </si>
  <si>
    <t>2-3</t>
  </si>
  <si>
    <t>有疑问的，需要解决的</t>
  </si>
  <si>
    <t>BB.Shock_BI_t</t>
  </si>
  <si>
    <t>3</t>
  </si>
  <si>
    <t>召回流动资产以获取流动性，召回比例</t>
  </si>
  <si>
    <t>可担保资产用于获取回购资金时的折价率；</t>
  </si>
  <si>
    <t>贷款损失率；</t>
  </si>
  <si>
    <t>所有者权益占比；</t>
  </si>
  <si>
    <t>外生给定现金储备率；</t>
  </si>
  <si>
    <t>可担保资产占比；</t>
  </si>
  <si>
    <t>各银行之同业资产之和比上各银行之总资产之和；</t>
  </si>
  <si>
    <t>A_other</t>
  </si>
  <si>
    <t>Z_other</t>
  </si>
  <si>
    <t>BB.Shock_L_exBI_s</t>
  </si>
  <si>
    <t>BB.Shock_D_s</t>
  </si>
  <si>
    <t>1-3</t>
  </si>
  <si>
    <t>2-0</t>
  </si>
  <si>
    <t>说明</t>
  </si>
  <si>
    <t>测试数据表</t>
  </si>
  <si>
    <t>名称</t>
  </si>
  <si>
    <t>形如右边：</t>
  </si>
  <si>
    <t>“我设定的Bank之过程-20220307”、“我设定的Bank Interbank之过程-20220306”等数据表内容，分别表示各银行主要变量变动情况、和银行间主要变量变动情况。</t>
  </si>
  <si>
    <t>流动性短缺相关的。</t>
  </si>
  <si>
    <t>资不抵债相关的。</t>
  </si>
  <si>
    <t>深色表示相关状态的，浅色表示被影响的，更深色表示已经处理完毕的。</t>
  </si>
  <si>
    <t>破产相关的。</t>
  </si>
  <si>
    <t>退出的。</t>
  </si>
  <si>
    <t>健康的。未填充颜色</t>
  </si>
  <si>
    <t>XX之过程-参数Y</t>
  </si>
  <si>
    <t>银行变量或者银行间主要变量变动过程，当初始设定参数Y时。</t>
  </si>
  <si>
    <t>子过程</t>
  </si>
  <si>
    <t>Li_BI</t>
  </si>
  <si>
    <t>Lo_BI</t>
  </si>
  <si>
    <t>Bi_BI</t>
  </si>
  <si>
    <t>Bo_BI</t>
  </si>
  <si>
    <t>1</t>
  </si>
  <si>
    <t>2</t>
  </si>
  <si>
    <t>Bo_D</t>
  </si>
  <si>
    <t>Li_P</t>
  </si>
  <si>
    <t>4</t>
  </si>
  <si>
    <t>Lo_BI_all</t>
  </si>
  <si>
    <t>Li_BI_all</t>
  </si>
  <si>
    <t>Bi_BI_all</t>
  </si>
  <si>
    <t>Bo_BI_all</t>
  </si>
  <si>
    <t>BB.Shock_P_s</t>
  </si>
  <si>
    <t>BB.Shock_P_run_s</t>
  </si>
  <si>
    <t>BB.Shock_P_def_t</t>
  </si>
  <si>
    <t>BB.Shock_D_def_s</t>
  </si>
  <si>
    <t>BB.Shock_D_run_t</t>
  </si>
  <si>
    <t>Shock_B_def_t</t>
  </si>
  <si>
    <t>Shock_B_run_t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</si>
</sst>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entury Gothic"/>
      <family val="2"/>
      <scheme val="minor"/>
    </font>
    <font>
      <sz val="12"/>
      <color rgb="FF000000"/>
      <name val="Century Gothic"/>
      <family val="2"/>
      <scheme val="minor"/>
    </font>
    <font>
      <sz val="12"/>
      <color rgb="FF0070C0"/>
      <name val="Century Gothic"/>
      <family val="2"/>
      <scheme val="minor"/>
    </font>
    <font>
      <sz val="12"/>
      <color rgb="FF00B050"/>
      <name val="Century Gothic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70C0"/>
      <name val="Times New Roman"/>
      <family val="1"/>
    </font>
    <font>
      <sz val="12"/>
      <color rgb="FF000000"/>
      <name val="Times New Roman"/>
      <family val="1"/>
    </font>
    <font>
      <sz val="12"/>
      <color rgb="FF00B050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entury Gothic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9B5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rgb="FF000000"/>
      </patternFill>
    </fill>
  </fills>
  <borders count="3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4" fillId="0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9" borderId="0" xfId="0" applyFont="1" applyFill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4" fillId="0" borderId="0" xfId="0" applyNumberFormat="1" applyFont="1"/>
    <xf numFmtId="2" fontId="4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Fill="1"/>
    <xf numFmtId="2" fontId="6" fillId="0" borderId="0" xfId="0" applyNumberFormat="1" applyFont="1" applyFill="1"/>
    <xf numFmtId="2" fontId="4" fillId="0" borderId="0" xfId="0" applyNumberFormat="1" applyFont="1"/>
    <xf numFmtId="2" fontId="7" fillId="0" borderId="0" xfId="0" applyNumberFormat="1" applyFont="1" applyFill="1"/>
    <xf numFmtId="2" fontId="5" fillId="0" borderId="0" xfId="0" applyNumberFormat="1" applyFont="1"/>
    <xf numFmtId="2" fontId="8" fillId="0" borderId="0" xfId="0" applyNumberFormat="1" applyFont="1" applyFill="1"/>
    <xf numFmtId="2" fontId="4" fillId="0" borderId="0" xfId="0" applyNumberFormat="1" applyFont="1" applyFill="1"/>
    <xf numFmtId="2" fontId="5" fillId="4" borderId="0" xfId="0" applyNumberFormat="1" applyFont="1" applyFill="1"/>
    <xf numFmtId="2" fontId="7" fillId="4" borderId="0" xfId="0" applyNumberFormat="1" applyFont="1" applyFill="1"/>
    <xf numFmtId="2" fontId="5" fillId="6" borderId="0" xfId="0" applyNumberFormat="1" applyFont="1" applyFill="1"/>
    <xf numFmtId="2" fontId="5" fillId="5" borderId="0" xfId="0" applyNumberFormat="1" applyFont="1" applyFill="1"/>
    <xf numFmtId="2" fontId="7" fillId="5" borderId="0" xfId="0" applyNumberFormat="1" applyFont="1" applyFill="1"/>
    <xf numFmtId="2" fontId="5" fillId="2" borderId="0" xfId="0" applyNumberFormat="1" applyFont="1" applyFill="1"/>
    <xf numFmtId="2" fontId="7" fillId="2" borderId="0" xfId="0" applyNumberFormat="1" applyFont="1" applyFill="1"/>
    <xf numFmtId="2" fontId="5" fillId="0" borderId="0" xfId="0" applyNumberFormat="1" applyFont="1" applyFill="1" applyAlignment="1">
      <alignment wrapText="1"/>
    </xf>
    <xf numFmtId="2" fontId="5" fillId="7" borderId="0" xfId="0" applyNumberFormat="1" applyFont="1" applyFill="1"/>
    <xf numFmtId="2" fontId="8" fillId="2" borderId="0" xfId="0" applyNumberFormat="1" applyFont="1" applyFill="1"/>
    <xf numFmtId="2" fontId="4" fillId="7" borderId="0" xfId="0" applyNumberFormat="1" applyFont="1" applyFill="1"/>
    <xf numFmtId="2" fontId="4" fillId="4" borderId="0" xfId="0" applyNumberFormat="1" applyFont="1" applyFill="1"/>
    <xf numFmtId="2" fontId="4" fillId="6" borderId="0" xfId="0" applyNumberFormat="1" applyFont="1" applyFill="1"/>
    <xf numFmtId="2" fontId="4" fillId="5" borderId="0" xfId="0" applyNumberFormat="1" applyFont="1" applyFill="1"/>
    <xf numFmtId="2" fontId="4" fillId="2" borderId="0" xfId="0" applyNumberFormat="1" applyFont="1" applyFill="1"/>
    <xf numFmtId="2" fontId="5" fillId="9" borderId="0" xfId="0" applyNumberFormat="1" applyFont="1" applyFill="1"/>
    <xf numFmtId="2" fontId="4" fillId="9" borderId="0" xfId="0" applyNumberFormat="1" applyFont="1" applyFill="1"/>
    <xf numFmtId="49" fontId="4" fillId="0" borderId="0" xfId="0" applyNumberFormat="1" applyFont="1" applyAlignment="1">
      <alignment wrapText="1"/>
    </xf>
    <xf numFmtId="49" fontId="4" fillId="0" borderId="0" xfId="0" applyNumberFormat="1" applyFont="1" applyFill="1"/>
    <xf numFmtId="2" fontId="6" fillId="0" borderId="0" xfId="0" applyNumberFormat="1" applyFont="1"/>
    <xf numFmtId="2" fontId="9" fillId="9" borderId="0" xfId="0" applyNumberFormat="1" applyFont="1" applyFill="1"/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2" fontId="6" fillId="0" borderId="2" xfId="0" applyNumberFormat="1" applyFont="1" applyFill="1" applyBorder="1"/>
    <xf numFmtId="2" fontId="7" fillId="0" borderId="0" xfId="0" applyNumberFormat="1" applyFont="1"/>
    <xf numFmtId="2" fontId="7" fillId="7" borderId="0" xfId="0" applyNumberFormat="1" applyFont="1" applyFill="1"/>
    <xf numFmtId="49" fontId="5" fillId="11" borderId="0" xfId="0" applyNumberFormat="1" applyFont="1" applyFill="1"/>
    <xf numFmtId="2" fontId="7" fillId="6" borderId="0" xfId="0" applyNumberFormat="1" applyFont="1" applyFill="1"/>
    <xf numFmtId="49" fontId="5" fillId="0" borderId="0" xfId="0" applyNumberFormat="1" applyFont="1" applyFill="1"/>
    <xf numFmtId="0" fontId="5" fillId="12" borderId="0" xfId="0" applyFont="1" applyFill="1"/>
    <xf numFmtId="0" fontId="5" fillId="13" borderId="0" xfId="0" applyFont="1" applyFill="1"/>
    <xf numFmtId="2" fontId="4" fillId="12" borderId="0" xfId="0" applyNumberFormat="1" applyFont="1" applyFill="1"/>
    <xf numFmtId="2" fontId="5" fillId="12" borderId="0" xfId="0" applyNumberFormat="1" applyFont="1" applyFill="1"/>
    <xf numFmtId="2" fontId="5" fillId="13" borderId="0" xfId="0" applyNumberFormat="1" applyFont="1" applyFill="1"/>
    <xf numFmtId="2" fontId="4" fillId="13" borderId="0" xfId="0" applyNumberFormat="1" applyFont="1" applyFill="1"/>
    <xf numFmtId="2" fontId="7" fillId="13" borderId="0" xfId="0" applyNumberFormat="1" applyFont="1" applyFill="1"/>
    <xf numFmtId="2" fontId="7" fillId="12" borderId="0" xfId="0" applyNumberFormat="1" applyFont="1" applyFill="1"/>
    <xf numFmtId="0" fontId="5" fillId="10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5" fillId="7" borderId="1" xfId="0" applyFont="1" applyFill="1" applyBorder="1"/>
    <xf numFmtId="0" fontId="5" fillId="9" borderId="1" xfId="0" applyFont="1" applyFill="1" applyBorder="1"/>
    <xf numFmtId="0" fontId="5" fillId="5" borderId="1" xfId="0" applyFont="1" applyFill="1" applyBorder="1"/>
    <xf numFmtId="0" fontId="5" fillId="8" borderId="1" xfId="0" applyFont="1" applyFill="1" applyBorder="1"/>
    <xf numFmtId="0" fontId="5" fillId="6" borderId="1" xfId="0" applyFont="1" applyFill="1" applyBorder="1"/>
    <xf numFmtId="0" fontId="5" fillId="2" borderId="1" xfId="0" applyFont="1" applyFill="1" applyBorder="1"/>
    <xf numFmtId="0" fontId="5" fillId="0" borderId="1" xfId="0" applyFont="1" applyFill="1" applyBorder="1"/>
    <xf numFmtId="0" fontId="8" fillId="0" borderId="1" xfId="0" applyFont="1" applyBorder="1"/>
    <xf numFmtId="0" fontId="6" fillId="0" borderId="1" xfId="0" applyFont="1" applyBorder="1"/>
    <xf numFmtId="0" fontId="9" fillId="0" borderId="1" xfId="0" applyFont="1" applyBorder="1"/>
    <xf numFmtId="2" fontId="5" fillId="14" borderId="0" xfId="0" applyNumberFormat="1" applyFont="1" applyFill="1"/>
    <xf numFmtId="0" fontId="5" fillId="15" borderId="0" xfId="0" applyFont="1" applyFill="1"/>
    <xf numFmtId="2" fontId="5" fillId="16" borderId="0" xfId="0" applyNumberFormat="1" applyFont="1" applyFill="1"/>
    <xf numFmtId="2" fontId="5" fillId="15" borderId="0" xfId="0" applyNumberFormat="1" applyFont="1" applyFill="1"/>
    <xf numFmtId="0" fontId="5" fillId="16" borderId="0" xfId="0" applyFont="1" applyFill="1"/>
    <xf numFmtId="0" fontId="5" fillId="17" borderId="0" xfId="0" applyFont="1" applyFill="1"/>
    <xf numFmtId="0" fontId="5" fillId="6" borderId="0" xfId="0" applyFont="1" applyFill="1"/>
    <xf numFmtId="2" fontId="9" fillId="16" borderId="0" xfId="0" applyNumberFormat="1" applyFont="1" applyFill="1"/>
    <xf numFmtId="0" fontId="5" fillId="11" borderId="0" xfId="0" applyFont="1" applyFill="1"/>
    <xf numFmtId="0" fontId="6" fillId="11" borderId="0" xfId="0" applyFont="1" applyFill="1"/>
    <xf numFmtId="2" fontId="5" fillId="18" borderId="0" xfId="0" applyNumberFormat="1" applyFont="1" applyFill="1"/>
    <xf numFmtId="2" fontId="4" fillId="18" borderId="0" xfId="0" applyNumberFormat="1" applyFont="1" applyFill="1"/>
    <xf numFmtId="2" fontId="7" fillId="18" borderId="0" xfId="0" applyNumberFormat="1" applyFont="1" applyFill="1"/>
    <xf numFmtId="2" fontId="8" fillId="18" borderId="0" xfId="0" applyNumberFormat="1" applyFont="1" applyFill="1"/>
    <xf numFmtId="2" fontId="8" fillId="12" borderId="0" xfId="0" applyNumberFormat="1" applyFont="1" applyFill="1"/>
    <xf numFmtId="2" fontId="4" fillId="16" borderId="0" xfId="0" applyNumberFormat="1" applyFont="1" applyFill="1"/>
    <xf numFmtId="2" fontId="4" fillId="15" borderId="0" xfId="0" applyNumberFormat="1" applyFont="1" applyFill="1"/>
    <xf numFmtId="2" fontId="7" fillId="19" borderId="0" xfId="0" applyNumberFormat="1" applyFont="1" applyFill="1"/>
    <xf numFmtId="2" fontId="9" fillId="15" borderId="0" xfId="0" applyNumberFormat="1" applyFont="1" applyFill="1"/>
    <xf numFmtId="2" fontId="9" fillId="0" borderId="0" xfId="0" applyNumberFormat="1" applyFont="1" applyFill="1"/>
    <xf numFmtId="2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B5FF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3" Type="http://purl.oclc.org/ooxml/officeDocument/relationships/worksheet" Target="worksheets/sheet3.xml"/><Relationship Id="rId21" Type="http://purl.oclc.org/ooxml/officeDocument/relationships/styles" Target="styles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calcChain" Target="calcChain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sharedStrings" Target="sharedStrings.xml"/></Relationships>
</file>

<file path=xl/theme/theme1.xml><?xml version="1.0" encoding="utf-8"?>
<a:theme xmlns:a="http://purl.oclc.org/ooxml/drawingml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%">
              <a:schemeClr val="phClr">
                <a:tint val="69%"/>
                <a:alpha val="100%"/>
                <a:satMod val="109%"/>
                <a:lumMod val="110%"/>
              </a:schemeClr>
            </a:gs>
            <a:gs pos="52%">
              <a:schemeClr val="phClr">
                <a:tint val="74%"/>
                <a:satMod val="100%"/>
                <a:lumMod val="104%"/>
              </a:schemeClr>
            </a:gs>
            <a:gs pos="100%">
              <a:schemeClr val="phClr">
                <a:tint val="78%"/>
                <a:satMod val="100%"/>
                <a:lumMod val="100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tint val="96%"/>
                <a:satMod val="100%"/>
                <a:lumMod val="104%"/>
              </a:schemeClr>
            </a:gs>
            <a:gs pos="78%">
              <a:schemeClr val="phClr">
                <a:shade val="100%"/>
                <a:satMod val="110%"/>
                <a:lumMod val="100%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%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hade val="98%"/>
                <a:satMod val="150%"/>
                <a:lumMod val="102%"/>
              </a:schemeClr>
            </a:gs>
            <a:gs pos="50%">
              <a:schemeClr val="phClr">
                <a:tint val="98%"/>
                <a:shade val="90%"/>
                <a:satMod val="13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A1A2-A683-C747-A7AD-5F079F040AC9}">
  <sheetPr>
    <tabColor rgb="FFFF0000"/>
  </sheetPr>
  <dimension ref="B1:I19"/>
  <sheetViews>
    <sheetView workbookViewId="0">
      <selection activeCell="I11" sqref="I11"/>
    </sheetView>
  </sheetViews>
  <sheetFormatPr baseColWidth="10" defaultRowHeight="16" x14ac:dyDescent="0.2"/>
  <cols>
    <col min="1" max="2" width="10.7109375" style="7"/>
    <col min="3" max="3" width="60.5703125" style="7" bestFit="1" customWidth="1"/>
    <col min="4" max="5" width="10.7109375" style="7"/>
    <col min="6" max="6" width="60.5703125" style="7" bestFit="1" customWidth="1"/>
    <col min="7" max="7" width="10.7109375" style="7"/>
    <col min="8" max="8" width="13.85546875" style="7" bestFit="1" customWidth="1"/>
    <col min="9" max="9" width="90.28515625" style="7" customWidth="1"/>
    <col min="10" max="16384" width="10.7109375" style="7"/>
  </cols>
  <sheetData>
    <row r="1" spans="2:9" x14ac:dyDescent="0.2">
      <c r="B1" s="7" t="s">
        <v>87</v>
      </c>
    </row>
    <row r="3" spans="2:9" x14ac:dyDescent="0.2">
      <c r="B3" s="7" t="s">
        <v>57</v>
      </c>
      <c r="E3" s="7" t="s">
        <v>50</v>
      </c>
      <c r="H3" s="7" t="s">
        <v>88</v>
      </c>
    </row>
    <row r="5" spans="2:9" ht="24" customHeight="1" x14ac:dyDescent="0.2">
      <c r="B5" s="7" t="s">
        <v>48</v>
      </c>
      <c r="C5" s="7" t="s">
        <v>47</v>
      </c>
      <c r="E5" s="7" t="s">
        <v>48</v>
      </c>
      <c r="F5" s="7" t="s">
        <v>47</v>
      </c>
      <c r="H5" s="7" t="s">
        <v>89</v>
      </c>
      <c r="I5" s="7" t="s">
        <v>47</v>
      </c>
    </row>
    <row r="6" spans="2:9" x14ac:dyDescent="0.2">
      <c r="B6" s="68" t="s">
        <v>59</v>
      </c>
      <c r="C6" s="69" t="s">
        <v>97</v>
      </c>
      <c r="E6" s="68" t="s">
        <v>60</v>
      </c>
      <c r="F6" s="69" t="s">
        <v>49</v>
      </c>
      <c r="H6" s="7" t="s">
        <v>90</v>
      </c>
      <c r="I6" s="7" t="s">
        <v>91</v>
      </c>
    </row>
    <row r="7" spans="2:9" x14ac:dyDescent="0.2">
      <c r="B7" s="70" t="s">
        <v>59</v>
      </c>
      <c r="C7" s="69" t="s">
        <v>93</v>
      </c>
      <c r="E7" s="71" t="s">
        <v>60</v>
      </c>
      <c r="F7" s="69" t="s">
        <v>53</v>
      </c>
      <c r="H7" s="7" t="s">
        <v>98</v>
      </c>
      <c r="I7" s="7" t="s">
        <v>99</v>
      </c>
    </row>
    <row r="8" spans="2:9" x14ac:dyDescent="0.2">
      <c r="B8" s="72" t="s">
        <v>59</v>
      </c>
      <c r="C8" s="69" t="s">
        <v>92</v>
      </c>
      <c r="E8" s="70" t="s">
        <v>60</v>
      </c>
      <c r="F8" s="69" t="s">
        <v>52</v>
      </c>
    </row>
    <row r="9" spans="2:9" x14ac:dyDescent="0.2">
      <c r="B9" s="73" t="s">
        <v>59</v>
      </c>
      <c r="C9" s="69" t="s">
        <v>95</v>
      </c>
      <c r="E9" s="72" t="s">
        <v>60</v>
      </c>
      <c r="F9" s="69" t="s">
        <v>51</v>
      </c>
    </row>
    <row r="10" spans="2:9" x14ac:dyDescent="0.2">
      <c r="B10" s="74" t="s">
        <v>59</v>
      </c>
      <c r="C10" s="69" t="s">
        <v>96</v>
      </c>
      <c r="E10" s="75" t="s">
        <v>60</v>
      </c>
      <c r="F10" s="69" t="s">
        <v>54</v>
      </c>
    </row>
    <row r="11" spans="2:9" x14ac:dyDescent="0.2">
      <c r="E11" s="73" t="s">
        <v>60</v>
      </c>
      <c r="F11" s="69" t="s">
        <v>55</v>
      </c>
    </row>
    <row r="12" spans="2:9" x14ac:dyDescent="0.2">
      <c r="E12" s="76" t="s">
        <v>60</v>
      </c>
      <c r="F12" s="69" t="s">
        <v>56</v>
      </c>
    </row>
    <row r="13" spans="2:9" x14ac:dyDescent="0.2">
      <c r="B13" s="7" t="s">
        <v>87</v>
      </c>
      <c r="C13" s="7" t="s">
        <v>94</v>
      </c>
      <c r="E13" s="69" t="s">
        <v>58</v>
      </c>
      <c r="F13" s="77" t="s">
        <v>63</v>
      </c>
    </row>
    <row r="14" spans="2:9" x14ac:dyDescent="0.2">
      <c r="E14" s="78" t="s">
        <v>58</v>
      </c>
      <c r="F14" s="77" t="s">
        <v>61</v>
      </c>
    </row>
    <row r="15" spans="2:9" x14ac:dyDescent="0.2">
      <c r="E15" s="79" t="s">
        <v>58</v>
      </c>
      <c r="F15" s="77" t="s">
        <v>62</v>
      </c>
    </row>
    <row r="16" spans="2:9" x14ac:dyDescent="0.2">
      <c r="E16" s="80" t="s">
        <v>58</v>
      </c>
      <c r="F16" s="77" t="s">
        <v>71</v>
      </c>
    </row>
    <row r="19" spans="5:6" x14ac:dyDescent="0.2">
      <c r="E19" s="7" t="s">
        <v>87</v>
      </c>
      <c r="F19" s="7" t="s">
        <v>94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43EC-0E4C-C441-A3A3-A5CB025E5375}">
  <sheetPr>
    <tabColor rgb="FFFF0000"/>
  </sheetPr>
  <dimension ref="A1:G3"/>
  <sheetViews>
    <sheetView zoomScale="139" workbookViewId="0">
      <selection activeCell="G1" sqref="G1"/>
    </sheetView>
  </sheetViews>
  <sheetFormatPr baseColWidth="10" defaultRowHeight="16" x14ac:dyDescent="0.2"/>
  <cols>
    <col min="7" max="8" width="9.5703125" customWidth="1"/>
  </cols>
  <sheetData>
    <row r="1" spans="1:7" ht="54" customHeight="1" x14ac:dyDescent="0.2">
      <c r="A1" s="52" t="s">
        <v>76</v>
      </c>
      <c r="B1" s="53" t="s">
        <v>75</v>
      </c>
      <c r="C1" s="53" t="s">
        <v>74</v>
      </c>
      <c r="D1" s="53" t="s">
        <v>78</v>
      </c>
      <c r="E1" s="53" t="s">
        <v>77</v>
      </c>
      <c r="F1" s="53" t="s">
        <v>79</v>
      </c>
      <c r="G1" s="53" t="s">
        <v>80</v>
      </c>
    </row>
    <row r="2" spans="1:7" x14ac:dyDescent="0.2">
      <c r="A2" t="s">
        <v>7</v>
      </c>
      <c r="B2" t="s">
        <v>10</v>
      </c>
      <c r="C2" t="s">
        <v>11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2">
      <c r="A3">
        <v>0.4</v>
      </c>
      <c r="B3">
        <v>0.1</v>
      </c>
      <c r="C3">
        <v>0.2</v>
      </c>
      <c r="D3">
        <v>0.02</v>
      </c>
      <c r="E3">
        <v>0.05</v>
      </c>
      <c r="F3">
        <v>0.1</v>
      </c>
      <c r="G3">
        <v>0.3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8B9D-B4F9-1548-93BF-90B0DE29E79A}">
  <sheetPr>
    <tabColor rgb="FFFFFF00"/>
  </sheetPr>
  <dimension ref="A1:BS77"/>
  <sheetViews>
    <sheetView zoomScale="130" zoomScaleNormal="130" workbookViewId="0">
      <pane xSplit="4" ySplit="1" topLeftCell="L51" activePane="bottomRight" state="frozen"/>
      <selection pane="topRight" activeCell="E1" sqref="E1"/>
      <selection pane="bottomLeft" activeCell="A2" sqref="A2"/>
      <selection pane="bottomRight" activeCell="U52" sqref="U52"/>
    </sheetView>
  </sheetViews>
  <sheetFormatPr baseColWidth="10" defaultRowHeight="16" x14ac:dyDescent="0.2"/>
  <cols>
    <col min="1" max="1" width="3" style="7" customWidth="1"/>
    <col min="2" max="2" width="3" style="7" bestFit="1" customWidth="1"/>
    <col min="3" max="3" width="3.28515625" style="20" bestFit="1" customWidth="1"/>
    <col min="4" max="4" width="2.5703125" style="7" customWidth="1"/>
    <col min="5" max="5" width="4.5703125" style="7" bestFit="1" customWidth="1"/>
    <col min="6" max="6" width="4.28515625" style="28" bestFit="1" customWidth="1"/>
    <col min="7" max="7" width="6.7109375" style="28" bestFit="1" customWidth="1"/>
    <col min="8" max="8" width="7.7109375" style="28" bestFit="1" customWidth="1"/>
    <col min="9" max="9" width="6.5703125" style="28" bestFit="1" customWidth="1"/>
    <col min="10" max="10" width="7.7109375" style="28" bestFit="1" customWidth="1"/>
    <col min="11" max="11" width="7.5703125" style="28" customWidth="1"/>
    <col min="12" max="13" width="7.7109375" style="28" bestFit="1" customWidth="1"/>
    <col min="14" max="14" width="5.7109375" style="28" bestFit="1" customWidth="1"/>
    <col min="15" max="15" width="7.7109375" style="28" bestFit="1" customWidth="1"/>
    <col min="16" max="16" width="7" style="28" bestFit="1" customWidth="1"/>
    <col min="17" max="17" width="7.7109375" style="28" bestFit="1" customWidth="1"/>
    <col min="18" max="18" width="6.7109375" style="28" bestFit="1" customWidth="1"/>
    <col min="19" max="19" width="7.5703125" style="28" customWidth="1"/>
    <col min="20" max="20" width="6.7109375" style="28" customWidth="1"/>
    <col min="21" max="24" width="8.140625" style="28" customWidth="1"/>
    <col min="25" max="25" width="6.5703125" style="24" bestFit="1" customWidth="1"/>
    <col min="26" max="26" width="6.7109375" style="24" bestFit="1" customWidth="1"/>
    <col min="27" max="27" width="6.5703125" style="24" bestFit="1" customWidth="1"/>
    <col min="28" max="28" width="6.7109375" style="24" bestFit="1" customWidth="1"/>
    <col min="29" max="31" width="8.42578125" style="28" customWidth="1"/>
    <col min="32" max="32" width="9.140625" style="28" customWidth="1"/>
    <col min="33" max="33" width="8.140625" style="28" bestFit="1" customWidth="1"/>
    <col min="34" max="34" width="8" style="28" bestFit="1" customWidth="1"/>
    <col min="35" max="36" width="10.140625" style="28" bestFit="1" customWidth="1"/>
    <col min="37" max="37" width="9.7109375" style="28" bestFit="1" customWidth="1"/>
    <col min="38" max="38" width="9.5703125" style="28" bestFit="1" customWidth="1"/>
    <col min="39" max="39" width="8.28515625" style="28" bestFit="1" customWidth="1"/>
    <col min="40" max="40" width="8.140625" style="28" bestFit="1" customWidth="1"/>
    <col min="41" max="41" width="7.140625" style="28" bestFit="1" customWidth="1"/>
    <col min="42" max="43" width="7.85546875" style="7" customWidth="1"/>
    <col min="44" max="44" width="5.7109375" style="7" bestFit="1" customWidth="1"/>
    <col min="45" max="45" width="4" style="7" bestFit="1" customWidth="1"/>
    <col min="46" max="46" width="6.5703125" style="7" bestFit="1" customWidth="1"/>
    <col min="47" max="47" width="7.42578125" style="7" bestFit="1" customWidth="1"/>
    <col min="48" max="48" width="4" style="7" bestFit="1" customWidth="1"/>
    <col min="49" max="49" width="7.42578125" style="7" bestFit="1" customWidth="1"/>
    <col min="50" max="50" width="6.5703125" style="7" bestFit="1" customWidth="1"/>
    <col min="51" max="52" width="7.42578125" style="7" bestFit="1" customWidth="1"/>
    <col min="53" max="53" width="4" style="7" bestFit="1" customWidth="1"/>
    <col min="54" max="54" width="7.42578125" style="7" bestFit="1" customWidth="1"/>
    <col min="55" max="55" width="6.5703125" style="7" bestFit="1" customWidth="1"/>
    <col min="56" max="56" width="7.42578125" style="7" bestFit="1" customWidth="1"/>
    <col min="57" max="58" width="5.7109375" style="7" bestFit="1" customWidth="1"/>
    <col min="59" max="60" width="6.5703125" style="7" bestFit="1" customWidth="1"/>
    <col min="61" max="61" width="4.85546875" style="7" bestFit="1" customWidth="1"/>
    <col min="62" max="63" width="5.7109375" style="7" bestFit="1" customWidth="1"/>
    <col min="64" max="64" width="6.5703125" style="7" bestFit="1" customWidth="1"/>
    <col min="65" max="65" width="5.7109375" style="7" bestFit="1" customWidth="1"/>
    <col min="66" max="66" width="4" style="7" bestFit="1" customWidth="1"/>
    <col min="67" max="71" width="6.5703125" style="7" bestFit="1" customWidth="1"/>
    <col min="72" max="16384" width="10.7109375" style="7"/>
  </cols>
  <sheetData>
    <row r="1" spans="1:71" s="16" customFormat="1" ht="48" customHeight="1" x14ac:dyDescent="0.2">
      <c r="A1" s="16" t="s">
        <v>100</v>
      </c>
      <c r="B1" s="16" t="s">
        <v>42</v>
      </c>
      <c r="C1" s="19" t="s">
        <v>29</v>
      </c>
      <c r="D1" s="16" t="s">
        <v>14</v>
      </c>
      <c r="E1" s="16" t="s">
        <v>15</v>
      </c>
      <c r="F1" s="23" t="s">
        <v>27</v>
      </c>
      <c r="G1" s="23" t="s">
        <v>0</v>
      </c>
      <c r="H1" s="23" t="s">
        <v>4</v>
      </c>
      <c r="I1" s="23" t="s">
        <v>81</v>
      </c>
      <c r="J1" s="38" t="s">
        <v>26</v>
      </c>
      <c r="K1" s="23" t="s">
        <v>30</v>
      </c>
      <c r="L1" s="38" t="s">
        <v>3</v>
      </c>
      <c r="M1" s="23" t="s">
        <v>5</v>
      </c>
      <c r="N1" s="23" t="s">
        <v>82</v>
      </c>
      <c r="O1" s="38" t="s">
        <v>28</v>
      </c>
      <c r="P1" s="23" t="s">
        <v>31</v>
      </c>
      <c r="Q1" s="38" t="s">
        <v>21</v>
      </c>
      <c r="R1" s="38" t="s">
        <v>2</v>
      </c>
      <c r="S1" s="38" t="s">
        <v>107</v>
      </c>
      <c r="T1" s="38" t="s">
        <v>108</v>
      </c>
      <c r="U1" s="38" t="s">
        <v>110</v>
      </c>
      <c r="V1" s="38" t="s">
        <v>111</v>
      </c>
      <c r="W1" s="38" t="s">
        <v>112</v>
      </c>
      <c r="X1" s="38" t="s">
        <v>113</v>
      </c>
      <c r="Y1" s="38" t="s">
        <v>45</v>
      </c>
      <c r="Z1" s="38" t="s">
        <v>46</v>
      </c>
      <c r="AA1" s="38" t="s">
        <v>119</v>
      </c>
      <c r="AB1" s="38" t="s">
        <v>120</v>
      </c>
      <c r="AC1" s="38" t="s">
        <v>116</v>
      </c>
      <c r="AD1" s="38" t="s">
        <v>117</v>
      </c>
      <c r="AE1" s="38" t="s">
        <v>118</v>
      </c>
      <c r="AF1" s="38" t="s">
        <v>115</v>
      </c>
      <c r="AG1" s="38" t="s">
        <v>32</v>
      </c>
      <c r="AH1" s="38" t="s">
        <v>39</v>
      </c>
      <c r="AI1" s="38" t="s">
        <v>38</v>
      </c>
      <c r="AJ1" s="38" t="s">
        <v>40</v>
      </c>
      <c r="AK1" s="38" t="s">
        <v>34</v>
      </c>
      <c r="AL1" s="38" t="s">
        <v>41</v>
      </c>
      <c r="AM1" s="38" t="s">
        <v>43</v>
      </c>
      <c r="AN1" s="38" t="s">
        <v>44</v>
      </c>
      <c r="AO1" s="23" t="s">
        <v>65</v>
      </c>
      <c r="AP1" s="16" t="s">
        <v>72</v>
      </c>
      <c r="AR1" s="16" t="s">
        <v>15</v>
      </c>
      <c r="AS1" s="23" t="s">
        <v>27</v>
      </c>
      <c r="AT1" s="23" t="s">
        <v>0</v>
      </c>
      <c r="AU1" s="23" t="s">
        <v>4</v>
      </c>
      <c r="AV1" s="23" t="s">
        <v>81</v>
      </c>
      <c r="AW1" s="38" t="s">
        <v>26</v>
      </c>
      <c r="AX1" s="23" t="s">
        <v>30</v>
      </c>
      <c r="AY1" s="38" t="s">
        <v>3</v>
      </c>
      <c r="AZ1" s="23" t="s">
        <v>5</v>
      </c>
      <c r="BA1" s="23" t="s">
        <v>82</v>
      </c>
      <c r="BB1" s="38" t="s">
        <v>28</v>
      </c>
      <c r="BC1" s="23" t="s">
        <v>31</v>
      </c>
      <c r="BD1" s="38" t="s">
        <v>21</v>
      </c>
      <c r="BE1" s="38" t="s">
        <v>2</v>
      </c>
      <c r="BF1" s="38" t="s">
        <v>45</v>
      </c>
      <c r="BG1" s="38" t="s">
        <v>46</v>
      </c>
      <c r="BH1" s="38" t="s">
        <v>83</v>
      </c>
      <c r="BI1" s="38" t="s">
        <v>84</v>
      </c>
      <c r="BJ1" s="38" t="s">
        <v>32</v>
      </c>
      <c r="BK1" s="38" t="s">
        <v>38</v>
      </c>
      <c r="BL1" s="38" t="s">
        <v>34</v>
      </c>
      <c r="BM1" s="38" t="s">
        <v>39</v>
      </c>
      <c r="BN1" s="38" t="s">
        <v>40</v>
      </c>
      <c r="BO1" s="38" t="s">
        <v>41</v>
      </c>
      <c r="BP1" s="38" t="s">
        <v>43</v>
      </c>
      <c r="BQ1" s="38" t="s">
        <v>44</v>
      </c>
      <c r="BR1" s="23" t="s">
        <v>65</v>
      </c>
      <c r="BS1" s="16" t="s">
        <v>72</v>
      </c>
    </row>
    <row r="2" spans="1:71" x14ac:dyDescent="0.2">
      <c r="A2" s="7">
        <v>1</v>
      </c>
      <c r="B2" s="7">
        <v>1</v>
      </c>
      <c r="C2" s="20" t="s">
        <v>67</v>
      </c>
      <c r="D2" s="7">
        <v>1</v>
      </c>
      <c r="E2" s="8" t="s">
        <v>16</v>
      </c>
      <c r="F2" s="28">
        <v>0</v>
      </c>
      <c r="G2" s="28">
        <v>477.125</v>
      </c>
      <c r="H2" s="28">
        <v>1631.73</v>
      </c>
      <c r="I2" s="28">
        <v>0</v>
      </c>
      <c r="J2" s="29">
        <f>F2+G2+H2+I2</f>
        <v>2108.855</v>
      </c>
      <c r="K2" s="28">
        <v>2185.2399999999998</v>
      </c>
      <c r="L2" s="29">
        <f>J2+K2</f>
        <v>4294.0949999999993</v>
      </c>
      <c r="M2" s="28">
        <v>3160.99</v>
      </c>
      <c r="N2" s="28">
        <v>0</v>
      </c>
      <c r="O2" s="29">
        <f>M2+N2</f>
        <v>3160.99</v>
      </c>
      <c r="P2" s="28">
        <v>959.6</v>
      </c>
      <c r="Q2" s="29">
        <f>P2+O2</f>
        <v>4120.59</v>
      </c>
      <c r="R2" s="29">
        <f>MAX(L2-Q2,0)</f>
        <v>173.5049999999992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4">
        <v>0</v>
      </c>
      <c r="Z2" s="24">
        <v>0</v>
      </c>
      <c r="AA2" s="29">
        <f>AC2+AH2</f>
        <v>1631.73</v>
      </c>
      <c r="AB2" s="29">
        <f>AE2+AN2</f>
        <v>0</v>
      </c>
      <c r="AC2" s="91">
        <v>1631.73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9">
        <f t="shared" ref="AM2:AN6" si="0">AI2+AK2</f>
        <v>0</v>
      </c>
      <c r="AN2" s="29">
        <f t="shared" si="0"/>
        <v>0</v>
      </c>
      <c r="AO2" s="29">
        <f t="shared" ref="AO2:AP6" si="1">AG2+AM2</f>
        <v>0</v>
      </c>
      <c r="AP2" s="29">
        <f t="shared" si="1"/>
        <v>0</v>
      </c>
      <c r="AQ2" s="29"/>
    </row>
    <row r="3" spans="1:71" x14ac:dyDescent="0.2">
      <c r="D3" s="7">
        <v>2</v>
      </c>
      <c r="E3" s="7" t="s">
        <v>17</v>
      </c>
      <c r="F3" s="28">
        <v>0</v>
      </c>
      <c r="G3" s="28">
        <v>587.69299999999998</v>
      </c>
      <c r="H3" s="28">
        <v>4303.24</v>
      </c>
      <c r="I3" s="28">
        <v>0</v>
      </c>
      <c r="J3" s="29">
        <f t="shared" ref="J3:J6" si="2">F3+G3+H3+I3</f>
        <v>4890.933</v>
      </c>
      <c r="K3" s="28">
        <v>398.37</v>
      </c>
      <c r="L3" s="29">
        <f>J3+K3</f>
        <v>5289.3029999999999</v>
      </c>
      <c r="M3" s="28">
        <v>3231.37</v>
      </c>
      <c r="N3" s="28">
        <v>0</v>
      </c>
      <c r="O3" s="29">
        <f t="shared" ref="O3:O6" si="3">M3+N3</f>
        <v>3231.37</v>
      </c>
      <c r="P3" s="28">
        <v>1844.24</v>
      </c>
      <c r="Q3" s="29">
        <f>P3+O3</f>
        <v>5075.6099999999997</v>
      </c>
      <c r="R3" s="29">
        <f t="shared" ref="R3:R6" si="4">MAX(L3-Q3,0)</f>
        <v>213.69300000000021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4">
        <v>0</v>
      </c>
      <c r="Z3" s="24">
        <v>0</v>
      </c>
      <c r="AA3" s="29">
        <f>AC3+AH3</f>
        <v>0</v>
      </c>
      <c r="AB3" s="29">
        <f>AE3+AN3</f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9">
        <f t="shared" si="0"/>
        <v>0</v>
      </c>
      <c r="AN3" s="29">
        <f t="shared" si="0"/>
        <v>0</v>
      </c>
      <c r="AO3" s="29">
        <f t="shared" si="1"/>
        <v>0</v>
      </c>
      <c r="AP3" s="29">
        <f t="shared" si="1"/>
        <v>0</v>
      </c>
      <c r="AQ3" s="29"/>
    </row>
    <row r="4" spans="1:71" x14ac:dyDescent="0.2">
      <c r="D4" s="7">
        <v>3</v>
      </c>
      <c r="E4" s="7" t="s">
        <v>18</v>
      </c>
      <c r="F4" s="28">
        <v>0</v>
      </c>
      <c r="G4" s="28">
        <v>513.84699999999998</v>
      </c>
      <c r="H4" s="28">
        <v>3379.72</v>
      </c>
      <c r="I4" s="28">
        <v>0</v>
      </c>
      <c r="J4" s="29">
        <f t="shared" si="2"/>
        <v>3893.567</v>
      </c>
      <c r="K4" s="28">
        <v>730.99</v>
      </c>
      <c r="L4" s="29">
        <f>J4+K4</f>
        <v>4624.5569999999998</v>
      </c>
      <c r="M4" s="28">
        <v>3184.36</v>
      </c>
      <c r="N4" s="28">
        <v>0</v>
      </c>
      <c r="O4" s="29">
        <f t="shared" si="3"/>
        <v>3184.36</v>
      </c>
      <c r="P4" s="28">
        <v>1253.3399999999999</v>
      </c>
      <c r="Q4" s="29">
        <f>P4+O4</f>
        <v>4437.7</v>
      </c>
      <c r="R4" s="29">
        <f t="shared" si="4"/>
        <v>186.85699999999997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4">
        <v>0</v>
      </c>
      <c r="Z4" s="24">
        <v>0</v>
      </c>
      <c r="AA4" s="29">
        <f>AC4+AH4</f>
        <v>0</v>
      </c>
      <c r="AB4" s="29">
        <f>AE4+AN4</f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9">
        <f t="shared" si="0"/>
        <v>0</v>
      </c>
      <c r="AN4" s="29">
        <f t="shared" si="0"/>
        <v>0</v>
      </c>
      <c r="AO4" s="29">
        <f t="shared" si="1"/>
        <v>0</v>
      </c>
      <c r="AP4" s="29">
        <f t="shared" si="1"/>
        <v>0</v>
      </c>
      <c r="AQ4" s="29"/>
    </row>
    <row r="5" spans="1:71" x14ac:dyDescent="0.2">
      <c r="D5" s="7">
        <v>4</v>
      </c>
      <c r="E5" s="7" t="s">
        <v>19</v>
      </c>
      <c r="F5" s="28">
        <v>0</v>
      </c>
      <c r="G5" s="28">
        <v>713.66200000000003</v>
      </c>
      <c r="H5" s="28">
        <v>4351.47</v>
      </c>
      <c r="I5" s="28">
        <v>0</v>
      </c>
      <c r="J5" s="29">
        <f t="shared" si="2"/>
        <v>5065.1320000000005</v>
      </c>
      <c r="K5" s="28">
        <v>1357.75</v>
      </c>
      <c r="L5" s="29">
        <f>J5+K5</f>
        <v>6422.8820000000005</v>
      </c>
      <c r="M5" s="28">
        <v>3311.51</v>
      </c>
      <c r="N5" s="28">
        <v>0</v>
      </c>
      <c r="O5" s="29">
        <f t="shared" si="3"/>
        <v>3311.51</v>
      </c>
      <c r="P5" s="28">
        <v>2851.85</v>
      </c>
      <c r="Q5" s="29">
        <f>P5+O5</f>
        <v>6163.3600000000006</v>
      </c>
      <c r="R5" s="29">
        <f t="shared" si="4"/>
        <v>259.52199999999993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4">
        <v>0</v>
      </c>
      <c r="Z5" s="24">
        <v>0</v>
      </c>
      <c r="AA5" s="29">
        <f>AC5+AH5</f>
        <v>0</v>
      </c>
      <c r="AB5" s="29">
        <f>AE5+AN5</f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9">
        <f t="shared" si="0"/>
        <v>0</v>
      </c>
      <c r="AN5" s="29">
        <f t="shared" si="0"/>
        <v>0</v>
      </c>
      <c r="AO5" s="29">
        <f t="shared" si="1"/>
        <v>0</v>
      </c>
      <c r="AP5" s="29">
        <f t="shared" si="1"/>
        <v>0</v>
      </c>
      <c r="AQ5" s="29"/>
    </row>
    <row r="6" spans="1:71" x14ac:dyDescent="0.2">
      <c r="D6" s="7">
        <v>5</v>
      </c>
      <c r="E6" s="7" t="s">
        <v>20</v>
      </c>
      <c r="F6" s="28">
        <v>0</v>
      </c>
      <c r="G6" s="28">
        <v>417.25700000000001</v>
      </c>
      <c r="H6" s="28">
        <v>620.69000000000005</v>
      </c>
      <c r="I6" s="28">
        <v>0</v>
      </c>
      <c r="J6" s="29">
        <f t="shared" si="2"/>
        <v>1037.9470000000001</v>
      </c>
      <c r="K6" s="28">
        <v>2717.39</v>
      </c>
      <c r="L6" s="29">
        <f>J6+K6</f>
        <v>3755.337</v>
      </c>
      <c r="M6" s="28">
        <v>3122.9</v>
      </c>
      <c r="N6" s="28">
        <v>0</v>
      </c>
      <c r="O6" s="29">
        <f t="shared" si="3"/>
        <v>3122.9</v>
      </c>
      <c r="P6" s="28">
        <v>480.71</v>
      </c>
      <c r="Q6" s="29">
        <f>P6+O6</f>
        <v>3603.61</v>
      </c>
      <c r="R6" s="29">
        <f t="shared" si="4"/>
        <v>151.72699999999986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4">
        <v>0</v>
      </c>
      <c r="Z6" s="24">
        <v>0</v>
      </c>
      <c r="AA6" s="29">
        <f>AC6+AH6</f>
        <v>0</v>
      </c>
      <c r="AB6" s="29">
        <f>AE6+AN6</f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9">
        <f t="shared" si="0"/>
        <v>0</v>
      </c>
      <c r="AN6" s="29">
        <f t="shared" si="0"/>
        <v>0</v>
      </c>
      <c r="AO6" s="29">
        <f t="shared" si="1"/>
        <v>0</v>
      </c>
      <c r="AP6" s="29">
        <f t="shared" si="1"/>
        <v>0</v>
      </c>
      <c r="AQ6" s="29"/>
    </row>
    <row r="7" spans="1:71" x14ac:dyDescent="0.2">
      <c r="F7" s="25">
        <f>SUM(F2:F6)</f>
        <v>0</v>
      </c>
      <c r="G7" s="25">
        <f t="shared" ref="G7:H7" si="5">SUM(G2:G6)</f>
        <v>2709.5840000000003</v>
      </c>
      <c r="H7" s="25">
        <f t="shared" si="5"/>
        <v>14286.85</v>
      </c>
      <c r="I7" s="25">
        <f>SUM(I2:I6)</f>
        <v>0</v>
      </c>
      <c r="J7" s="25">
        <f>SUM(J2:J6)</f>
        <v>16996.434000000001</v>
      </c>
      <c r="K7" s="25">
        <f t="shared" ref="K7:L7" si="6">SUM(K2:K6)</f>
        <v>7389.74</v>
      </c>
      <c r="L7" s="25">
        <f t="shared" si="6"/>
        <v>24386.173999999999</v>
      </c>
      <c r="M7" s="25">
        <f>SUM(M2:M6)</f>
        <v>16011.13</v>
      </c>
      <c r="N7" s="25">
        <f>SUM(N2:N6)</f>
        <v>0</v>
      </c>
      <c r="O7" s="25">
        <f>SUM(O2:O6)</f>
        <v>16011.13</v>
      </c>
      <c r="P7" s="25">
        <f>SUM(P2:P6)</f>
        <v>7389.7400000000007</v>
      </c>
      <c r="Q7" s="25">
        <f t="shared" ref="Q7" si="7">SUM(Q2:Q6)</f>
        <v>23400.870000000003</v>
      </c>
      <c r="R7" s="25">
        <f>SUM(R2:R6)</f>
        <v>985.30399999999918</v>
      </c>
      <c r="S7" s="25">
        <f t="shared" ref="S7:X7" si="8">SUM(S2:S6)</f>
        <v>0</v>
      </c>
      <c r="T7" s="25">
        <f t="shared" si="8"/>
        <v>0</v>
      </c>
      <c r="U7" s="25">
        <f t="shared" si="8"/>
        <v>0</v>
      </c>
      <c r="V7" s="25">
        <f t="shared" si="8"/>
        <v>0</v>
      </c>
      <c r="W7" s="25">
        <f t="shared" si="8"/>
        <v>0</v>
      </c>
      <c r="X7" s="25">
        <f t="shared" si="8"/>
        <v>0</v>
      </c>
      <c r="Y7" s="25">
        <f t="shared" ref="Y7:AK7" si="9">SUM(Y2:Y6)</f>
        <v>0</v>
      </c>
      <c r="Z7" s="25">
        <f t="shared" si="9"/>
        <v>0</v>
      </c>
      <c r="AA7" s="25">
        <f t="shared" ref="AA7:AB7" si="10">SUM(AA2:AA6)</f>
        <v>1631.73</v>
      </c>
      <c r="AB7" s="25">
        <f t="shared" si="10"/>
        <v>0</v>
      </c>
      <c r="AC7" s="25">
        <f t="shared" ref="AC7" si="11">SUM(AC2:AC6)</f>
        <v>1631.73</v>
      </c>
      <c r="AD7" s="25">
        <f>SUM(AD2:AD6)</f>
        <v>0</v>
      </c>
      <c r="AE7" s="25">
        <f>SUM(AE2:AE6)</f>
        <v>0</v>
      </c>
      <c r="AF7" s="25">
        <f t="shared" si="9"/>
        <v>0</v>
      </c>
      <c r="AG7" s="25">
        <f t="shared" si="9"/>
        <v>0</v>
      </c>
      <c r="AH7" s="25">
        <f>SUM(AH2:AH6)</f>
        <v>0</v>
      </c>
      <c r="AI7" s="25">
        <f t="shared" si="9"/>
        <v>0</v>
      </c>
      <c r="AJ7" s="25">
        <f>SUM(AJ2:AJ6)</f>
        <v>0</v>
      </c>
      <c r="AK7" s="25">
        <f t="shared" si="9"/>
        <v>0</v>
      </c>
      <c r="AL7" s="25">
        <f t="shared" ref="AL7:AN7" si="12">SUM(AL2:AL6)</f>
        <v>0</v>
      </c>
      <c r="AM7" s="25">
        <f t="shared" si="12"/>
        <v>0</v>
      </c>
      <c r="AN7" s="25">
        <f t="shared" si="12"/>
        <v>0</v>
      </c>
      <c r="AO7" s="25">
        <f>SUM(AO2:AO6)</f>
        <v>0</v>
      </c>
      <c r="AP7" s="50">
        <f>SUM(AP2:AP6)</f>
        <v>0</v>
      </c>
      <c r="AQ7" s="50"/>
    </row>
    <row r="8" spans="1:71" x14ac:dyDescent="0.2"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50"/>
      <c r="AQ8" s="50"/>
    </row>
    <row r="9" spans="1:71" x14ac:dyDescent="0.2">
      <c r="B9" s="7">
        <v>1</v>
      </c>
      <c r="C9" s="20" t="s">
        <v>105</v>
      </c>
      <c r="D9" s="7">
        <v>1</v>
      </c>
      <c r="E9" s="8" t="s">
        <v>16</v>
      </c>
      <c r="F9" s="28">
        <v>0</v>
      </c>
      <c r="G9" s="28">
        <v>477.125</v>
      </c>
      <c r="H9" s="28">
        <v>1631.73</v>
      </c>
      <c r="I9" s="28">
        <v>0</v>
      </c>
      <c r="J9" s="29">
        <f>F9+G9+H9+I9</f>
        <v>2108.855</v>
      </c>
      <c r="K9" s="28">
        <v>2185.2399999999998</v>
      </c>
      <c r="L9" s="29">
        <f>J9+K9</f>
        <v>4294.0949999999993</v>
      </c>
      <c r="M9" s="28">
        <v>3160.99</v>
      </c>
      <c r="N9" s="28">
        <v>0</v>
      </c>
      <c r="O9" s="29">
        <f>M9+N9</f>
        <v>3160.99</v>
      </c>
      <c r="P9" s="28">
        <v>959.6</v>
      </c>
      <c r="Q9" s="29">
        <f>P9+O9</f>
        <v>4120.59</v>
      </c>
      <c r="R9" s="29">
        <f>MAX(L9-Q9,0)</f>
        <v>173.5049999999992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91">
        <v>1631.73</v>
      </c>
      <c r="Z9" s="24">
        <v>0</v>
      </c>
      <c r="AA9" s="94">
        <f>AC9+AH9</f>
        <v>1631.73</v>
      </c>
      <c r="AB9" s="29">
        <f>AE9+AN9</f>
        <v>0</v>
      </c>
      <c r="AC9" s="24">
        <v>1631.73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9">
        <f t="shared" ref="AM9:AN13" si="13">AI9+AK9</f>
        <v>0</v>
      </c>
      <c r="AN9" s="29">
        <f t="shared" si="13"/>
        <v>0</v>
      </c>
      <c r="AO9" s="29">
        <f t="shared" ref="AO9:AP13" si="14">AG9+AM9</f>
        <v>0</v>
      </c>
      <c r="AP9" s="29">
        <f t="shared" si="14"/>
        <v>0</v>
      </c>
      <c r="AQ9" s="29"/>
    </row>
    <row r="10" spans="1:71" x14ac:dyDescent="0.2">
      <c r="D10" s="7">
        <v>2</v>
      </c>
      <c r="E10" s="7" t="s">
        <v>17</v>
      </c>
      <c r="F10" s="28">
        <v>0</v>
      </c>
      <c r="G10" s="28">
        <v>587.69299999999998</v>
      </c>
      <c r="H10" s="28">
        <v>4303.24</v>
      </c>
      <c r="I10" s="28">
        <v>0</v>
      </c>
      <c r="J10" s="29">
        <f t="shared" ref="J10:J13" si="15">F10+G10+H10+I10</f>
        <v>4890.933</v>
      </c>
      <c r="K10" s="28">
        <v>398.37</v>
      </c>
      <c r="L10" s="29">
        <f>J10+K10</f>
        <v>5289.3029999999999</v>
      </c>
      <c r="M10" s="28">
        <v>3231.37</v>
      </c>
      <c r="N10" s="28">
        <v>0</v>
      </c>
      <c r="O10" s="29">
        <f t="shared" ref="O10:O13" si="16">M10+N10</f>
        <v>3231.37</v>
      </c>
      <c r="P10" s="28">
        <v>1844.24</v>
      </c>
      <c r="Q10" s="29">
        <f>P10+O10</f>
        <v>5075.6099999999997</v>
      </c>
      <c r="R10" s="29">
        <f t="shared" ref="R10:R13" si="17">MAX(L10-Q10,0)</f>
        <v>213.69300000000021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4">
        <v>0</v>
      </c>
      <c r="Z10" s="24">
        <v>0</v>
      </c>
      <c r="AA10" s="29">
        <f>AC10+AH10</f>
        <v>0</v>
      </c>
      <c r="AB10" s="29">
        <f>AE10+AN10</f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9">
        <f t="shared" si="13"/>
        <v>0</v>
      </c>
      <c r="AN10" s="29">
        <f t="shared" si="13"/>
        <v>0</v>
      </c>
      <c r="AO10" s="29">
        <f t="shared" si="14"/>
        <v>0</v>
      </c>
      <c r="AP10" s="29">
        <f t="shared" si="14"/>
        <v>0</v>
      </c>
      <c r="AQ10" s="29"/>
    </row>
    <row r="11" spans="1:71" x14ac:dyDescent="0.2">
      <c r="D11" s="7">
        <v>3</v>
      </c>
      <c r="E11" s="7" t="s">
        <v>18</v>
      </c>
      <c r="F11" s="28">
        <v>0</v>
      </c>
      <c r="G11" s="28">
        <v>513.84699999999998</v>
      </c>
      <c r="H11" s="28">
        <v>3379.72</v>
      </c>
      <c r="I11" s="28">
        <v>0</v>
      </c>
      <c r="J11" s="29">
        <f t="shared" si="15"/>
        <v>3893.567</v>
      </c>
      <c r="K11" s="28">
        <v>730.99</v>
      </c>
      <c r="L11" s="29">
        <f>J11+K11</f>
        <v>4624.5569999999998</v>
      </c>
      <c r="M11" s="28">
        <v>3184.36</v>
      </c>
      <c r="N11" s="28">
        <v>0</v>
      </c>
      <c r="O11" s="29">
        <f t="shared" si="16"/>
        <v>3184.36</v>
      </c>
      <c r="P11" s="28">
        <v>1253.3399999999999</v>
      </c>
      <c r="Q11" s="29">
        <f>P11+O11</f>
        <v>4437.7</v>
      </c>
      <c r="R11" s="29">
        <f t="shared" si="17"/>
        <v>186.85699999999997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4">
        <v>0</v>
      </c>
      <c r="Z11" s="24">
        <v>0</v>
      </c>
      <c r="AA11" s="29">
        <f>AC11+AH11</f>
        <v>0</v>
      </c>
      <c r="AB11" s="29">
        <f>AE11+AN11</f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9">
        <f t="shared" si="13"/>
        <v>0</v>
      </c>
      <c r="AN11" s="29">
        <f t="shared" si="13"/>
        <v>0</v>
      </c>
      <c r="AO11" s="29">
        <f t="shared" si="14"/>
        <v>0</v>
      </c>
      <c r="AP11" s="29">
        <f t="shared" si="14"/>
        <v>0</v>
      </c>
      <c r="AQ11" s="29"/>
    </row>
    <row r="12" spans="1:71" x14ac:dyDescent="0.2">
      <c r="D12" s="7">
        <v>4</v>
      </c>
      <c r="E12" s="7" t="s">
        <v>19</v>
      </c>
      <c r="F12" s="28">
        <v>0</v>
      </c>
      <c r="G12" s="28">
        <v>713.66200000000003</v>
      </c>
      <c r="H12" s="28">
        <v>4351.47</v>
      </c>
      <c r="I12" s="28">
        <v>0</v>
      </c>
      <c r="J12" s="29">
        <f t="shared" si="15"/>
        <v>5065.1320000000005</v>
      </c>
      <c r="K12" s="28">
        <v>1357.75</v>
      </c>
      <c r="L12" s="29">
        <f>J12+K12</f>
        <v>6422.8820000000005</v>
      </c>
      <c r="M12" s="28">
        <v>3311.51</v>
      </c>
      <c r="N12" s="28">
        <v>0</v>
      </c>
      <c r="O12" s="29">
        <f t="shared" si="16"/>
        <v>3311.51</v>
      </c>
      <c r="P12" s="28">
        <v>2851.85</v>
      </c>
      <c r="Q12" s="29">
        <f>P12+O12</f>
        <v>6163.3600000000006</v>
      </c>
      <c r="R12" s="29">
        <f t="shared" si="17"/>
        <v>259.52199999999993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4">
        <v>0</v>
      </c>
      <c r="Z12" s="24">
        <v>0</v>
      </c>
      <c r="AA12" s="29">
        <f>AC12+AH12</f>
        <v>0</v>
      </c>
      <c r="AB12" s="29">
        <f>AE12+AN12</f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9">
        <f t="shared" si="13"/>
        <v>0</v>
      </c>
      <c r="AN12" s="29">
        <f t="shared" si="13"/>
        <v>0</v>
      </c>
      <c r="AO12" s="29">
        <f t="shared" si="14"/>
        <v>0</v>
      </c>
      <c r="AP12" s="29">
        <f t="shared" si="14"/>
        <v>0</v>
      </c>
      <c r="AQ12" s="29"/>
    </row>
    <row r="13" spans="1:71" x14ac:dyDescent="0.2">
      <c r="D13" s="7">
        <v>5</v>
      </c>
      <c r="E13" s="7" t="s">
        <v>20</v>
      </c>
      <c r="F13" s="28">
        <v>0</v>
      </c>
      <c r="G13" s="28">
        <v>417.25700000000001</v>
      </c>
      <c r="H13" s="28">
        <v>620.69000000000005</v>
      </c>
      <c r="I13" s="28">
        <v>0</v>
      </c>
      <c r="J13" s="29">
        <f t="shared" si="15"/>
        <v>1037.9470000000001</v>
      </c>
      <c r="K13" s="28">
        <v>2717.39</v>
      </c>
      <c r="L13" s="29">
        <f>J13+K13</f>
        <v>3755.337</v>
      </c>
      <c r="M13" s="28">
        <v>3122.9</v>
      </c>
      <c r="N13" s="28">
        <v>0</v>
      </c>
      <c r="O13" s="29">
        <f t="shared" si="16"/>
        <v>3122.9</v>
      </c>
      <c r="P13" s="28">
        <v>480.71</v>
      </c>
      <c r="Q13" s="29">
        <f>P13+O13</f>
        <v>3603.61</v>
      </c>
      <c r="R13" s="29">
        <f t="shared" si="17"/>
        <v>151.72699999999986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4">
        <v>0</v>
      </c>
      <c r="Z13" s="24">
        <v>0</v>
      </c>
      <c r="AA13" s="29">
        <f>AC13+AH13</f>
        <v>0</v>
      </c>
      <c r="AB13" s="29">
        <f>AE13+AN13</f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9">
        <f t="shared" si="13"/>
        <v>0</v>
      </c>
      <c r="AN13" s="29">
        <f t="shared" si="13"/>
        <v>0</v>
      </c>
      <c r="AO13" s="29">
        <f t="shared" si="14"/>
        <v>0</v>
      </c>
      <c r="AP13" s="29">
        <f t="shared" si="14"/>
        <v>0</v>
      </c>
      <c r="AQ13" s="29"/>
    </row>
    <row r="14" spans="1:71" x14ac:dyDescent="0.2">
      <c r="F14" s="25">
        <f>SUM(F9:F13)</f>
        <v>0</v>
      </c>
      <c r="G14" s="25">
        <f t="shared" ref="G14:Q14" si="18">SUM(G9:G13)</f>
        <v>2709.5840000000003</v>
      </c>
      <c r="H14" s="25">
        <f t="shared" si="18"/>
        <v>14286.85</v>
      </c>
      <c r="I14" s="25">
        <f>SUM(I9:I13)</f>
        <v>0</v>
      </c>
      <c r="J14" s="25">
        <f>SUM(J9:J13)</f>
        <v>16996.434000000001</v>
      </c>
      <c r="K14" s="25">
        <f t="shared" si="18"/>
        <v>7389.74</v>
      </c>
      <c r="L14" s="25">
        <f t="shared" si="18"/>
        <v>24386.173999999999</v>
      </c>
      <c r="M14" s="25">
        <f>SUM(M9:M13)</f>
        <v>16011.13</v>
      </c>
      <c r="N14" s="25">
        <f>SUM(N9:N13)</f>
        <v>0</v>
      </c>
      <c r="O14" s="25">
        <f>SUM(O9:O13)</f>
        <v>16011.13</v>
      </c>
      <c r="P14" s="25">
        <f>SUM(P9:P13)</f>
        <v>7389.7400000000007</v>
      </c>
      <c r="Q14" s="25">
        <f t="shared" si="18"/>
        <v>23400.870000000003</v>
      </c>
      <c r="R14" s="25">
        <f>SUM(R9:R13)</f>
        <v>985.30399999999918</v>
      </c>
      <c r="S14" s="25">
        <f t="shared" ref="S14:X14" si="19">SUM(S9:S13)</f>
        <v>0</v>
      </c>
      <c r="T14" s="25">
        <f t="shared" si="19"/>
        <v>0</v>
      </c>
      <c r="U14" s="25">
        <f t="shared" si="19"/>
        <v>0</v>
      </c>
      <c r="V14" s="25">
        <f t="shared" si="19"/>
        <v>0</v>
      </c>
      <c r="W14" s="25">
        <f t="shared" si="19"/>
        <v>0</v>
      </c>
      <c r="X14" s="25">
        <f t="shared" si="19"/>
        <v>0</v>
      </c>
      <c r="Y14" s="25">
        <f t="shared" ref="Y14:AF14" si="20">SUM(Y9:Y13)</f>
        <v>1631.73</v>
      </c>
      <c r="Z14" s="25">
        <f t="shared" si="20"/>
        <v>0</v>
      </c>
      <c r="AA14" s="25">
        <f t="shared" ref="AA14:AB14" si="21">SUM(AA9:AA13)</f>
        <v>1631.73</v>
      </c>
      <c r="AB14" s="25">
        <f t="shared" si="21"/>
        <v>0</v>
      </c>
      <c r="AC14" s="25">
        <f t="shared" ref="AC14" si="22">SUM(AC9:AC13)</f>
        <v>1631.73</v>
      </c>
      <c r="AD14" s="25">
        <f>SUM(AD9:AD13)</f>
        <v>0</v>
      </c>
      <c r="AE14" s="25">
        <f>SUM(AE9:AE13)</f>
        <v>0</v>
      </c>
      <c r="AF14" s="25">
        <f t="shared" si="20"/>
        <v>0</v>
      </c>
      <c r="AG14" s="25">
        <f t="shared" ref="AG14:AL14" si="23">SUM(AG9:AG13)</f>
        <v>0</v>
      </c>
      <c r="AH14" s="25">
        <f>SUM(AH9:AH13)</f>
        <v>0</v>
      </c>
      <c r="AI14" s="25">
        <f t="shared" si="23"/>
        <v>0</v>
      </c>
      <c r="AJ14" s="25">
        <f>SUM(AJ9:AJ13)</f>
        <v>0</v>
      </c>
      <c r="AK14" s="25">
        <f t="shared" si="23"/>
        <v>0</v>
      </c>
      <c r="AL14" s="25">
        <f t="shared" si="23"/>
        <v>0</v>
      </c>
      <c r="AM14" s="25">
        <f t="shared" ref="AM14:AN14" si="24">SUM(AM9:AM13)</f>
        <v>0</v>
      </c>
      <c r="AN14" s="25">
        <f t="shared" si="24"/>
        <v>0</v>
      </c>
      <c r="AO14" s="25">
        <f>SUM(AO9:AO13)</f>
        <v>0</v>
      </c>
      <c r="AP14" s="50">
        <f>SUM(AP9:AP13)</f>
        <v>0</v>
      </c>
      <c r="AQ14" s="50"/>
    </row>
    <row r="15" spans="1:71" x14ac:dyDescent="0.2"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50"/>
      <c r="AQ15" s="50"/>
    </row>
    <row r="16" spans="1:71" x14ac:dyDescent="0.2">
      <c r="B16" s="7">
        <v>1</v>
      </c>
      <c r="C16" s="20" t="s">
        <v>106</v>
      </c>
      <c r="D16" s="7">
        <v>1</v>
      </c>
      <c r="E16" s="61" t="s">
        <v>16</v>
      </c>
      <c r="F16" s="28">
        <v>0</v>
      </c>
      <c r="G16" s="28">
        <v>477.125</v>
      </c>
      <c r="H16" s="91">
        <v>0</v>
      </c>
      <c r="I16" s="28">
        <v>0</v>
      </c>
      <c r="J16" s="29">
        <f>F16+G16+H16+I16</f>
        <v>477.125</v>
      </c>
      <c r="K16" s="28">
        <v>2185.2399999999998</v>
      </c>
      <c r="L16" s="29">
        <f>J16+K16</f>
        <v>2662.3649999999998</v>
      </c>
      <c r="M16" s="91">
        <v>2042.355</v>
      </c>
      <c r="N16" s="28">
        <v>0</v>
      </c>
      <c r="O16" s="29">
        <f>M16+N16</f>
        <v>2042.355</v>
      </c>
      <c r="P16" s="91">
        <v>620.00900000000001</v>
      </c>
      <c r="Q16" s="29">
        <f>P16+O16</f>
        <v>2662.364</v>
      </c>
      <c r="R16" s="92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4">
        <v>1631.73</v>
      </c>
      <c r="Z16" s="30">
        <v>0</v>
      </c>
      <c r="AA16" s="29">
        <f>AC16+AH16</f>
        <v>0</v>
      </c>
      <c r="AB16" s="29">
        <f>AE16+AN16</f>
        <v>0</v>
      </c>
      <c r="AC16" s="91">
        <v>0</v>
      </c>
      <c r="AD16" s="91">
        <v>1118.6423</v>
      </c>
      <c r="AE16" s="28">
        <v>0</v>
      </c>
      <c r="AF16" s="28">
        <v>0</v>
      </c>
      <c r="AG16" s="93">
        <v>339.6</v>
      </c>
      <c r="AH16" s="28">
        <v>0</v>
      </c>
      <c r="AI16" s="28">
        <v>0</v>
      </c>
      <c r="AJ16" s="28">
        <v>0</v>
      </c>
      <c r="AK16" s="24">
        <v>0</v>
      </c>
      <c r="AL16" s="28">
        <v>0</v>
      </c>
      <c r="AM16" s="29">
        <f t="shared" ref="AM16:AN20" si="25">AI16+AK16</f>
        <v>0</v>
      </c>
      <c r="AN16" s="29">
        <f t="shared" si="25"/>
        <v>0</v>
      </c>
      <c r="AO16" s="29">
        <f t="shared" ref="AO16:AP20" si="26">AG16+AM16</f>
        <v>339.6</v>
      </c>
      <c r="AP16" s="29">
        <f t="shared" si="26"/>
        <v>0</v>
      </c>
      <c r="AQ16" s="29"/>
    </row>
    <row r="17" spans="2:43" x14ac:dyDescent="0.2">
      <c r="D17" s="7">
        <v>2</v>
      </c>
      <c r="E17" s="7" t="s">
        <v>17</v>
      </c>
      <c r="F17" s="28">
        <v>0</v>
      </c>
      <c r="G17" s="28">
        <v>587.69299999999998</v>
      </c>
      <c r="H17" s="28">
        <v>4303.24</v>
      </c>
      <c r="I17" s="28">
        <v>0</v>
      </c>
      <c r="J17" s="29">
        <f t="shared" ref="J17:J20" si="27">F17+G17+H17+I17</f>
        <v>4890.933</v>
      </c>
      <c r="K17" s="28">
        <v>398.37</v>
      </c>
      <c r="L17" s="29">
        <f>J17+K17</f>
        <v>5289.3029999999999</v>
      </c>
      <c r="M17" s="28">
        <v>3231.37</v>
      </c>
      <c r="N17" s="28">
        <v>0</v>
      </c>
      <c r="O17" s="29">
        <f t="shared" ref="O17:O20" si="28">M17+N17</f>
        <v>3231.37</v>
      </c>
      <c r="P17" s="28">
        <v>1844.24</v>
      </c>
      <c r="Q17" s="29">
        <f>P17+O17</f>
        <v>5075.6099999999997</v>
      </c>
      <c r="R17" s="30">
        <v>213.69300000000021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30">
        <v>0</v>
      </c>
      <c r="Z17" s="30">
        <v>0</v>
      </c>
      <c r="AA17" s="29">
        <f>AC17+AH17</f>
        <v>0</v>
      </c>
      <c r="AB17" s="29">
        <f>AE17+AN17</f>
        <v>0</v>
      </c>
      <c r="AC17" s="28">
        <v>0</v>
      </c>
      <c r="AD17" s="28">
        <v>0</v>
      </c>
      <c r="AE17" s="28">
        <v>0</v>
      </c>
      <c r="AF17" s="28">
        <v>0</v>
      </c>
      <c r="AG17" s="55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9">
        <f t="shared" si="25"/>
        <v>0</v>
      </c>
      <c r="AN17" s="29">
        <f t="shared" si="25"/>
        <v>0</v>
      </c>
      <c r="AO17" s="29">
        <f t="shared" si="26"/>
        <v>0</v>
      </c>
      <c r="AP17" s="29">
        <f t="shared" si="26"/>
        <v>0</v>
      </c>
      <c r="AQ17" s="29"/>
    </row>
    <row r="18" spans="2:43" x14ac:dyDescent="0.2">
      <c r="D18" s="7">
        <v>3</v>
      </c>
      <c r="E18" s="7" t="s">
        <v>18</v>
      </c>
      <c r="F18" s="28">
        <v>0</v>
      </c>
      <c r="G18" s="28">
        <v>513.84699999999998</v>
      </c>
      <c r="H18" s="28">
        <v>3379.72</v>
      </c>
      <c r="I18" s="28">
        <v>0</v>
      </c>
      <c r="J18" s="29">
        <f t="shared" si="27"/>
        <v>3893.567</v>
      </c>
      <c r="K18" s="28">
        <v>730.99</v>
      </c>
      <c r="L18" s="29">
        <f>J18+K18</f>
        <v>4624.5569999999998</v>
      </c>
      <c r="M18" s="28">
        <v>3184.36</v>
      </c>
      <c r="N18" s="28">
        <v>0</v>
      </c>
      <c r="O18" s="29">
        <f t="shared" si="28"/>
        <v>3184.36</v>
      </c>
      <c r="P18" s="28">
        <v>1253.3399999999999</v>
      </c>
      <c r="Q18" s="29">
        <f>P18+O18</f>
        <v>4437.7</v>
      </c>
      <c r="R18" s="30">
        <v>186.85699999999997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30">
        <v>0</v>
      </c>
      <c r="Z18" s="30">
        <v>0</v>
      </c>
      <c r="AA18" s="29">
        <f>AC18+AH18</f>
        <v>0</v>
      </c>
      <c r="AB18" s="29">
        <f>AE18+AN18</f>
        <v>0</v>
      </c>
      <c r="AC18" s="28">
        <v>0</v>
      </c>
      <c r="AD18" s="28">
        <v>0</v>
      </c>
      <c r="AE18" s="28">
        <v>0</v>
      </c>
      <c r="AF18" s="28">
        <v>0</v>
      </c>
      <c r="AG18" s="55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9">
        <f t="shared" si="25"/>
        <v>0</v>
      </c>
      <c r="AN18" s="29">
        <f t="shared" si="25"/>
        <v>0</v>
      </c>
      <c r="AO18" s="29">
        <f t="shared" si="26"/>
        <v>0</v>
      </c>
      <c r="AP18" s="29">
        <f t="shared" si="26"/>
        <v>0</v>
      </c>
      <c r="AQ18" s="29"/>
    </row>
    <row r="19" spans="2:43" x14ac:dyDescent="0.2">
      <c r="D19" s="7">
        <v>4</v>
      </c>
      <c r="E19" s="7" t="s">
        <v>19</v>
      </c>
      <c r="F19" s="28">
        <v>0</v>
      </c>
      <c r="G19" s="28">
        <v>713.66200000000003</v>
      </c>
      <c r="H19" s="28">
        <v>4351.47</v>
      </c>
      <c r="I19" s="28">
        <v>0</v>
      </c>
      <c r="J19" s="29">
        <f t="shared" si="27"/>
        <v>5065.1320000000005</v>
      </c>
      <c r="K19" s="28">
        <v>1357.75</v>
      </c>
      <c r="L19" s="29">
        <f>J19+K19</f>
        <v>6422.8820000000005</v>
      </c>
      <c r="M19" s="28">
        <v>3311.51</v>
      </c>
      <c r="N19" s="28">
        <v>0</v>
      </c>
      <c r="O19" s="29">
        <f t="shared" si="28"/>
        <v>3311.51</v>
      </c>
      <c r="P19" s="28">
        <v>2851.85</v>
      </c>
      <c r="Q19" s="29">
        <f>P19+O19</f>
        <v>6163.3600000000006</v>
      </c>
      <c r="R19" s="30">
        <v>259.52199999999993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30">
        <v>0</v>
      </c>
      <c r="Z19" s="30">
        <v>0</v>
      </c>
      <c r="AA19" s="29">
        <f>AC19+AH19</f>
        <v>0</v>
      </c>
      <c r="AB19" s="29">
        <f>AE19+AN19</f>
        <v>0</v>
      </c>
      <c r="AC19" s="28">
        <v>0</v>
      </c>
      <c r="AD19" s="28">
        <v>0</v>
      </c>
      <c r="AE19" s="28">
        <v>0</v>
      </c>
      <c r="AF19" s="28">
        <v>0</v>
      </c>
      <c r="AG19" s="55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9">
        <f t="shared" si="25"/>
        <v>0</v>
      </c>
      <c r="AN19" s="29">
        <f t="shared" si="25"/>
        <v>0</v>
      </c>
      <c r="AO19" s="29">
        <f t="shared" si="26"/>
        <v>0</v>
      </c>
      <c r="AP19" s="29">
        <f t="shared" si="26"/>
        <v>0</v>
      </c>
      <c r="AQ19" s="29"/>
    </row>
    <row r="20" spans="2:43" x14ac:dyDescent="0.2">
      <c r="D20" s="7">
        <v>5</v>
      </c>
      <c r="E20" s="7" t="s">
        <v>20</v>
      </c>
      <c r="F20" s="28">
        <v>0</v>
      </c>
      <c r="G20" s="28">
        <v>417.25700000000001</v>
      </c>
      <c r="H20" s="28">
        <v>620.69000000000005</v>
      </c>
      <c r="I20" s="28">
        <v>0</v>
      </c>
      <c r="J20" s="29">
        <f t="shared" si="27"/>
        <v>1037.9470000000001</v>
      </c>
      <c r="K20" s="28">
        <v>2717.39</v>
      </c>
      <c r="L20" s="29">
        <f>J20+K20</f>
        <v>3755.337</v>
      </c>
      <c r="M20" s="28">
        <v>3122.9</v>
      </c>
      <c r="N20" s="28">
        <v>0</v>
      </c>
      <c r="O20" s="29">
        <f t="shared" si="28"/>
        <v>3122.9</v>
      </c>
      <c r="P20" s="28">
        <v>480.71</v>
      </c>
      <c r="Q20" s="29">
        <f>P20+O20</f>
        <v>3603.61</v>
      </c>
      <c r="R20" s="30">
        <v>151.72699999999986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30">
        <v>0</v>
      </c>
      <c r="Z20" s="30">
        <v>0</v>
      </c>
      <c r="AA20" s="29">
        <f>AC20+AH20</f>
        <v>0</v>
      </c>
      <c r="AB20" s="29">
        <f>AE20+AN20</f>
        <v>0</v>
      </c>
      <c r="AC20" s="28">
        <v>0</v>
      </c>
      <c r="AD20" s="28">
        <v>0</v>
      </c>
      <c r="AE20" s="28">
        <v>0</v>
      </c>
      <c r="AF20" s="28">
        <v>0</v>
      </c>
      <c r="AG20" s="55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9">
        <f t="shared" si="25"/>
        <v>0</v>
      </c>
      <c r="AN20" s="29">
        <f t="shared" si="25"/>
        <v>0</v>
      </c>
      <c r="AO20" s="29">
        <f t="shared" si="26"/>
        <v>0</v>
      </c>
      <c r="AP20" s="29">
        <f t="shared" si="26"/>
        <v>0</v>
      </c>
      <c r="AQ20" s="29"/>
    </row>
    <row r="21" spans="2:43" x14ac:dyDescent="0.2">
      <c r="F21" s="25">
        <f>SUM(F16:F20)</f>
        <v>0</v>
      </c>
      <c r="G21" s="25">
        <f t="shared" ref="G21:H21" si="29">SUM(G16:G20)</f>
        <v>2709.5840000000003</v>
      </c>
      <c r="H21" s="25">
        <f t="shared" si="29"/>
        <v>12655.12</v>
      </c>
      <c r="I21" s="25">
        <f>SUM(I16:I20)</f>
        <v>0</v>
      </c>
      <c r="J21" s="25">
        <f>SUM(J16:J20)</f>
        <v>15364.704000000002</v>
      </c>
      <c r="K21" s="25">
        <f t="shared" ref="K21:L21" si="30">SUM(K16:K20)</f>
        <v>7389.74</v>
      </c>
      <c r="L21" s="25">
        <f t="shared" si="30"/>
        <v>22754.444</v>
      </c>
      <c r="M21" s="25">
        <f>SUM(M16:M20)</f>
        <v>14892.495000000001</v>
      </c>
      <c r="N21" s="25">
        <f>SUM(N16:N20)</f>
        <v>0</v>
      </c>
      <c r="O21" s="25">
        <f>SUM(O16:O20)</f>
        <v>14892.495000000001</v>
      </c>
      <c r="P21" s="25">
        <f>SUM(P16:P20)</f>
        <v>7050.1490000000003</v>
      </c>
      <c r="Q21" s="25">
        <f t="shared" ref="Q21" si="31">SUM(Q16:Q20)</f>
        <v>21942.644</v>
      </c>
      <c r="R21" s="25">
        <f>SUM(R16:R20)</f>
        <v>811.79899999999998</v>
      </c>
      <c r="S21" s="25">
        <f t="shared" ref="S21:X21" si="32">SUM(S16:S20)</f>
        <v>0</v>
      </c>
      <c r="T21" s="25">
        <f t="shared" si="32"/>
        <v>0</v>
      </c>
      <c r="U21" s="25">
        <f t="shared" si="32"/>
        <v>0</v>
      </c>
      <c r="V21" s="25">
        <f t="shared" si="32"/>
        <v>0</v>
      </c>
      <c r="W21" s="25">
        <f t="shared" si="32"/>
        <v>0</v>
      </c>
      <c r="X21" s="25">
        <f t="shared" si="32"/>
        <v>0</v>
      </c>
      <c r="Y21" s="25">
        <f t="shared" ref="Y21:AK21" si="33">SUM(Y16:Y20)</f>
        <v>1631.73</v>
      </c>
      <c r="Z21" s="25">
        <f t="shared" si="33"/>
        <v>0</v>
      </c>
      <c r="AA21" s="25">
        <f t="shared" ref="AA21:AB21" si="34">SUM(AA16:AA20)</f>
        <v>0</v>
      </c>
      <c r="AB21" s="25">
        <f t="shared" si="34"/>
        <v>0</v>
      </c>
      <c r="AC21" s="25">
        <f t="shared" ref="AC21" si="35">SUM(AC16:AC20)</f>
        <v>0</v>
      </c>
      <c r="AD21" s="25">
        <f>SUM(AD16:AD20)</f>
        <v>1118.6423</v>
      </c>
      <c r="AE21" s="25">
        <f>SUM(AE16:AE20)</f>
        <v>0</v>
      </c>
      <c r="AF21" s="25">
        <f t="shared" si="33"/>
        <v>0</v>
      </c>
      <c r="AG21" s="25">
        <f t="shared" si="33"/>
        <v>339.6</v>
      </c>
      <c r="AH21" s="25">
        <f>SUM(AH16:AH20)</f>
        <v>0</v>
      </c>
      <c r="AI21" s="25">
        <f t="shared" si="33"/>
        <v>0</v>
      </c>
      <c r="AJ21" s="25">
        <f>SUM(AJ16:AJ20)</f>
        <v>0</v>
      </c>
      <c r="AK21" s="25">
        <f t="shared" si="33"/>
        <v>0</v>
      </c>
      <c r="AL21" s="25">
        <f t="shared" ref="AL21:AN21" si="36">SUM(AL16:AL20)</f>
        <v>0</v>
      </c>
      <c r="AM21" s="25">
        <f t="shared" si="36"/>
        <v>0</v>
      </c>
      <c r="AN21" s="25">
        <f t="shared" si="36"/>
        <v>0</v>
      </c>
      <c r="AO21" s="25">
        <f>SUM(AO16:AO20)</f>
        <v>339.6</v>
      </c>
      <c r="AP21" s="50">
        <f>SUM(AP16:AP20)</f>
        <v>0</v>
      </c>
      <c r="AQ21" s="50"/>
    </row>
    <row r="23" spans="2:43" x14ac:dyDescent="0.2">
      <c r="B23" s="7">
        <v>2</v>
      </c>
      <c r="C23" s="20" t="s">
        <v>105</v>
      </c>
      <c r="D23" s="7">
        <v>1</v>
      </c>
      <c r="E23" s="61" t="s">
        <v>16</v>
      </c>
      <c r="F23" s="28">
        <v>0</v>
      </c>
      <c r="G23" s="24">
        <v>477.125</v>
      </c>
      <c r="H23" s="24">
        <v>0</v>
      </c>
      <c r="I23" s="24">
        <v>0</v>
      </c>
      <c r="J23" s="29">
        <f>F23+G23+H23+I23</f>
        <v>477.125</v>
      </c>
      <c r="K23" s="24">
        <v>2185.2399999999998</v>
      </c>
      <c r="L23" s="29">
        <f>J23+K23</f>
        <v>2662.3649999999998</v>
      </c>
      <c r="M23" s="24">
        <v>2042.355</v>
      </c>
      <c r="N23" s="24">
        <v>0</v>
      </c>
      <c r="O23" s="29">
        <f>M23+N23</f>
        <v>2042.355</v>
      </c>
      <c r="P23" s="24">
        <v>620.00900000000001</v>
      </c>
      <c r="Q23" s="29">
        <f>P23+O23</f>
        <v>2662.364</v>
      </c>
      <c r="R23" s="30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30">
        <v>0</v>
      </c>
      <c r="Z23" s="30">
        <v>0</v>
      </c>
      <c r="AA23" s="29">
        <f>AC23+AH23</f>
        <v>0</v>
      </c>
      <c r="AB23" s="29">
        <f>AE23+AN23</f>
        <v>0</v>
      </c>
      <c r="AC23" s="24">
        <v>0</v>
      </c>
      <c r="AD23" s="24">
        <v>1118.6423</v>
      </c>
      <c r="AE23" s="28">
        <v>0</v>
      </c>
      <c r="AF23" s="24">
        <v>0</v>
      </c>
      <c r="AG23" s="27">
        <v>339.6</v>
      </c>
      <c r="AH23" s="30">
        <v>0</v>
      </c>
      <c r="AI23" s="24">
        <v>0</v>
      </c>
      <c r="AJ23" s="28">
        <v>0</v>
      </c>
      <c r="AK23" s="24">
        <v>0</v>
      </c>
      <c r="AL23" s="28">
        <v>0</v>
      </c>
      <c r="AM23" s="29">
        <f t="shared" ref="AM23:AN27" si="37">AI23+AK23</f>
        <v>0</v>
      </c>
      <c r="AN23" s="29">
        <f t="shared" si="37"/>
        <v>0</v>
      </c>
      <c r="AO23" s="29">
        <f t="shared" ref="AO23:AP27" si="38">AG23+AM23</f>
        <v>339.6</v>
      </c>
      <c r="AP23" s="29">
        <f t="shared" si="38"/>
        <v>0</v>
      </c>
      <c r="AQ23" s="29"/>
    </row>
    <row r="24" spans="2:43" x14ac:dyDescent="0.2">
      <c r="D24" s="7">
        <v>2</v>
      </c>
      <c r="E24" s="60" t="s">
        <v>17</v>
      </c>
      <c r="F24" s="28">
        <v>0</v>
      </c>
      <c r="G24" s="24">
        <v>587.69299999999998</v>
      </c>
      <c r="H24" s="24">
        <v>4303.24</v>
      </c>
      <c r="I24" s="24">
        <v>0</v>
      </c>
      <c r="J24" s="29">
        <f t="shared" ref="J24:J27" si="39">F24+G24+H24+I24</f>
        <v>4890.933</v>
      </c>
      <c r="K24" s="24">
        <v>398.37</v>
      </c>
      <c r="L24" s="29">
        <f>J24+K24</f>
        <v>5289.3029999999999</v>
      </c>
      <c r="M24" s="24">
        <v>3231.37</v>
      </c>
      <c r="N24" s="24">
        <v>0</v>
      </c>
      <c r="O24" s="29">
        <f t="shared" ref="O24:O27" si="40">M24+N24</f>
        <v>3231.37</v>
      </c>
      <c r="P24" s="24">
        <v>1844.24</v>
      </c>
      <c r="Q24" s="29">
        <f>P24+O24</f>
        <v>5075.6099999999997</v>
      </c>
      <c r="R24" s="30">
        <v>213.69300000000021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62">
        <v>38.698</v>
      </c>
      <c r="Z24" s="30">
        <v>0</v>
      </c>
      <c r="AA24" s="95">
        <f>AC24+AH24</f>
        <v>38.698</v>
      </c>
      <c r="AB24" s="29">
        <f>AE24+AN24</f>
        <v>0</v>
      </c>
      <c r="AC24" s="28">
        <v>0</v>
      </c>
      <c r="AD24" s="24">
        <v>0</v>
      </c>
      <c r="AE24" s="28">
        <v>0</v>
      </c>
      <c r="AF24" s="24">
        <v>0</v>
      </c>
      <c r="AG24" s="27">
        <v>0</v>
      </c>
      <c r="AH24" s="62">
        <v>38.698</v>
      </c>
      <c r="AI24" s="24">
        <v>0</v>
      </c>
      <c r="AJ24" s="28">
        <v>0</v>
      </c>
      <c r="AK24" s="24">
        <v>0</v>
      </c>
      <c r="AL24" s="28">
        <v>0</v>
      </c>
      <c r="AM24" s="29">
        <f t="shared" si="37"/>
        <v>0</v>
      </c>
      <c r="AN24" s="29">
        <f t="shared" si="37"/>
        <v>0</v>
      </c>
      <c r="AO24" s="29">
        <f t="shared" si="38"/>
        <v>0</v>
      </c>
      <c r="AP24" s="29">
        <f t="shared" si="38"/>
        <v>38.698</v>
      </c>
      <c r="AQ24" s="29"/>
    </row>
    <row r="25" spans="2:43" x14ac:dyDescent="0.2">
      <c r="D25" s="7">
        <v>3</v>
      </c>
      <c r="E25" s="60" t="s">
        <v>18</v>
      </c>
      <c r="F25" s="28">
        <v>0</v>
      </c>
      <c r="G25" s="24">
        <v>513.84699999999998</v>
      </c>
      <c r="H25" s="24">
        <v>3379.72</v>
      </c>
      <c r="I25" s="24">
        <v>0</v>
      </c>
      <c r="J25" s="29">
        <f t="shared" si="39"/>
        <v>3893.567</v>
      </c>
      <c r="K25" s="24">
        <v>730.99</v>
      </c>
      <c r="L25" s="29">
        <f>J25+K25</f>
        <v>4624.5569999999998</v>
      </c>
      <c r="M25" s="24">
        <v>3184.36</v>
      </c>
      <c r="N25" s="24">
        <v>0</v>
      </c>
      <c r="O25" s="29">
        <f t="shared" si="40"/>
        <v>3184.36</v>
      </c>
      <c r="P25" s="24">
        <v>1253.3399999999999</v>
      </c>
      <c r="Q25" s="29">
        <f>P25+O25</f>
        <v>4437.7</v>
      </c>
      <c r="R25" s="30">
        <v>186.85699999999997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62">
        <v>258.68799999999999</v>
      </c>
      <c r="Z25" s="30">
        <v>0</v>
      </c>
      <c r="AA25" s="95">
        <f>AC25+AH25</f>
        <v>258.68799999999999</v>
      </c>
      <c r="AB25" s="29">
        <f>AE25+AN25</f>
        <v>0</v>
      </c>
      <c r="AC25" s="28">
        <v>0</v>
      </c>
      <c r="AD25" s="24">
        <v>0</v>
      </c>
      <c r="AE25" s="28">
        <v>0</v>
      </c>
      <c r="AF25" s="24">
        <v>0</v>
      </c>
      <c r="AG25" s="27">
        <v>0</v>
      </c>
      <c r="AH25" s="62">
        <v>258.68799999999999</v>
      </c>
      <c r="AI25" s="24">
        <v>0</v>
      </c>
      <c r="AJ25" s="28">
        <v>0</v>
      </c>
      <c r="AK25" s="24">
        <v>0</v>
      </c>
      <c r="AL25" s="28">
        <v>0</v>
      </c>
      <c r="AM25" s="29">
        <f t="shared" si="37"/>
        <v>0</v>
      </c>
      <c r="AN25" s="29">
        <f t="shared" si="37"/>
        <v>0</v>
      </c>
      <c r="AO25" s="29">
        <f t="shared" si="38"/>
        <v>0</v>
      </c>
      <c r="AP25" s="29">
        <f t="shared" si="38"/>
        <v>258.68799999999999</v>
      </c>
      <c r="AQ25" s="29"/>
    </row>
    <row r="26" spans="2:43" x14ac:dyDescent="0.2">
      <c r="D26" s="7">
        <v>4</v>
      </c>
      <c r="E26" s="60" t="s">
        <v>19</v>
      </c>
      <c r="F26" s="28">
        <v>0</v>
      </c>
      <c r="G26" s="24">
        <v>713.66200000000003</v>
      </c>
      <c r="H26" s="24">
        <v>4351.47</v>
      </c>
      <c r="I26" s="24">
        <v>0</v>
      </c>
      <c r="J26" s="29">
        <f t="shared" si="39"/>
        <v>5065.1320000000005</v>
      </c>
      <c r="K26" s="24">
        <v>1357.75</v>
      </c>
      <c r="L26" s="29">
        <f>J26+K26</f>
        <v>6422.8820000000005</v>
      </c>
      <c r="M26" s="24">
        <v>3311.51</v>
      </c>
      <c r="N26" s="24">
        <v>0</v>
      </c>
      <c r="O26" s="29">
        <f t="shared" si="40"/>
        <v>3311.51</v>
      </c>
      <c r="P26" s="24">
        <v>2851.85</v>
      </c>
      <c r="Q26" s="29">
        <f>P26+O26</f>
        <v>6163.3600000000006</v>
      </c>
      <c r="R26" s="30">
        <v>259.52199999999993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62">
        <v>42.204999999999998</v>
      </c>
      <c r="Z26" s="30">
        <v>0</v>
      </c>
      <c r="AA26" s="95">
        <f>AC26+AH26</f>
        <v>42.204999999999998</v>
      </c>
      <c r="AB26" s="29">
        <f>AE26+AN26</f>
        <v>0</v>
      </c>
      <c r="AC26" s="28">
        <v>0</v>
      </c>
      <c r="AD26" s="24">
        <v>0</v>
      </c>
      <c r="AE26" s="28">
        <v>0</v>
      </c>
      <c r="AF26" s="24">
        <v>0</v>
      </c>
      <c r="AG26" s="27">
        <v>0</v>
      </c>
      <c r="AH26" s="62">
        <v>42.204999999999998</v>
      </c>
      <c r="AI26" s="24">
        <v>0</v>
      </c>
      <c r="AJ26" s="28">
        <v>0</v>
      </c>
      <c r="AK26" s="24">
        <v>0</v>
      </c>
      <c r="AL26" s="28">
        <v>0</v>
      </c>
      <c r="AM26" s="29">
        <f t="shared" si="37"/>
        <v>0</v>
      </c>
      <c r="AN26" s="29">
        <f t="shared" si="37"/>
        <v>0</v>
      </c>
      <c r="AO26" s="29">
        <f t="shared" si="38"/>
        <v>0</v>
      </c>
      <c r="AP26" s="29">
        <f t="shared" si="38"/>
        <v>42.204999999999998</v>
      </c>
      <c r="AQ26" s="29"/>
    </row>
    <row r="27" spans="2:43" x14ac:dyDescent="0.2">
      <c r="D27" s="7">
        <v>5</v>
      </c>
      <c r="E27" s="7" t="s">
        <v>20</v>
      </c>
      <c r="F27" s="28">
        <v>0</v>
      </c>
      <c r="G27" s="28">
        <v>417.25700000000001</v>
      </c>
      <c r="H27" s="28">
        <v>620.69000000000005</v>
      </c>
      <c r="I27" s="28">
        <v>0</v>
      </c>
      <c r="J27" s="29">
        <f t="shared" si="39"/>
        <v>1037.9470000000001</v>
      </c>
      <c r="K27" s="28">
        <v>2717.39</v>
      </c>
      <c r="L27" s="29">
        <f>J27+K27</f>
        <v>3755.337</v>
      </c>
      <c r="M27" s="28">
        <v>3122.9</v>
      </c>
      <c r="N27" s="28">
        <v>0</v>
      </c>
      <c r="O27" s="29">
        <f t="shared" si="40"/>
        <v>3122.9</v>
      </c>
      <c r="P27" s="28">
        <v>480.71</v>
      </c>
      <c r="Q27" s="29">
        <f>P27+O27</f>
        <v>3603.61</v>
      </c>
      <c r="R27" s="30">
        <v>151.72699999999986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30">
        <v>0</v>
      </c>
      <c r="Z27" s="30">
        <v>0</v>
      </c>
      <c r="AA27" s="29">
        <f>AC27+AH27</f>
        <v>0</v>
      </c>
      <c r="AB27" s="29">
        <f>AE27+AN27</f>
        <v>0</v>
      </c>
      <c r="AC27" s="28">
        <v>0</v>
      </c>
      <c r="AD27" s="28">
        <v>0</v>
      </c>
      <c r="AE27" s="28">
        <v>0</v>
      </c>
      <c r="AF27" s="28">
        <v>0</v>
      </c>
      <c r="AG27" s="55">
        <v>0</v>
      </c>
      <c r="AH27" s="30">
        <v>0</v>
      </c>
      <c r="AI27" s="28">
        <v>0</v>
      </c>
      <c r="AJ27" s="28">
        <v>0</v>
      </c>
      <c r="AK27" s="28">
        <v>0</v>
      </c>
      <c r="AL27" s="28">
        <v>0</v>
      </c>
      <c r="AM27" s="29">
        <f t="shared" si="37"/>
        <v>0</v>
      </c>
      <c r="AN27" s="29">
        <f t="shared" si="37"/>
        <v>0</v>
      </c>
      <c r="AO27" s="29">
        <f t="shared" si="38"/>
        <v>0</v>
      </c>
      <c r="AP27" s="29">
        <f t="shared" si="38"/>
        <v>0</v>
      </c>
      <c r="AQ27" s="29"/>
    </row>
    <row r="28" spans="2:43" x14ac:dyDescent="0.2">
      <c r="F28" s="25">
        <f>SUM(F23:F27)</f>
        <v>0</v>
      </c>
      <c r="G28" s="25">
        <f t="shared" ref="G28:H28" si="41">SUM(G23:G27)</f>
        <v>2709.5840000000003</v>
      </c>
      <c r="H28" s="25">
        <f t="shared" si="41"/>
        <v>12655.12</v>
      </c>
      <c r="I28" s="25">
        <f>SUM(I23:I27)</f>
        <v>0</v>
      </c>
      <c r="J28" s="25">
        <f>SUM(J23:J27)</f>
        <v>15364.704000000002</v>
      </c>
      <c r="K28" s="25">
        <f t="shared" ref="K28:L28" si="42">SUM(K23:K27)</f>
        <v>7389.74</v>
      </c>
      <c r="L28" s="25">
        <f t="shared" si="42"/>
        <v>22754.444</v>
      </c>
      <c r="M28" s="25">
        <f>SUM(M23:M27)</f>
        <v>14892.495000000001</v>
      </c>
      <c r="N28" s="25">
        <f>SUM(N23:N27)</f>
        <v>0</v>
      </c>
      <c r="O28" s="25">
        <f>SUM(O23:O27)</f>
        <v>14892.495000000001</v>
      </c>
      <c r="P28" s="25">
        <f>SUM(P23:P27)</f>
        <v>7050.1490000000003</v>
      </c>
      <c r="Q28" s="25">
        <f t="shared" ref="Q28" si="43">SUM(Q23:Q27)</f>
        <v>21942.644</v>
      </c>
      <c r="R28" s="25">
        <f>SUM(R23:R27)</f>
        <v>811.79899999999998</v>
      </c>
      <c r="S28" s="25">
        <f t="shared" ref="S28:X28" si="44">SUM(S23:S27)</f>
        <v>0</v>
      </c>
      <c r="T28" s="25">
        <f t="shared" si="44"/>
        <v>0</v>
      </c>
      <c r="U28" s="25">
        <f t="shared" si="44"/>
        <v>0</v>
      </c>
      <c r="V28" s="25">
        <f t="shared" si="44"/>
        <v>0</v>
      </c>
      <c r="W28" s="25">
        <f t="shared" si="44"/>
        <v>0</v>
      </c>
      <c r="X28" s="25">
        <f t="shared" si="44"/>
        <v>0</v>
      </c>
      <c r="Y28" s="25">
        <f t="shared" ref="Y28:AK28" si="45">SUM(Y23:Y27)</f>
        <v>339.59099999999995</v>
      </c>
      <c r="Z28" s="25">
        <f t="shared" si="45"/>
        <v>0</v>
      </c>
      <c r="AA28" s="25">
        <f t="shared" ref="AA28:AB28" si="46">SUM(AA23:AA27)</f>
        <v>339.59099999999995</v>
      </c>
      <c r="AB28" s="25">
        <f t="shared" si="46"/>
        <v>0</v>
      </c>
      <c r="AC28" s="25">
        <f t="shared" ref="AC28" si="47">SUM(AC23:AC27)</f>
        <v>0</v>
      </c>
      <c r="AD28" s="25">
        <f>SUM(AD23:AD27)</f>
        <v>1118.6423</v>
      </c>
      <c r="AE28" s="25">
        <f>SUM(AE23:AE27)</f>
        <v>0</v>
      </c>
      <c r="AF28" s="25">
        <f t="shared" si="45"/>
        <v>0</v>
      </c>
      <c r="AG28" s="25">
        <f t="shared" si="45"/>
        <v>339.6</v>
      </c>
      <c r="AH28" s="25">
        <f>SUM(AH23:AH27)</f>
        <v>339.59099999999995</v>
      </c>
      <c r="AI28" s="25">
        <f t="shared" si="45"/>
        <v>0</v>
      </c>
      <c r="AJ28" s="25">
        <f>SUM(AJ23:AJ27)</f>
        <v>0</v>
      </c>
      <c r="AK28" s="25">
        <f t="shared" si="45"/>
        <v>0</v>
      </c>
      <c r="AL28" s="25">
        <f t="shared" ref="AL28:AN28" si="48">SUM(AL23:AL27)</f>
        <v>0</v>
      </c>
      <c r="AM28" s="25">
        <f t="shared" si="48"/>
        <v>0</v>
      </c>
      <c r="AN28" s="25">
        <f t="shared" si="48"/>
        <v>0</v>
      </c>
      <c r="AO28" s="25">
        <f>SUM(AO23:AO27)</f>
        <v>339.6</v>
      </c>
      <c r="AP28" s="50">
        <f>SUM(AP23:AP27)</f>
        <v>339.59099999999995</v>
      </c>
      <c r="AQ28" s="50"/>
    </row>
    <row r="29" spans="2:43" x14ac:dyDescent="0.2"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50"/>
      <c r="AQ29" s="50"/>
    </row>
    <row r="30" spans="2:43" x14ac:dyDescent="0.2">
      <c r="B30" s="7">
        <v>2</v>
      </c>
      <c r="C30" s="20" t="s">
        <v>106</v>
      </c>
      <c r="D30" s="7">
        <v>1</v>
      </c>
      <c r="E30" s="61" t="s">
        <v>16</v>
      </c>
      <c r="F30" s="28">
        <v>0</v>
      </c>
      <c r="G30" s="24">
        <v>477.125</v>
      </c>
      <c r="H30" s="24">
        <v>0</v>
      </c>
      <c r="I30" s="24">
        <v>0</v>
      </c>
      <c r="J30" s="29">
        <f>F30+G30+H30+I30</f>
        <v>477.125</v>
      </c>
      <c r="K30" s="24">
        <v>2185.2399999999998</v>
      </c>
      <c r="L30" s="29">
        <f>J30+K30</f>
        <v>2662.3649999999998</v>
      </c>
      <c r="M30" s="24">
        <v>2042.355</v>
      </c>
      <c r="N30" s="24">
        <v>0</v>
      </c>
      <c r="O30" s="29">
        <f>M30+N30</f>
        <v>2042.355</v>
      </c>
      <c r="P30" s="24">
        <v>620.00900000000001</v>
      </c>
      <c r="Q30" s="29">
        <f>P30+O30</f>
        <v>2662.364</v>
      </c>
      <c r="R30" s="30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30">
        <v>0</v>
      </c>
      <c r="Z30" s="30">
        <v>0</v>
      </c>
      <c r="AA30" s="29">
        <f>AC30+AH30</f>
        <v>0</v>
      </c>
      <c r="AB30" s="29">
        <f>AE30+AN30</f>
        <v>0</v>
      </c>
      <c r="AC30" s="24">
        <v>0</v>
      </c>
      <c r="AD30" s="24">
        <v>0</v>
      </c>
      <c r="AE30" s="28">
        <v>0</v>
      </c>
      <c r="AF30" s="24">
        <v>0</v>
      </c>
      <c r="AG30" s="27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9">
        <f t="shared" ref="AM30:AN34" si="49">AI30+AK30</f>
        <v>0</v>
      </c>
      <c r="AN30" s="29">
        <f t="shared" si="49"/>
        <v>0</v>
      </c>
      <c r="AO30" s="29">
        <f t="shared" ref="AO30:AP34" si="50">AG30+AM30</f>
        <v>0</v>
      </c>
      <c r="AP30" s="29">
        <f t="shared" si="50"/>
        <v>0</v>
      </c>
      <c r="AQ30" s="29"/>
    </row>
    <row r="31" spans="2:43" x14ac:dyDescent="0.2">
      <c r="D31" s="7">
        <v>2</v>
      </c>
      <c r="E31" s="60" t="s">
        <v>17</v>
      </c>
      <c r="F31" s="28">
        <v>0</v>
      </c>
      <c r="G31" s="24">
        <v>587.69299999999998</v>
      </c>
      <c r="H31" s="24">
        <v>4303.24</v>
      </c>
      <c r="I31" s="24">
        <v>0</v>
      </c>
      <c r="J31" s="29">
        <f t="shared" ref="J31:J34" si="51">F31+G31+H31+I31</f>
        <v>4890.933</v>
      </c>
      <c r="K31" s="63">
        <v>359.67214999999999</v>
      </c>
      <c r="L31" s="29">
        <f>J31+K31</f>
        <v>5250.6051500000003</v>
      </c>
      <c r="M31" s="24">
        <v>3231.37</v>
      </c>
      <c r="N31" s="24">
        <v>0</v>
      </c>
      <c r="O31" s="29">
        <f t="shared" ref="O31:O34" si="52">M31+N31</f>
        <v>3231.37</v>
      </c>
      <c r="P31" s="24">
        <v>1844.24</v>
      </c>
      <c r="Q31" s="29">
        <f>P31+O31</f>
        <v>5075.6099999999997</v>
      </c>
      <c r="R31" s="62">
        <v>174.98501999999999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30">
        <v>38.698</v>
      </c>
      <c r="Z31" s="30">
        <v>0</v>
      </c>
      <c r="AA31" s="29">
        <f>AC31+AH31</f>
        <v>38.698</v>
      </c>
      <c r="AB31" s="29">
        <f>AE31+AN31</f>
        <v>0</v>
      </c>
      <c r="AC31" s="28">
        <v>0</v>
      </c>
      <c r="AD31" s="24">
        <v>0</v>
      </c>
      <c r="AE31" s="28">
        <v>0</v>
      </c>
      <c r="AF31" s="24">
        <v>0</v>
      </c>
      <c r="AG31" s="27">
        <v>0</v>
      </c>
      <c r="AH31" s="30">
        <v>38.698</v>
      </c>
      <c r="AI31" s="24">
        <v>0</v>
      </c>
      <c r="AJ31" s="24">
        <v>0</v>
      </c>
      <c r="AK31" s="24">
        <v>0</v>
      </c>
      <c r="AL31" s="24">
        <v>0</v>
      </c>
      <c r="AM31" s="29">
        <f t="shared" si="49"/>
        <v>0</v>
      </c>
      <c r="AN31" s="29">
        <f t="shared" si="49"/>
        <v>0</v>
      </c>
      <c r="AO31" s="29">
        <f t="shared" si="50"/>
        <v>0</v>
      </c>
      <c r="AP31" s="29">
        <f t="shared" si="50"/>
        <v>38.698</v>
      </c>
      <c r="AQ31" s="29"/>
    </row>
    <row r="32" spans="2:43" x14ac:dyDescent="0.2">
      <c r="D32" s="7">
        <v>3</v>
      </c>
      <c r="E32" s="61" t="s">
        <v>18</v>
      </c>
      <c r="F32" s="28">
        <v>0</v>
      </c>
      <c r="G32" s="24">
        <v>513.84699999999998</v>
      </c>
      <c r="H32" s="24">
        <v>3379.72</v>
      </c>
      <c r="I32" s="24">
        <v>0</v>
      </c>
      <c r="J32" s="29">
        <f t="shared" si="51"/>
        <v>3893.567</v>
      </c>
      <c r="K32" s="64">
        <v>472.30005</v>
      </c>
      <c r="L32" s="29">
        <f>J32+K32</f>
        <v>4365.8670499999998</v>
      </c>
      <c r="M32" s="64">
        <v>3132.8074000000001</v>
      </c>
      <c r="N32" s="24">
        <v>0</v>
      </c>
      <c r="O32" s="29">
        <f t="shared" si="52"/>
        <v>3132.8074000000001</v>
      </c>
      <c r="P32" s="64">
        <v>1233.0491999999999</v>
      </c>
      <c r="Q32" s="29">
        <f>P32+O32</f>
        <v>4365.8566000000001</v>
      </c>
      <c r="R32" s="65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30">
        <v>258.68799999999999</v>
      </c>
      <c r="Z32" s="30">
        <v>0</v>
      </c>
      <c r="AA32" s="29">
        <f>AC32+AH32</f>
        <v>258.68799999999999</v>
      </c>
      <c r="AB32" s="29">
        <f>AE32+AN32</f>
        <v>0</v>
      </c>
      <c r="AC32" s="28">
        <v>0</v>
      </c>
      <c r="AD32" s="64">
        <v>51.552734000000001</v>
      </c>
      <c r="AE32" s="28">
        <v>0</v>
      </c>
      <c r="AF32" s="24">
        <v>0</v>
      </c>
      <c r="AG32" s="66">
        <v>20.290770999999999</v>
      </c>
      <c r="AH32" s="30">
        <v>258.68799999999999</v>
      </c>
      <c r="AI32" s="24">
        <v>0</v>
      </c>
      <c r="AJ32" s="24">
        <v>0</v>
      </c>
      <c r="AK32" s="24">
        <v>0</v>
      </c>
      <c r="AL32" s="24">
        <v>0</v>
      </c>
      <c r="AM32" s="29">
        <f t="shared" si="49"/>
        <v>0</v>
      </c>
      <c r="AN32" s="29">
        <f t="shared" si="49"/>
        <v>0</v>
      </c>
      <c r="AO32" s="29">
        <f t="shared" si="50"/>
        <v>20.290770999999999</v>
      </c>
      <c r="AP32" s="29">
        <f t="shared" si="50"/>
        <v>258.68799999999999</v>
      </c>
      <c r="AQ32" s="29"/>
    </row>
    <row r="33" spans="2:43" x14ac:dyDescent="0.2">
      <c r="D33" s="7">
        <v>4</v>
      </c>
      <c r="E33" s="60" t="s">
        <v>19</v>
      </c>
      <c r="F33" s="28">
        <v>0</v>
      </c>
      <c r="G33" s="24">
        <v>713.66200000000003</v>
      </c>
      <c r="H33" s="24">
        <v>4351.47</v>
      </c>
      <c r="I33" s="24">
        <v>0</v>
      </c>
      <c r="J33" s="29">
        <f t="shared" si="51"/>
        <v>5065.1320000000005</v>
      </c>
      <c r="K33" s="63">
        <v>1315.5450000000001</v>
      </c>
      <c r="L33" s="29">
        <f>J33+K33</f>
        <v>6380.6770000000006</v>
      </c>
      <c r="M33" s="24">
        <v>3311.51</v>
      </c>
      <c r="N33" s="24">
        <v>0</v>
      </c>
      <c r="O33" s="29">
        <f t="shared" si="52"/>
        <v>3311.51</v>
      </c>
      <c r="P33" s="24">
        <v>2851.85</v>
      </c>
      <c r="Q33" s="29">
        <f>P33+O33</f>
        <v>6163.3600000000006</v>
      </c>
      <c r="R33" s="62">
        <v>217.30753999999999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30">
        <v>42.204999999999998</v>
      </c>
      <c r="Z33" s="30">
        <v>0</v>
      </c>
      <c r="AA33" s="29">
        <f>AC33+AH33</f>
        <v>42.204999999999998</v>
      </c>
      <c r="AB33" s="29">
        <f>AE33+AN33</f>
        <v>0</v>
      </c>
      <c r="AC33" s="28">
        <v>0</v>
      </c>
      <c r="AD33" s="24">
        <v>0</v>
      </c>
      <c r="AE33" s="28">
        <v>0</v>
      </c>
      <c r="AF33" s="24">
        <v>0</v>
      </c>
      <c r="AG33" s="27">
        <v>0</v>
      </c>
      <c r="AH33" s="30">
        <v>42.204999999999998</v>
      </c>
      <c r="AI33" s="24">
        <v>0</v>
      </c>
      <c r="AJ33" s="24">
        <v>0</v>
      </c>
      <c r="AK33" s="24">
        <v>0</v>
      </c>
      <c r="AL33" s="24">
        <v>0</v>
      </c>
      <c r="AM33" s="29">
        <f t="shared" si="49"/>
        <v>0</v>
      </c>
      <c r="AN33" s="29">
        <f t="shared" si="49"/>
        <v>0</v>
      </c>
      <c r="AO33" s="29">
        <f t="shared" si="50"/>
        <v>0</v>
      </c>
      <c r="AP33" s="29">
        <f t="shared" si="50"/>
        <v>42.204999999999998</v>
      </c>
      <c r="AQ33" s="29"/>
    </row>
    <row r="34" spans="2:43" x14ac:dyDescent="0.2">
      <c r="D34" s="7">
        <v>5</v>
      </c>
      <c r="E34" s="7" t="s">
        <v>20</v>
      </c>
      <c r="F34" s="28">
        <v>0</v>
      </c>
      <c r="G34" s="28">
        <v>417.25700000000001</v>
      </c>
      <c r="H34" s="28">
        <v>620.69000000000005</v>
      </c>
      <c r="I34" s="28">
        <v>0</v>
      </c>
      <c r="J34" s="29">
        <f t="shared" si="51"/>
        <v>1037.9470000000001</v>
      </c>
      <c r="K34" s="28">
        <v>2717.39</v>
      </c>
      <c r="L34" s="29">
        <f>J34+K34</f>
        <v>3755.337</v>
      </c>
      <c r="M34" s="28">
        <v>3122.9</v>
      </c>
      <c r="N34" s="28">
        <v>0</v>
      </c>
      <c r="O34" s="29">
        <f t="shared" si="52"/>
        <v>3122.9</v>
      </c>
      <c r="P34" s="28">
        <v>480.71</v>
      </c>
      <c r="Q34" s="29">
        <f>P34+O34</f>
        <v>3603.61</v>
      </c>
      <c r="R34" s="30">
        <v>151.72699999999986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30">
        <v>0</v>
      </c>
      <c r="Z34" s="30">
        <v>0</v>
      </c>
      <c r="AA34" s="29">
        <f>AC34+AH34</f>
        <v>0</v>
      </c>
      <c r="AB34" s="29">
        <f>AE34+AN34</f>
        <v>0</v>
      </c>
      <c r="AC34" s="28">
        <v>0</v>
      </c>
      <c r="AD34" s="24">
        <v>0</v>
      </c>
      <c r="AE34" s="28">
        <v>0</v>
      </c>
      <c r="AF34" s="24">
        <v>0</v>
      </c>
      <c r="AG34" s="27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9">
        <f t="shared" si="49"/>
        <v>0</v>
      </c>
      <c r="AN34" s="29">
        <f t="shared" si="49"/>
        <v>0</v>
      </c>
      <c r="AO34" s="29">
        <f t="shared" si="50"/>
        <v>0</v>
      </c>
      <c r="AP34" s="29">
        <f t="shared" si="50"/>
        <v>0</v>
      </c>
      <c r="AQ34" s="29"/>
    </row>
    <row r="35" spans="2:43" x14ac:dyDescent="0.2">
      <c r="F35" s="25">
        <f>SUM(F30:F34)</f>
        <v>0</v>
      </c>
      <c r="G35" s="25">
        <f t="shared" ref="G35:H35" si="53">SUM(G30:G34)</f>
        <v>2709.5840000000003</v>
      </c>
      <c r="H35" s="25">
        <f t="shared" si="53"/>
        <v>12655.12</v>
      </c>
      <c r="I35" s="25">
        <f>SUM(I30:I34)</f>
        <v>0</v>
      </c>
      <c r="J35" s="25">
        <f>SUM(J30:J34)</f>
        <v>15364.704000000002</v>
      </c>
      <c r="K35" s="25">
        <f t="shared" ref="K35:L35" si="54">SUM(K30:K34)</f>
        <v>7050.1471999999994</v>
      </c>
      <c r="L35" s="25">
        <f t="shared" si="54"/>
        <v>22414.851200000001</v>
      </c>
      <c r="M35" s="25">
        <f>SUM(M30:M34)</f>
        <v>14840.9424</v>
      </c>
      <c r="N35" s="25">
        <f>SUM(N30:N34)</f>
        <v>0</v>
      </c>
      <c r="O35" s="25">
        <f>SUM(O30:O34)</f>
        <v>14840.9424</v>
      </c>
      <c r="P35" s="25">
        <f>SUM(P30:P34)</f>
        <v>7029.8581999999997</v>
      </c>
      <c r="Q35" s="25">
        <f t="shared" ref="Q35" si="55">SUM(Q30:Q34)</f>
        <v>21870.800600000002</v>
      </c>
      <c r="R35" s="25">
        <f>SUM(R30:R34)</f>
        <v>544.01955999999984</v>
      </c>
      <c r="S35" s="25">
        <f t="shared" ref="S35:X35" si="56">SUM(S30:S34)</f>
        <v>0</v>
      </c>
      <c r="T35" s="25">
        <f t="shared" si="56"/>
        <v>0</v>
      </c>
      <c r="U35" s="25">
        <f t="shared" si="56"/>
        <v>0</v>
      </c>
      <c r="V35" s="25">
        <f t="shared" si="56"/>
        <v>0</v>
      </c>
      <c r="W35" s="25">
        <f t="shared" si="56"/>
        <v>0</v>
      </c>
      <c r="X35" s="25">
        <f t="shared" si="56"/>
        <v>0</v>
      </c>
      <c r="Y35" s="25">
        <f t="shared" ref="Y35:AK35" si="57">SUM(Y30:Y34)</f>
        <v>339.59099999999995</v>
      </c>
      <c r="Z35" s="25">
        <f t="shared" si="57"/>
        <v>0</v>
      </c>
      <c r="AA35" s="25">
        <f t="shared" ref="AA35:AB35" si="58">SUM(AA30:AA34)</f>
        <v>339.59099999999995</v>
      </c>
      <c r="AB35" s="25">
        <f t="shared" si="58"/>
        <v>0</v>
      </c>
      <c r="AC35" s="25">
        <f t="shared" ref="AC35" si="59">SUM(AC30:AC34)</f>
        <v>0</v>
      </c>
      <c r="AD35" s="25">
        <f>SUM(AD30:AD34)</f>
        <v>51.552734000000001</v>
      </c>
      <c r="AE35" s="25">
        <f>SUM(AE30:AE34)</f>
        <v>0</v>
      </c>
      <c r="AF35" s="25">
        <f t="shared" si="57"/>
        <v>0</v>
      </c>
      <c r="AG35" s="25">
        <f t="shared" si="57"/>
        <v>20.290770999999999</v>
      </c>
      <c r="AH35" s="25">
        <f>SUM(AH30:AH34)</f>
        <v>339.59099999999995</v>
      </c>
      <c r="AI35" s="25">
        <f t="shared" si="57"/>
        <v>0</v>
      </c>
      <c r="AJ35" s="25">
        <f>SUM(AJ30:AJ34)</f>
        <v>0</v>
      </c>
      <c r="AK35" s="25">
        <f t="shared" si="57"/>
        <v>0</v>
      </c>
      <c r="AL35" s="25">
        <f t="shared" ref="AL35:AN35" si="60">SUM(AL30:AL34)</f>
        <v>0</v>
      </c>
      <c r="AM35" s="25">
        <f t="shared" si="60"/>
        <v>0</v>
      </c>
      <c r="AN35" s="25">
        <f t="shared" si="60"/>
        <v>0</v>
      </c>
      <c r="AO35" s="25">
        <f>SUM(AO30:AO34)</f>
        <v>20.290770999999999</v>
      </c>
      <c r="AP35" s="50">
        <f>SUM(AP30:AP34)</f>
        <v>339.59099999999995</v>
      </c>
      <c r="AQ35" s="50"/>
    </row>
    <row r="37" spans="2:43" x14ac:dyDescent="0.2">
      <c r="B37" s="7">
        <v>3</v>
      </c>
      <c r="C37" s="20" t="s">
        <v>105</v>
      </c>
      <c r="D37" s="7">
        <v>1</v>
      </c>
      <c r="E37" s="61" t="s">
        <v>16</v>
      </c>
      <c r="F37" s="28">
        <v>0</v>
      </c>
      <c r="G37" s="24">
        <v>477.125</v>
      </c>
      <c r="H37" s="24">
        <v>0</v>
      </c>
      <c r="I37" s="24">
        <v>0</v>
      </c>
      <c r="J37" s="29">
        <f>F37+G37+H37+I37</f>
        <v>477.125</v>
      </c>
      <c r="K37" s="24">
        <v>2185.2399999999998</v>
      </c>
      <c r="L37" s="29">
        <f>J37+K37</f>
        <v>2662.3649999999998</v>
      </c>
      <c r="M37" s="24">
        <v>2042.355</v>
      </c>
      <c r="N37" s="24">
        <v>0</v>
      </c>
      <c r="O37" s="29">
        <f>M37+N37</f>
        <v>2042.355</v>
      </c>
      <c r="P37" s="24">
        <v>620.00900000000001</v>
      </c>
      <c r="Q37" s="29">
        <f>P37+O37</f>
        <v>2662.364</v>
      </c>
      <c r="R37" s="30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30">
        <v>0</v>
      </c>
      <c r="AA37" s="29">
        <f>AC37+AH37</f>
        <v>0</v>
      </c>
      <c r="AB37" s="29">
        <f>AE37+AN37</f>
        <v>0</v>
      </c>
      <c r="AC37" s="24">
        <v>0</v>
      </c>
      <c r="AD37" s="24">
        <v>0</v>
      </c>
      <c r="AE37" s="28">
        <v>0</v>
      </c>
      <c r="AF37" s="24">
        <v>0</v>
      </c>
      <c r="AG37" s="27">
        <v>0</v>
      </c>
      <c r="AH37" s="28">
        <v>0</v>
      </c>
      <c r="AI37" s="24">
        <v>0</v>
      </c>
      <c r="AJ37" s="24">
        <v>0</v>
      </c>
      <c r="AK37" s="24">
        <v>0</v>
      </c>
      <c r="AL37" s="24">
        <v>0</v>
      </c>
      <c r="AM37" s="29">
        <f t="shared" ref="AM37:AN41" si="61">AI37+AK37</f>
        <v>0</v>
      </c>
      <c r="AN37" s="29">
        <f t="shared" si="61"/>
        <v>0</v>
      </c>
      <c r="AO37" s="29">
        <f t="shared" ref="AO37:AP41" si="62">AG37+AM37</f>
        <v>0</v>
      </c>
      <c r="AP37" s="29">
        <f t="shared" si="62"/>
        <v>0</v>
      </c>
      <c r="AQ37" s="29"/>
    </row>
    <row r="38" spans="2:43" x14ac:dyDescent="0.2">
      <c r="D38" s="7">
        <v>2</v>
      </c>
      <c r="E38" s="60" t="s">
        <v>17</v>
      </c>
      <c r="F38" s="28">
        <v>0</v>
      </c>
      <c r="G38" s="24">
        <v>587.69299999999998</v>
      </c>
      <c r="H38" s="24">
        <v>4303.24</v>
      </c>
      <c r="I38" s="24">
        <v>0</v>
      </c>
      <c r="J38" s="29">
        <f t="shared" ref="J38:J41" si="63">F38+G38+H38+I38</f>
        <v>4890.933</v>
      </c>
      <c r="K38" s="24">
        <v>359.67214999999999</v>
      </c>
      <c r="L38" s="29">
        <f>J38+K38</f>
        <v>5250.6051500000003</v>
      </c>
      <c r="M38" s="24">
        <v>3231.37</v>
      </c>
      <c r="N38" s="24">
        <v>0</v>
      </c>
      <c r="O38" s="29">
        <f t="shared" ref="O38:O41" si="64">M38+N38</f>
        <v>3231.37</v>
      </c>
      <c r="P38" s="24">
        <v>1844.24</v>
      </c>
      <c r="Q38" s="29">
        <f>P38+O38</f>
        <v>5075.6099999999997</v>
      </c>
      <c r="R38" s="30">
        <v>174.98501999999999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63">
        <v>4.6790500000000002</v>
      </c>
      <c r="Z38" s="30">
        <v>0</v>
      </c>
      <c r="AA38" s="95">
        <f>AC38+AH38</f>
        <v>4.6790500000000002</v>
      </c>
      <c r="AB38" s="29">
        <f>AE38+AN38</f>
        <v>0</v>
      </c>
      <c r="AC38" s="28">
        <v>0</v>
      </c>
      <c r="AD38" s="24">
        <v>0</v>
      </c>
      <c r="AE38" s="28">
        <v>0</v>
      </c>
      <c r="AF38" s="24">
        <v>0</v>
      </c>
      <c r="AG38" s="27">
        <v>0</v>
      </c>
      <c r="AH38" s="63">
        <v>4.6790500000000002</v>
      </c>
      <c r="AI38" s="24">
        <v>0</v>
      </c>
      <c r="AJ38" s="24">
        <v>0</v>
      </c>
      <c r="AK38" s="24">
        <v>0</v>
      </c>
      <c r="AL38" s="24">
        <v>0</v>
      </c>
      <c r="AM38" s="29">
        <f t="shared" si="61"/>
        <v>0</v>
      </c>
      <c r="AN38" s="29">
        <f t="shared" si="61"/>
        <v>0</v>
      </c>
      <c r="AO38" s="29">
        <f t="shared" si="62"/>
        <v>0</v>
      </c>
      <c r="AP38" s="29">
        <f t="shared" si="62"/>
        <v>4.6790500000000002</v>
      </c>
      <c r="AQ38" s="29"/>
    </row>
    <row r="39" spans="2:43" x14ac:dyDescent="0.2">
      <c r="D39" s="7">
        <v>3</v>
      </c>
      <c r="E39" s="61" t="s">
        <v>18</v>
      </c>
      <c r="F39" s="28">
        <v>0</v>
      </c>
      <c r="G39" s="24">
        <v>513.84699999999998</v>
      </c>
      <c r="H39" s="24">
        <v>3379.72</v>
      </c>
      <c r="I39" s="24">
        <v>0</v>
      </c>
      <c r="J39" s="29">
        <f t="shared" si="63"/>
        <v>3893.567</v>
      </c>
      <c r="K39" s="24">
        <v>472.30005</v>
      </c>
      <c r="L39" s="29">
        <f>J39+K39</f>
        <v>4365.8670499999998</v>
      </c>
      <c r="M39" s="24">
        <v>3132.8074000000001</v>
      </c>
      <c r="N39" s="24">
        <v>0</v>
      </c>
      <c r="O39" s="29">
        <f t="shared" si="64"/>
        <v>3132.8074000000001</v>
      </c>
      <c r="P39" s="24">
        <v>1233.0491999999999</v>
      </c>
      <c r="Q39" s="29">
        <f>P39+O39</f>
        <v>4365.8566000000001</v>
      </c>
      <c r="R39" s="30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30">
        <v>0</v>
      </c>
      <c r="AA39" s="29">
        <f>AC39+AH39</f>
        <v>0</v>
      </c>
      <c r="AB39" s="29">
        <f>AE39+AN39</f>
        <v>0</v>
      </c>
      <c r="AC39" s="28">
        <v>0</v>
      </c>
      <c r="AD39" s="24">
        <v>51.552734000000001</v>
      </c>
      <c r="AE39" s="28">
        <v>0</v>
      </c>
      <c r="AF39" s="24">
        <v>0</v>
      </c>
      <c r="AG39" s="27">
        <v>20.290770999999999</v>
      </c>
      <c r="AH39" s="28">
        <v>0</v>
      </c>
      <c r="AI39" s="24">
        <v>0</v>
      </c>
      <c r="AJ39" s="24">
        <v>0</v>
      </c>
      <c r="AK39" s="24">
        <v>0</v>
      </c>
      <c r="AL39" s="24">
        <v>0</v>
      </c>
      <c r="AM39" s="29">
        <f t="shared" si="61"/>
        <v>0</v>
      </c>
      <c r="AN39" s="29">
        <f t="shared" si="61"/>
        <v>0</v>
      </c>
      <c r="AO39" s="29">
        <f t="shared" si="62"/>
        <v>20.290770999999999</v>
      </c>
      <c r="AP39" s="29">
        <f t="shared" si="62"/>
        <v>0</v>
      </c>
      <c r="AQ39" s="29"/>
    </row>
    <row r="40" spans="2:43" x14ac:dyDescent="0.2">
      <c r="D40" s="7">
        <v>4</v>
      </c>
      <c r="E40" s="60" t="s">
        <v>19</v>
      </c>
      <c r="F40" s="28">
        <v>0</v>
      </c>
      <c r="G40" s="24">
        <v>713.66200000000003</v>
      </c>
      <c r="H40" s="24">
        <v>4351.47</v>
      </c>
      <c r="I40" s="24">
        <v>0</v>
      </c>
      <c r="J40" s="29">
        <f t="shared" si="63"/>
        <v>5065.1320000000005</v>
      </c>
      <c r="K40" s="24">
        <v>1315.5450000000001</v>
      </c>
      <c r="L40" s="29">
        <f>J40+K40</f>
        <v>6380.6770000000006</v>
      </c>
      <c r="M40" s="24">
        <v>3311.51</v>
      </c>
      <c r="N40" s="24">
        <v>0</v>
      </c>
      <c r="O40" s="29">
        <f t="shared" si="64"/>
        <v>3311.51</v>
      </c>
      <c r="P40" s="24">
        <v>2851.85</v>
      </c>
      <c r="Q40" s="29">
        <f>P40+O40</f>
        <v>6163.3600000000006</v>
      </c>
      <c r="R40" s="30">
        <v>217.30753999999999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63">
        <v>15.611700000000001</v>
      </c>
      <c r="Z40" s="30">
        <v>0</v>
      </c>
      <c r="AA40" s="95">
        <f>AC40+AH40</f>
        <v>15.611700000000001</v>
      </c>
      <c r="AB40" s="29">
        <f>AE40+AN40</f>
        <v>0</v>
      </c>
      <c r="AC40" s="28">
        <v>0</v>
      </c>
      <c r="AD40" s="24">
        <v>0</v>
      </c>
      <c r="AE40" s="28">
        <v>0</v>
      </c>
      <c r="AF40" s="24">
        <v>0</v>
      </c>
      <c r="AG40" s="27">
        <v>0</v>
      </c>
      <c r="AH40" s="63">
        <v>15.611700000000001</v>
      </c>
      <c r="AI40" s="24">
        <v>0</v>
      </c>
      <c r="AJ40" s="24">
        <v>0</v>
      </c>
      <c r="AK40" s="24">
        <v>0</v>
      </c>
      <c r="AL40" s="24">
        <v>0</v>
      </c>
      <c r="AM40" s="29">
        <f t="shared" si="61"/>
        <v>0</v>
      </c>
      <c r="AN40" s="29">
        <f t="shared" si="61"/>
        <v>0</v>
      </c>
      <c r="AO40" s="29">
        <f t="shared" si="62"/>
        <v>0</v>
      </c>
      <c r="AP40" s="29">
        <f t="shared" si="62"/>
        <v>15.611700000000001</v>
      </c>
      <c r="AQ40" s="29"/>
    </row>
    <row r="41" spans="2:43" x14ac:dyDescent="0.2">
      <c r="D41" s="7">
        <v>5</v>
      </c>
      <c r="E41" s="7" t="s">
        <v>20</v>
      </c>
      <c r="F41" s="28">
        <v>0</v>
      </c>
      <c r="G41" s="28">
        <v>417.25700000000001</v>
      </c>
      <c r="H41" s="24">
        <v>620.69000000000005</v>
      </c>
      <c r="I41" s="24">
        <v>0</v>
      </c>
      <c r="J41" s="29">
        <f t="shared" si="63"/>
        <v>1037.9470000000001</v>
      </c>
      <c r="K41" s="24">
        <v>2717.39</v>
      </c>
      <c r="L41" s="29">
        <f>J41+K41</f>
        <v>3755.337</v>
      </c>
      <c r="M41" s="24">
        <v>3122.9</v>
      </c>
      <c r="N41" s="24">
        <v>0</v>
      </c>
      <c r="O41" s="29">
        <f t="shared" si="64"/>
        <v>3122.9</v>
      </c>
      <c r="P41" s="24">
        <v>480.71</v>
      </c>
      <c r="Q41" s="29">
        <f>P41+O41</f>
        <v>3603.61</v>
      </c>
      <c r="R41" s="30">
        <v>151.72699999999986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30">
        <v>0</v>
      </c>
      <c r="AA41" s="29">
        <f>AC41+AH41</f>
        <v>0</v>
      </c>
      <c r="AB41" s="29">
        <f>AE41+AN41</f>
        <v>0</v>
      </c>
      <c r="AC41" s="28">
        <v>0</v>
      </c>
      <c r="AD41" s="24">
        <v>0</v>
      </c>
      <c r="AE41" s="28">
        <v>0</v>
      </c>
      <c r="AF41" s="24">
        <v>0</v>
      </c>
      <c r="AG41" s="27">
        <v>0</v>
      </c>
      <c r="AH41" s="28">
        <v>0</v>
      </c>
      <c r="AI41" s="24">
        <v>0</v>
      </c>
      <c r="AJ41" s="24">
        <v>0</v>
      </c>
      <c r="AK41" s="24">
        <v>0</v>
      </c>
      <c r="AL41" s="24">
        <v>0</v>
      </c>
      <c r="AM41" s="29">
        <f t="shared" si="61"/>
        <v>0</v>
      </c>
      <c r="AN41" s="29">
        <f t="shared" si="61"/>
        <v>0</v>
      </c>
      <c r="AO41" s="29">
        <f t="shared" si="62"/>
        <v>0</v>
      </c>
      <c r="AP41" s="29">
        <f t="shared" si="62"/>
        <v>0</v>
      </c>
      <c r="AQ41" s="29"/>
    </row>
    <row r="42" spans="2:43" x14ac:dyDescent="0.2">
      <c r="F42" s="25">
        <f>SUM(F37:F41)</f>
        <v>0</v>
      </c>
      <c r="G42" s="25">
        <f t="shared" ref="G42:H42" si="65">SUM(G37:G41)</f>
        <v>2709.5840000000003</v>
      </c>
      <c r="H42" s="25">
        <f t="shared" si="65"/>
        <v>12655.12</v>
      </c>
      <c r="I42" s="25">
        <f>SUM(I37:I41)</f>
        <v>0</v>
      </c>
      <c r="J42" s="25">
        <f>SUM(J37:J41)</f>
        <v>15364.704000000002</v>
      </c>
      <c r="K42" s="25">
        <f t="shared" ref="K42:L42" si="66">SUM(K37:K41)</f>
        <v>7050.1471999999994</v>
      </c>
      <c r="L42" s="25">
        <f t="shared" si="66"/>
        <v>22414.851200000001</v>
      </c>
      <c r="M42" s="25">
        <f>SUM(M37:M41)</f>
        <v>14840.9424</v>
      </c>
      <c r="N42" s="25">
        <f>SUM(N37:N41)</f>
        <v>0</v>
      </c>
      <c r="O42" s="25">
        <f>SUM(O37:O41)</f>
        <v>14840.9424</v>
      </c>
      <c r="P42" s="25">
        <f>SUM(P37:P41)</f>
        <v>7029.8581999999997</v>
      </c>
      <c r="Q42" s="25">
        <f t="shared" ref="Q42" si="67">SUM(Q37:Q41)</f>
        <v>21870.800600000002</v>
      </c>
      <c r="R42" s="25">
        <f>SUM(R37:R41)</f>
        <v>544.01955999999984</v>
      </c>
      <c r="S42" s="25">
        <f t="shared" ref="S42:X42" si="68">SUM(S37:S41)</f>
        <v>0</v>
      </c>
      <c r="T42" s="25">
        <f t="shared" si="68"/>
        <v>0</v>
      </c>
      <c r="U42" s="25">
        <f t="shared" si="68"/>
        <v>0</v>
      </c>
      <c r="V42" s="25">
        <f t="shared" si="68"/>
        <v>0</v>
      </c>
      <c r="W42" s="25">
        <f t="shared" si="68"/>
        <v>0</v>
      </c>
      <c r="X42" s="25">
        <f t="shared" si="68"/>
        <v>0</v>
      </c>
      <c r="Y42" s="25">
        <f t="shared" ref="Y42:AK42" si="69">SUM(Y37:Y41)</f>
        <v>20.290750000000003</v>
      </c>
      <c r="Z42" s="25">
        <f t="shared" si="69"/>
        <v>0</v>
      </c>
      <c r="AA42" s="25">
        <f t="shared" ref="AA42:AB42" si="70">SUM(AA37:AA41)</f>
        <v>20.290750000000003</v>
      </c>
      <c r="AB42" s="25">
        <f t="shared" si="70"/>
        <v>0</v>
      </c>
      <c r="AC42" s="25">
        <f t="shared" ref="AC42" si="71">SUM(AC37:AC41)</f>
        <v>0</v>
      </c>
      <c r="AD42" s="25">
        <f>SUM(AD37:AD41)</f>
        <v>51.552734000000001</v>
      </c>
      <c r="AE42" s="25">
        <f>SUM(AE37:AE41)</f>
        <v>0</v>
      </c>
      <c r="AF42" s="25">
        <f t="shared" si="69"/>
        <v>0</v>
      </c>
      <c r="AG42" s="25">
        <f t="shared" si="69"/>
        <v>20.290770999999999</v>
      </c>
      <c r="AH42" s="25">
        <f>SUM(AH37:AH41)</f>
        <v>20.290750000000003</v>
      </c>
      <c r="AI42" s="25">
        <f t="shared" si="69"/>
        <v>0</v>
      </c>
      <c r="AJ42" s="25">
        <f>SUM(AJ37:AJ41)</f>
        <v>0</v>
      </c>
      <c r="AK42" s="25">
        <f t="shared" si="69"/>
        <v>0</v>
      </c>
      <c r="AL42" s="25">
        <f t="shared" ref="AL42:AN42" si="72">SUM(AL37:AL41)</f>
        <v>0</v>
      </c>
      <c r="AM42" s="25">
        <f t="shared" si="72"/>
        <v>0</v>
      </c>
      <c r="AN42" s="25">
        <f t="shared" si="72"/>
        <v>0</v>
      </c>
      <c r="AO42" s="25">
        <f>SUM(AO37:AO41)</f>
        <v>20.290770999999999</v>
      </c>
      <c r="AP42" s="50">
        <f>SUM(AP37:AP41)</f>
        <v>20.290750000000003</v>
      </c>
      <c r="AQ42" s="50"/>
    </row>
    <row r="43" spans="2:43" x14ac:dyDescent="0.2"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50"/>
      <c r="AQ43" s="50"/>
    </row>
    <row r="44" spans="2:43" x14ac:dyDescent="0.2">
      <c r="B44" s="7">
        <v>3</v>
      </c>
      <c r="C44" s="20" t="s">
        <v>106</v>
      </c>
      <c r="D44" s="7">
        <v>1</v>
      </c>
      <c r="E44" s="61" t="s">
        <v>16</v>
      </c>
      <c r="F44" s="28">
        <v>0</v>
      </c>
      <c r="G44" s="24">
        <v>477.125</v>
      </c>
      <c r="H44" s="24">
        <v>0</v>
      </c>
      <c r="I44" s="24">
        <v>0</v>
      </c>
      <c r="J44" s="29">
        <f>F44+G44+H44+I44</f>
        <v>477.125</v>
      </c>
      <c r="K44" s="24">
        <v>2185.2399999999998</v>
      </c>
      <c r="L44" s="29">
        <f>J44+K44</f>
        <v>2662.3649999999998</v>
      </c>
      <c r="M44" s="24">
        <v>2042.355</v>
      </c>
      <c r="N44" s="24">
        <v>0</v>
      </c>
      <c r="O44" s="29">
        <f>M44+N44</f>
        <v>2042.355</v>
      </c>
      <c r="P44" s="24">
        <v>620.00900000000001</v>
      </c>
      <c r="Q44" s="29">
        <f>P44+O44</f>
        <v>2662.364</v>
      </c>
      <c r="R44" s="30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4">
        <v>0</v>
      </c>
      <c r="Z44" s="30">
        <v>0</v>
      </c>
      <c r="AA44" s="29">
        <f>AC44+AH44</f>
        <v>0</v>
      </c>
      <c r="AB44" s="29">
        <f>AE44+AN44</f>
        <v>0</v>
      </c>
      <c r="AC44" s="24">
        <v>0</v>
      </c>
      <c r="AD44" s="24">
        <v>0</v>
      </c>
      <c r="AE44" s="28">
        <v>0</v>
      </c>
      <c r="AF44" s="24">
        <v>0</v>
      </c>
      <c r="AG44" s="27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9">
        <f t="shared" ref="AM44:AN48" si="73">AI44+AK44</f>
        <v>0</v>
      </c>
      <c r="AN44" s="29">
        <f t="shared" si="73"/>
        <v>0</v>
      </c>
      <c r="AO44" s="29">
        <f t="shared" ref="AO44:AP48" si="74">AG44+AM44</f>
        <v>0</v>
      </c>
      <c r="AP44" s="29">
        <f t="shared" si="74"/>
        <v>0</v>
      </c>
      <c r="AQ44" s="29"/>
    </row>
    <row r="45" spans="2:43" x14ac:dyDescent="0.2">
      <c r="D45" s="7">
        <v>2</v>
      </c>
      <c r="E45" s="60" t="s">
        <v>17</v>
      </c>
      <c r="F45" s="28">
        <v>0</v>
      </c>
      <c r="G45" s="24">
        <v>587.69299999999998</v>
      </c>
      <c r="H45" s="24">
        <v>4303.24</v>
      </c>
      <c r="I45" s="24">
        <v>0</v>
      </c>
      <c r="J45" s="29">
        <f t="shared" ref="J45:J48" si="75">F45+G45+H45+I45</f>
        <v>4890.933</v>
      </c>
      <c r="K45" s="63">
        <v>354.99310000000003</v>
      </c>
      <c r="L45" s="29">
        <f>J45+K45</f>
        <v>5245.9260999999997</v>
      </c>
      <c r="M45" s="24">
        <v>3231.37</v>
      </c>
      <c r="N45" s="24">
        <v>0</v>
      </c>
      <c r="O45" s="29">
        <f t="shared" ref="O45:O48" si="76">M45+N45</f>
        <v>3231.37</v>
      </c>
      <c r="P45" s="24">
        <v>1844.24</v>
      </c>
      <c r="Q45" s="29">
        <f>P45+O45</f>
        <v>5075.6099999999997</v>
      </c>
      <c r="R45" s="62">
        <v>170.30597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4">
        <v>4.6790500000000002</v>
      </c>
      <c r="Z45" s="30">
        <v>0</v>
      </c>
      <c r="AA45" s="29">
        <f>AC45+AH45</f>
        <v>0</v>
      </c>
      <c r="AB45" s="29">
        <f>AE45+AN45</f>
        <v>0</v>
      </c>
      <c r="AC45" s="28">
        <v>0</v>
      </c>
      <c r="AD45" s="24">
        <v>0</v>
      </c>
      <c r="AE45" s="28">
        <v>0</v>
      </c>
      <c r="AF45" s="24">
        <v>0</v>
      </c>
      <c r="AG45" s="27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9">
        <f t="shared" si="73"/>
        <v>0</v>
      </c>
      <c r="AN45" s="29">
        <f t="shared" si="73"/>
        <v>0</v>
      </c>
      <c r="AO45" s="29">
        <f t="shared" si="74"/>
        <v>0</v>
      </c>
      <c r="AP45" s="29">
        <f t="shared" si="74"/>
        <v>0</v>
      </c>
      <c r="AQ45" s="29"/>
    </row>
    <row r="46" spans="2:43" x14ac:dyDescent="0.2">
      <c r="D46" s="7">
        <v>3</v>
      </c>
      <c r="E46" s="61" t="s">
        <v>18</v>
      </c>
      <c r="F46" s="28">
        <v>0</v>
      </c>
      <c r="G46" s="24">
        <v>513.84699999999998</v>
      </c>
      <c r="H46" s="24">
        <v>3379.72</v>
      </c>
      <c r="I46" s="24">
        <v>0</v>
      </c>
      <c r="J46" s="29">
        <f t="shared" si="75"/>
        <v>3893.567</v>
      </c>
      <c r="K46" s="24">
        <v>472.30005</v>
      </c>
      <c r="L46" s="29">
        <f>J46+K46</f>
        <v>4365.8670499999998</v>
      </c>
      <c r="M46" s="24">
        <v>3132.8074000000001</v>
      </c>
      <c r="N46" s="24">
        <v>0</v>
      </c>
      <c r="O46" s="29">
        <f t="shared" si="76"/>
        <v>3132.8074000000001</v>
      </c>
      <c r="P46" s="24">
        <v>1233.0491999999999</v>
      </c>
      <c r="Q46" s="29">
        <f>P46+O46</f>
        <v>4365.8566000000001</v>
      </c>
      <c r="R46" s="30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4">
        <v>0</v>
      </c>
      <c r="Z46" s="30">
        <v>0</v>
      </c>
      <c r="AA46" s="29">
        <f>AC46+AH46</f>
        <v>0</v>
      </c>
      <c r="AB46" s="29">
        <f>AE46+AN46</f>
        <v>0</v>
      </c>
      <c r="AC46" s="28">
        <v>0</v>
      </c>
      <c r="AD46" s="24">
        <v>0</v>
      </c>
      <c r="AE46" s="28">
        <v>0</v>
      </c>
      <c r="AF46" s="24">
        <v>0</v>
      </c>
      <c r="AG46" s="27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9">
        <f t="shared" si="73"/>
        <v>0</v>
      </c>
      <c r="AN46" s="29">
        <f t="shared" si="73"/>
        <v>0</v>
      </c>
      <c r="AO46" s="29">
        <f t="shared" si="74"/>
        <v>0</v>
      </c>
      <c r="AP46" s="29">
        <f t="shared" si="74"/>
        <v>0</v>
      </c>
      <c r="AQ46" s="29"/>
    </row>
    <row r="47" spans="2:43" x14ac:dyDescent="0.2">
      <c r="D47" s="7">
        <v>4</v>
      </c>
      <c r="E47" s="60" t="s">
        <v>19</v>
      </c>
      <c r="F47" s="28">
        <v>0</v>
      </c>
      <c r="G47" s="24">
        <v>713.66200000000003</v>
      </c>
      <c r="H47" s="24">
        <v>4351.47</v>
      </c>
      <c r="I47" s="24">
        <v>0</v>
      </c>
      <c r="J47" s="29">
        <f t="shared" si="75"/>
        <v>5065.1320000000005</v>
      </c>
      <c r="K47" s="63">
        <v>1299.9332999999999</v>
      </c>
      <c r="L47" s="29">
        <f>J47+K47</f>
        <v>6365.0653000000002</v>
      </c>
      <c r="M47" s="24">
        <v>3311.51</v>
      </c>
      <c r="N47" s="24">
        <v>0</v>
      </c>
      <c r="O47" s="29">
        <f t="shared" si="76"/>
        <v>3311.51</v>
      </c>
      <c r="P47" s="24">
        <v>2851.85</v>
      </c>
      <c r="Q47" s="29">
        <f>P47+O47</f>
        <v>6163.3600000000006</v>
      </c>
      <c r="R47" s="62">
        <v>201.69582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4">
        <v>15.611700000000001</v>
      </c>
      <c r="Z47" s="30">
        <v>0</v>
      </c>
      <c r="AA47" s="29">
        <f>AC47+AH47</f>
        <v>0</v>
      </c>
      <c r="AB47" s="29">
        <f>AE47+AN47</f>
        <v>0</v>
      </c>
      <c r="AC47" s="28">
        <v>0</v>
      </c>
      <c r="AD47" s="24">
        <v>0</v>
      </c>
      <c r="AE47" s="28">
        <v>0</v>
      </c>
      <c r="AF47" s="24">
        <v>0</v>
      </c>
      <c r="AG47" s="27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9">
        <f t="shared" si="73"/>
        <v>0</v>
      </c>
      <c r="AN47" s="29">
        <f t="shared" si="73"/>
        <v>0</v>
      </c>
      <c r="AO47" s="29">
        <f t="shared" si="74"/>
        <v>0</v>
      </c>
      <c r="AP47" s="29">
        <f t="shared" si="74"/>
        <v>0</v>
      </c>
      <c r="AQ47" s="29"/>
    </row>
    <row r="48" spans="2:43" x14ac:dyDescent="0.2">
      <c r="D48" s="7">
        <v>5</v>
      </c>
      <c r="E48" s="7" t="s">
        <v>20</v>
      </c>
      <c r="F48" s="28">
        <v>0</v>
      </c>
      <c r="G48" s="28">
        <v>417.25700000000001</v>
      </c>
      <c r="H48" s="28">
        <v>620.69000000000005</v>
      </c>
      <c r="I48" s="28">
        <v>0</v>
      </c>
      <c r="J48" s="29">
        <f t="shared" si="75"/>
        <v>1037.9470000000001</v>
      </c>
      <c r="K48" s="24">
        <v>2717.39</v>
      </c>
      <c r="L48" s="29">
        <f>J48+K48</f>
        <v>3755.337</v>
      </c>
      <c r="M48" s="24">
        <v>3122.9</v>
      </c>
      <c r="N48" s="24">
        <v>0</v>
      </c>
      <c r="O48" s="29">
        <f t="shared" si="76"/>
        <v>3122.9</v>
      </c>
      <c r="P48" s="24">
        <v>480.71</v>
      </c>
      <c r="Q48" s="29">
        <f>P48+O48</f>
        <v>3603.61</v>
      </c>
      <c r="R48" s="30">
        <v>151.72699999999986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4">
        <v>0</v>
      </c>
      <c r="Z48" s="30">
        <v>0</v>
      </c>
      <c r="AA48" s="29">
        <f>AC48+AH48</f>
        <v>0</v>
      </c>
      <c r="AB48" s="29">
        <f>AE48+AN48</f>
        <v>0</v>
      </c>
      <c r="AC48" s="28">
        <v>0</v>
      </c>
      <c r="AD48" s="24">
        <v>0</v>
      </c>
      <c r="AE48" s="28">
        <v>0</v>
      </c>
      <c r="AF48" s="24">
        <v>0</v>
      </c>
      <c r="AG48" s="27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9">
        <f t="shared" si="73"/>
        <v>0</v>
      </c>
      <c r="AN48" s="29">
        <f t="shared" si="73"/>
        <v>0</v>
      </c>
      <c r="AO48" s="29">
        <f t="shared" si="74"/>
        <v>0</v>
      </c>
      <c r="AP48" s="29">
        <f t="shared" si="74"/>
        <v>0</v>
      </c>
      <c r="AQ48" s="29"/>
    </row>
    <row r="49" spans="1:43" x14ac:dyDescent="0.2">
      <c r="F49" s="25">
        <f>SUM(F44:F48)</f>
        <v>0</v>
      </c>
      <c r="G49" s="25">
        <f t="shared" ref="G49:H49" si="77">SUM(G44:G48)</f>
        <v>2709.5840000000003</v>
      </c>
      <c r="H49" s="25">
        <f t="shared" si="77"/>
        <v>12655.12</v>
      </c>
      <c r="I49" s="25">
        <f>SUM(I44:I48)</f>
        <v>0</v>
      </c>
      <c r="J49" s="25">
        <f>SUM(J44:J48)</f>
        <v>15364.704000000002</v>
      </c>
      <c r="K49" s="25">
        <f t="shared" ref="K49:L49" si="78">SUM(K44:K48)</f>
        <v>7029.8564499999993</v>
      </c>
      <c r="L49" s="25">
        <f t="shared" si="78"/>
        <v>22394.560449999997</v>
      </c>
      <c r="M49" s="25">
        <f>SUM(M44:M48)</f>
        <v>14840.9424</v>
      </c>
      <c r="N49" s="25">
        <f>SUM(N44:N48)</f>
        <v>0</v>
      </c>
      <c r="O49" s="25">
        <f>SUM(O44:O48)</f>
        <v>14840.9424</v>
      </c>
      <c r="P49" s="25">
        <f>SUM(P44:P48)</f>
        <v>7029.8581999999997</v>
      </c>
      <c r="Q49" s="25">
        <f t="shared" ref="Q49" si="79">SUM(Q44:Q48)</f>
        <v>21870.800600000002</v>
      </c>
      <c r="R49" s="25">
        <f>SUM(R44:R48)</f>
        <v>523.72878999999989</v>
      </c>
      <c r="S49" s="25">
        <f t="shared" ref="S49:X49" si="80">SUM(S44:S48)</f>
        <v>0</v>
      </c>
      <c r="T49" s="25">
        <f t="shared" si="80"/>
        <v>0</v>
      </c>
      <c r="U49" s="25">
        <f t="shared" si="80"/>
        <v>0</v>
      </c>
      <c r="V49" s="25">
        <f t="shared" si="80"/>
        <v>0</v>
      </c>
      <c r="W49" s="25">
        <f t="shared" si="80"/>
        <v>0</v>
      </c>
      <c r="X49" s="25">
        <f t="shared" si="80"/>
        <v>0</v>
      </c>
      <c r="Y49" s="25">
        <f t="shared" ref="Y49:AK49" si="81">SUM(Y44:Y48)</f>
        <v>20.290750000000003</v>
      </c>
      <c r="Z49" s="25">
        <f t="shared" si="81"/>
        <v>0</v>
      </c>
      <c r="AA49" s="25">
        <f t="shared" ref="AA49:AB49" si="82">SUM(AA44:AA48)</f>
        <v>0</v>
      </c>
      <c r="AB49" s="25">
        <f t="shared" si="82"/>
        <v>0</v>
      </c>
      <c r="AC49" s="25">
        <f t="shared" ref="AC49" si="83">SUM(AC44:AC48)</f>
        <v>0</v>
      </c>
      <c r="AD49" s="25">
        <f>SUM(AD44:AD48)</f>
        <v>0</v>
      </c>
      <c r="AE49" s="25">
        <f>SUM(AE44:AE48)</f>
        <v>0</v>
      </c>
      <c r="AF49" s="25">
        <f t="shared" si="81"/>
        <v>0</v>
      </c>
      <c r="AG49" s="25">
        <f t="shared" si="81"/>
        <v>0</v>
      </c>
      <c r="AH49" s="25">
        <f>SUM(AH44:AH48)</f>
        <v>0</v>
      </c>
      <c r="AI49" s="25">
        <f t="shared" si="81"/>
        <v>0</v>
      </c>
      <c r="AJ49" s="25">
        <f>SUM(AJ44:AJ48)</f>
        <v>0</v>
      </c>
      <c r="AK49" s="25">
        <f t="shared" si="81"/>
        <v>0</v>
      </c>
      <c r="AL49" s="25">
        <f t="shared" ref="AL49:AN49" si="84">SUM(AL44:AL48)</f>
        <v>0</v>
      </c>
      <c r="AM49" s="25">
        <f t="shared" si="84"/>
        <v>0</v>
      </c>
      <c r="AN49" s="25">
        <f t="shared" si="84"/>
        <v>0</v>
      </c>
      <c r="AO49" s="25">
        <f>SUM(AO44:AO48)</f>
        <v>0</v>
      </c>
      <c r="AP49" s="50">
        <f>SUM(AP44:AP48)</f>
        <v>0</v>
      </c>
      <c r="AQ49" s="50"/>
    </row>
    <row r="51" spans="1:43" x14ac:dyDescent="0.2">
      <c r="A51" s="89">
        <v>3</v>
      </c>
      <c r="B51" s="7">
        <v>1</v>
      </c>
      <c r="C51" s="20" t="s">
        <v>105</v>
      </c>
      <c r="D51" s="7">
        <v>1</v>
      </c>
      <c r="E51" s="86" t="s">
        <v>16</v>
      </c>
      <c r="F51" s="24">
        <v>0</v>
      </c>
      <c r="G51" s="24">
        <v>477.125</v>
      </c>
      <c r="H51" s="24">
        <v>0</v>
      </c>
      <c r="I51" s="24">
        <v>0</v>
      </c>
      <c r="J51" s="29">
        <f>F51+G51+H51+I51</f>
        <v>477.125</v>
      </c>
      <c r="K51" s="33">
        <v>0</v>
      </c>
      <c r="L51" s="29">
        <f>J51+K51</f>
        <v>477.125</v>
      </c>
      <c r="M51" s="24">
        <v>2042.355</v>
      </c>
      <c r="N51" s="24">
        <v>0</v>
      </c>
      <c r="O51" s="29">
        <f>M51+N51</f>
        <v>2042.355</v>
      </c>
      <c r="P51" s="24">
        <v>620.00900000000001</v>
      </c>
      <c r="Q51" s="29">
        <f>P51+O51</f>
        <v>2662.364</v>
      </c>
      <c r="R51" s="30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4">
        <v>0</v>
      </c>
      <c r="Z51" s="30">
        <v>0</v>
      </c>
      <c r="AA51" s="29">
        <f>AC51+AH51</f>
        <v>0</v>
      </c>
      <c r="AB51" s="29">
        <f>AE51+AN51</f>
        <v>0</v>
      </c>
      <c r="AC51" s="24"/>
      <c r="AD51" s="24">
        <v>0</v>
      </c>
      <c r="AE51" s="24"/>
      <c r="AF51" s="24">
        <v>0</v>
      </c>
      <c r="AG51" s="27">
        <v>0</v>
      </c>
      <c r="AH51" s="24">
        <v>0</v>
      </c>
      <c r="AI51" s="24">
        <v>0</v>
      </c>
      <c r="AJ51" s="24">
        <v>0</v>
      </c>
      <c r="AK51" s="33">
        <v>2185.2399999999998</v>
      </c>
      <c r="AL51" s="24">
        <v>0</v>
      </c>
      <c r="AM51" s="29">
        <f t="shared" ref="AM51:AN55" si="85">AI51+AK51</f>
        <v>2185.2399999999998</v>
      </c>
      <c r="AN51" s="29">
        <f t="shared" si="85"/>
        <v>0</v>
      </c>
      <c r="AO51" s="29">
        <f t="shared" ref="AO51:AP55" si="86">AG51+AM51</f>
        <v>2185.2399999999998</v>
      </c>
      <c r="AP51" s="29">
        <f t="shared" si="86"/>
        <v>0</v>
      </c>
      <c r="AQ51" s="29"/>
    </row>
    <row r="52" spans="1:43" x14ac:dyDescent="0.2">
      <c r="A52" s="89"/>
      <c r="D52" s="7">
        <v>2</v>
      </c>
      <c r="E52" s="8" t="s">
        <v>17</v>
      </c>
      <c r="F52" s="24">
        <v>0</v>
      </c>
      <c r="G52" s="24">
        <v>587.69299999999998</v>
      </c>
      <c r="H52" s="24">
        <v>4303.24</v>
      </c>
      <c r="I52" s="24">
        <v>0</v>
      </c>
      <c r="J52" s="29">
        <f t="shared" ref="J52:J55" si="87">F52+G52+H52+I52</f>
        <v>4890.933</v>
      </c>
      <c r="K52" s="24">
        <v>354.99310000000003</v>
      </c>
      <c r="L52" s="29">
        <f>J52+K52</f>
        <v>5245.9260999999997</v>
      </c>
      <c r="M52" s="24">
        <v>3231.37</v>
      </c>
      <c r="N52" s="24">
        <v>0</v>
      </c>
      <c r="O52" s="29">
        <f t="shared" ref="O52:O55" si="88">M52+N52</f>
        <v>3231.37</v>
      </c>
      <c r="P52" s="24">
        <v>1844.24</v>
      </c>
      <c r="Q52" s="29">
        <f>P52+O52</f>
        <v>5075.6099999999997</v>
      </c>
      <c r="R52" s="30">
        <v>170.30597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4">
        <v>4.6790500000000002</v>
      </c>
      <c r="Z52" s="30">
        <v>0</v>
      </c>
      <c r="AA52" s="29">
        <f>AC52+AH52</f>
        <v>0</v>
      </c>
      <c r="AB52" s="29">
        <f>AE52+AN52</f>
        <v>0</v>
      </c>
      <c r="AC52" s="24"/>
      <c r="AD52" s="24">
        <v>0</v>
      </c>
      <c r="AE52" s="24"/>
      <c r="AF52" s="24">
        <v>0</v>
      </c>
      <c r="AG52" s="27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9">
        <f t="shared" si="85"/>
        <v>0</v>
      </c>
      <c r="AN52" s="29">
        <f t="shared" si="85"/>
        <v>0</v>
      </c>
      <c r="AO52" s="29">
        <f t="shared" si="86"/>
        <v>0</v>
      </c>
      <c r="AP52" s="29">
        <f t="shared" si="86"/>
        <v>0</v>
      </c>
      <c r="AQ52" s="29"/>
    </row>
    <row r="53" spans="1:43" x14ac:dyDescent="0.2">
      <c r="A53" s="89"/>
      <c r="D53" s="7">
        <v>3</v>
      </c>
      <c r="E53" s="86" t="s">
        <v>18</v>
      </c>
      <c r="F53" s="24">
        <v>0</v>
      </c>
      <c r="G53" s="24">
        <v>513.84699999999998</v>
      </c>
      <c r="H53" s="33">
        <v>0</v>
      </c>
      <c r="I53" s="24">
        <v>0</v>
      </c>
      <c r="J53" s="29">
        <f t="shared" si="87"/>
        <v>513.84699999999998</v>
      </c>
      <c r="K53" s="33">
        <v>0</v>
      </c>
      <c r="L53" s="29">
        <f>J53+K53</f>
        <v>513.84699999999998</v>
      </c>
      <c r="M53" s="24">
        <v>3132.8074000000001</v>
      </c>
      <c r="N53" s="24">
        <v>0</v>
      </c>
      <c r="O53" s="29">
        <f t="shared" si="88"/>
        <v>3132.8074000000001</v>
      </c>
      <c r="P53" s="24">
        <v>1233.0491999999999</v>
      </c>
      <c r="Q53" s="29">
        <f>P53+O53</f>
        <v>4365.8566000000001</v>
      </c>
      <c r="R53" s="30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4">
        <v>0</v>
      </c>
      <c r="Z53" s="30">
        <v>0</v>
      </c>
      <c r="AA53" s="29">
        <f>AC53+AH53</f>
        <v>0</v>
      </c>
      <c r="AB53" s="29">
        <f>AE53+AN53</f>
        <v>0</v>
      </c>
      <c r="AC53" s="24"/>
      <c r="AD53" s="24">
        <v>0</v>
      </c>
      <c r="AE53" s="24"/>
      <c r="AF53" s="33">
        <v>3379.72</v>
      </c>
      <c r="AG53" s="27">
        <v>0</v>
      </c>
      <c r="AH53" s="24">
        <v>0</v>
      </c>
      <c r="AI53" s="24">
        <v>0</v>
      </c>
      <c r="AJ53" s="24">
        <v>0</v>
      </c>
      <c r="AK53" s="33">
        <v>472.30005</v>
      </c>
      <c r="AL53" s="24">
        <v>0</v>
      </c>
      <c r="AM53" s="29">
        <f t="shared" si="85"/>
        <v>472.30005</v>
      </c>
      <c r="AN53" s="29">
        <f t="shared" si="85"/>
        <v>0</v>
      </c>
      <c r="AO53" s="29">
        <f t="shared" si="86"/>
        <v>472.30005</v>
      </c>
      <c r="AP53" s="29">
        <f t="shared" si="86"/>
        <v>0</v>
      </c>
      <c r="AQ53" s="29"/>
    </row>
    <row r="54" spans="1:43" x14ac:dyDescent="0.2">
      <c r="A54" s="89"/>
      <c r="D54" s="7">
        <v>4</v>
      </c>
      <c r="E54" s="8" t="s">
        <v>19</v>
      </c>
      <c r="F54" s="24">
        <v>0</v>
      </c>
      <c r="G54" s="24">
        <v>713.66200000000003</v>
      </c>
      <c r="H54" s="24">
        <v>4351.47</v>
      </c>
      <c r="I54" s="24">
        <v>0</v>
      </c>
      <c r="J54" s="29">
        <f t="shared" si="87"/>
        <v>5065.1320000000005</v>
      </c>
      <c r="K54" s="24">
        <v>1299.9332999999999</v>
      </c>
      <c r="L54" s="29">
        <f>J54+K54</f>
        <v>6365.0653000000002</v>
      </c>
      <c r="M54" s="24">
        <v>3311.51</v>
      </c>
      <c r="N54" s="24">
        <v>0</v>
      </c>
      <c r="O54" s="29">
        <f t="shared" si="88"/>
        <v>3311.51</v>
      </c>
      <c r="P54" s="24">
        <v>2851.85</v>
      </c>
      <c r="Q54" s="29">
        <f>P54+O54</f>
        <v>6163.3600000000006</v>
      </c>
      <c r="R54" s="30">
        <v>201.69582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4">
        <v>15.611700000000001</v>
      </c>
      <c r="Z54" s="30">
        <v>0</v>
      </c>
      <c r="AA54" s="29">
        <f>AC54+AH54</f>
        <v>0</v>
      </c>
      <c r="AB54" s="29">
        <f>AE54+AN54</f>
        <v>0</v>
      </c>
      <c r="AC54" s="24"/>
      <c r="AD54" s="24">
        <v>0</v>
      </c>
      <c r="AE54" s="24"/>
      <c r="AF54" s="24">
        <v>0</v>
      </c>
      <c r="AG54" s="27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9">
        <f t="shared" si="85"/>
        <v>0</v>
      </c>
      <c r="AN54" s="29">
        <f t="shared" si="85"/>
        <v>0</v>
      </c>
      <c r="AO54" s="29">
        <f t="shared" si="86"/>
        <v>0</v>
      </c>
      <c r="AP54" s="29">
        <f t="shared" si="86"/>
        <v>0</v>
      </c>
      <c r="AQ54" s="29"/>
    </row>
    <row r="55" spans="1:43" x14ac:dyDescent="0.2">
      <c r="A55" s="89"/>
      <c r="D55" s="7">
        <v>5</v>
      </c>
      <c r="E55" s="8" t="s">
        <v>20</v>
      </c>
      <c r="F55" s="24">
        <v>0</v>
      </c>
      <c r="G55" s="24">
        <v>417.25700000000001</v>
      </c>
      <c r="H55" s="24">
        <v>620.69000000000005</v>
      </c>
      <c r="I55" s="24">
        <v>0</v>
      </c>
      <c r="J55" s="29">
        <f t="shared" si="87"/>
        <v>1037.9470000000001</v>
      </c>
      <c r="K55" s="24">
        <v>2717.39</v>
      </c>
      <c r="L55" s="29">
        <f>J55+K55</f>
        <v>3755.337</v>
      </c>
      <c r="M55" s="24">
        <v>3122.9</v>
      </c>
      <c r="N55" s="24">
        <v>0</v>
      </c>
      <c r="O55" s="29">
        <f t="shared" si="88"/>
        <v>3122.9</v>
      </c>
      <c r="P55" s="24">
        <v>480.71</v>
      </c>
      <c r="Q55" s="29">
        <f>P55+O55</f>
        <v>3603.61</v>
      </c>
      <c r="R55" s="30">
        <v>151.72699999999986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4">
        <v>0</v>
      </c>
      <c r="Z55" s="30">
        <v>0</v>
      </c>
      <c r="AA55" s="29">
        <f>AC55+AH55</f>
        <v>0</v>
      </c>
      <c r="AB55" s="29">
        <f>AE55+AN55</f>
        <v>0</v>
      </c>
      <c r="AC55" s="24"/>
      <c r="AD55" s="24">
        <v>0</v>
      </c>
      <c r="AE55" s="24"/>
      <c r="AF55" s="24">
        <v>0</v>
      </c>
      <c r="AG55" s="27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9">
        <f t="shared" si="85"/>
        <v>0</v>
      </c>
      <c r="AN55" s="29">
        <f t="shared" si="85"/>
        <v>0</v>
      </c>
      <c r="AO55" s="29">
        <f t="shared" si="86"/>
        <v>0</v>
      </c>
      <c r="AP55" s="29">
        <f t="shared" si="86"/>
        <v>0</v>
      </c>
      <c r="AQ55" s="29"/>
    </row>
    <row r="56" spans="1:43" x14ac:dyDescent="0.2">
      <c r="A56" s="89"/>
      <c r="E56" s="8"/>
      <c r="F56" s="25">
        <f>SUM(F51:F55)</f>
        <v>0</v>
      </c>
      <c r="G56" s="25">
        <f t="shared" ref="G56:H56" si="89">SUM(G51:G55)</f>
        <v>2709.5840000000003</v>
      </c>
      <c r="H56" s="25">
        <f t="shared" si="89"/>
        <v>9275.4</v>
      </c>
      <c r="I56" s="25">
        <f>SUM(I51:I55)</f>
        <v>0</v>
      </c>
      <c r="J56" s="25">
        <f>SUM(J51:J55)</f>
        <v>11984.984</v>
      </c>
      <c r="K56" s="25">
        <f t="shared" ref="K56:L56" si="90">SUM(K51:K55)</f>
        <v>4372.3163999999997</v>
      </c>
      <c r="L56" s="25">
        <f t="shared" si="90"/>
        <v>16357.3004</v>
      </c>
      <c r="M56" s="25">
        <f>SUM(M51:M55)</f>
        <v>14840.9424</v>
      </c>
      <c r="N56" s="25">
        <f>SUM(N51:N55)</f>
        <v>0</v>
      </c>
      <c r="O56" s="25">
        <f>SUM(O51:O55)</f>
        <v>14840.9424</v>
      </c>
      <c r="P56" s="25">
        <f>SUM(P51:P55)</f>
        <v>7029.8581999999997</v>
      </c>
      <c r="Q56" s="25">
        <f t="shared" ref="Q56" si="91">SUM(Q51:Q55)</f>
        <v>21870.800600000002</v>
      </c>
      <c r="R56" s="25">
        <f>SUM(R51:R55)</f>
        <v>523.72878999999989</v>
      </c>
      <c r="S56" s="25">
        <f t="shared" ref="S56:X56" si="92">SUM(S51:S55)</f>
        <v>0</v>
      </c>
      <c r="T56" s="25">
        <f t="shared" si="92"/>
        <v>0</v>
      </c>
      <c r="U56" s="25">
        <f t="shared" si="92"/>
        <v>0</v>
      </c>
      <c r="V56" s="25">
        <f t="shared" si="92"/>
        <v>0</v>
      </c>
      <c r="W56" s="25">
        <f t="shared" si="92"/>
        <v>0</v>
      </c>
      <c r="X56" s="25">
        <f t="shared" si="92"/>
        <v>0</v>
      </c>
      <c r="Y56" s="25">
        <f t="shared" ref="Y56:AK56" si="93">SUM(Y51:Y55)</f>
        <v>20.290750000000003</v>
      </c>
      <c r="Z56" s="25">
        <f t="shared" si="93"/>
        <v>0</v>
      </c>
      <c r="AA56" s="25">
        <f t="shared" ref="AA56:AB56" si="94">SUM(AA51:AA55)</f>
        <v>0</v>
      </c>
      <c r="AB56" s="25">
        <f t="shared" si="94"/>
        <v>0</v>
      </c>
      <c r="AC56" s="25"/>
      <c r="AD56" s="25">
        <f>SUM(AD51:AD55)</f>
        <v>0</v>
      </c>
      <c r="AE56" s="25"/>
      <c r="AF56" s="25">
        <f t="shared" si="93"/>
        <v>3379.72</v>
      </c>
      <c r="AG56" s="25">
        <f t="shared" si="93"/>
        <v>0</v>
      </c>
      <c r="AH56" s="25">
        <f>SUM(AH51:AH55)</f>
        <v>0</v>
      </c>
      <c r="AI56" s="25">
        <f t="shared" si="93"/>
        <v>0</v>
      </c>
      <c r="AJ56" s="25">
        <f>SUM(AJ51:AJ55)</f>
        <v>0</v>
      </c>
      <c r="AK56" s="25">
        <f t="shared" si="93"/>
        <v>2657.5400499999996</v>
      </c>
      <c r="AL56" s="25">
        <f t="shared" ref="AL56:AN56" si="95">SUM(AL51:AL55)</f>
        <v>0</v>
      </c>
      <c r="AM56" s="25">
        <f t="shared" si="95"/>
        <v>2657.5400499999996</v>
      </c>
      <c r="AN56" s="25">
        <f t="shared" si="95"/>
        <v>0</v>
      </c>
      <c r="AO56" s="25">
        <f>SUM(AO51:AO55)</f>
        <v>2657.5400499999996</v>
      </c>
      <c r="AP56" s="25">
        <f>SUM(AP51:AP55)</f>
        <v>0</v>
      </c>
      <c r="AQ56" s="50"/>
    </row>
    <row r="57" spans="1:43" x14ac:dyDescent="0.2">
      <c r="A57" s="89"/>
      <c r="S57" s="25"/>
      <c r="T57" s="25"/>
      <c r="U57" s="25"/>
      <c r="V57" s="25"/>
      <c r="W57" s="25"/>
      <c r="X57" s="25"/>
    </row>
    <row r="58" spans="1:43" x14ac:dyDescent="0.2">
      <c r="A58" s="89"/>
      <c r="B58" s="7">
        <v>2</v>
      </c>
      <c r="C58" s="20" t="s">
        <v>106</v>
      </c>
      <c r="D58" s="7">
        <v>1</v>
      </c>
      <c r="E58" s="86" t="s">
        <v>16</v>
      </c>
      <c r="F58" s="24">
        <v>0</v>
      </c>
      <c r="G58" s="24">
        <v>477.125</v>
      </c>
      <c r="H58" s="24">
        <v>0</v>
      </c>
      <c r="I58" s="24">
        <v>0</v>
      </c>
      <c r="J58" s="29">
        <f>F58+G58+H58+I58</f>
        <v>477.125</v>
      </c>
      <c r="K58" s="24">
        <v>0</v>
      </c>
      <c r="L58" s="29">
        <f>J58+K58</f>
        <v>477.125</v>
      </c>
      <c r="M58" s="24">
        <v>2042.355</v>
      </c>
      <c r="N58" s="24">
        <v>0</v>
      </c>
      <c r="O58" s="29">
        <f>M58+N58</f>
        <v>2042.355</v>
      </c>
      <c r="P58" s="24">
        <v>620.00900000000001</v>
      </c>
      <c r="Q58" s="29">
        <f>P58+O58</f>
        <v>2662.364</v>
      </c>
      <c r="R58" s="30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4">
        <v>0</v>
      </c>
      <c r="Z58" s="33">
        <v>472.30200000000002</v>
      </c>
      <c r="AA58" s="29">
        <f>AC58+AH58</f>
        <v>0</v>
      </c>
      <c r="AB58" s="29">
        <f>AE58+AN58</f>
        <v>472.30200000000002</v>
      </c>
      <c r="AC58" s="24"/>
      <c r="AD58" s="24">
        <v>0</v>
      </c>
      <c r="AE58" s="24"/>
      <c r="AF58" s="24">
        <v>0</v>
      </c>
      <c r="AG58" s="27">
        <v>0</v>
      </c>
      <c r="AH58" s="24">
        <v>0</v>
      </c>
      <c r="AI58" s="24">
        <v>0</v>
      </c>
      <c r="AJ58" s="24">
        <v>0</v>
      </c>
      <c r="AK58" s="24">
        <v>0</v>
      </c>
      <c r="AL58" s="33">
        <v>472.30200000000002</v>
      </c>
      <c r="AM58" s="29">
        <f t="shared" ref="AM58:AN62" si="96">AI58+AK58</f>
        <v>0</v>
      </c>
      <c r="AN58" s="29">
        <f t="shared" si="96"/>
        <v>472.30200000000002</v>
      </c>
      <c r="AO58" s="29">
        <f t="shared" ref="AO58:AP62" si="97">AG58+AM58</f>
        <v>0</v>
      </c>
      <c r="AP58" s="29">
        <f t="shared" si="97"/>
        <v>472.30200000000002</v>
      </c>
      <c r="AQ58" s="29"/>
    </row>
    <row r="59" spans="1:43" x14ac:dyDescent="0.2">
      <c r="A59" s="89"/>
      <c r="D59" s="7">
        <v>2</v>
      </c>
      <c r="E59" s="8" t="s">
        <v>17</v>
      </c>
      <c r="F59" s="24">
        <v>0</v>
      </c>
      <c r="G59" s="24">
        <v>587.69299999999998</v>
      </c>
      <c r="H59" s="24">
        <v>4303.24</v>
      </c>
      <c r="I59" s="24">
        <v>0</v>
      </c>
      <c r="J59" s="29">
        <f t="shared" ref="J59:J62" si="98">F59+G59+H59+I59</f>
        <v>4890.933</v>
      </c>
      <c r="K59" s="24">
        <v>354.99310000000003</v>
      </c>
      <c r="L59" s="29">
        <f>J59+K59</f>
        <v>5245.9260999999997</v>
      </c>
      <c r="M59" s="24">
        <v>3231.37</v>
      </c>
      <c r="N59" s="24">
        <v>0</v>
      </c>
      <c r="O59" s="29">
        <f t="shared" ref="O59:O62" si="99">M59+N59</f>
        <v>3231.37</v>
      </c>
      <c r="P59" s="24">
        <v>1844.24</v>
      </c>
      <c r="Q59" s="29">
        <f>P59+O59</f>
        <v>5075.6099999999997</v>
      </c>
      <c r="R59" s="30">
        <v>170.30597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4">
        <v>0</v>
      </c>
      <c r="Z59" s="33">
        <v>1728.55</v>
      </c>
      <c r="AA59" s="29">
        <f>AC59+AH59</f>
        <v>0</v>
      </c>
      <c r="AB59" s="29">
        <f>AE59+AN59</f>
        <v>1728.55</v>
      </c>
      <c r="AC59" s="24"/>
      <c r="AD59" s="24">
        <v>0</v>
      </c>
      <c r="AE59" s="24"/>
      <c r="AF59" s="24">
        <v>0</v>
      </c>
      <c r="AG59" s="27">
        <v>0</v>
      </c>
      <c r="AH59" s="24">
        <v>0</v>
      </c>
      <c r="AI59" s="24">
        <v>0</v>
      </c>
      <c r="AJ59" s="24">
        <v>0</v>
      </c>
      <c r="AK59" s="24">
        <v>0</v>
      </c>
      <c r="AL59" s="33">
        <v>1728.55</v>
      </c>
      <c r="AM59" s="29">
        <f t="shared" si="96"/>
        <v>0</v>
      </c>
      <c r="AN59" s="29">
        <f t="shared" si="96"/>
        <v>1728.55</v>
      </c>
      <c r="AO59" s="29">
        <f t="shared" si="97"/>
        <v>0</v>
      </c>
      <c r="AP59" s="29">
        <f t="shared" si="97"/>
        <v>1728.55</v>
      </c>
      <c r="AQ59" s="29"/>
    </row>
    <row r="60" spans="1:43" x14ac:dyDescent="0.2">
      <c r="A60" s="89"/>
      <c r="D60" s="7">
        <v>3</v>
      </c>
      <c r="E60" s="86" t="s">
        <v>18</v>
      </c>
      <c r="F60" s="24">
        <v>0</v>
      </c>
      <c r="G60" s="24">
        <v>513.84699999999998</v>
      </c>
      <c r="H60" s="24">
        <v>0</v>
      </c>
      <c r="I60" s="24">
        <v>0</v>
      </c>
      <c r="J60" s="29">
        <f t="shared" si="98"/>
        <v>513.84699999999998</v>
      </c>
      <c r="K60" s="24">
        <v>0</v>
      </c>
      <c r="L60" s="29">
        <f>J60+K60</f>
        <v>513.84699999999998</v>
      </c>
      <c r="M60" s="24">
        <v>3132.8074000000001</v>
      </c>
      <c r="N60" s="24">
        <v>0</v>
      </c>
      <c r="O60" s="29">
        <f t="shared" si="99"/>
        <v>3132.8074000000001</v>
      </c>
      <c r="P60" s="24">
        <v>1233.0491999999999</v>
      </c>
      <c r="Q60" s="29">
        <f>P60+O60</f>
        <v>4365.8566000000001</v>
      </c>
      <c r="R60" s="30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4">
        <v>0</v>
      </c>
      <c r="Z60" s="24">
        <v>0</v>
      </c>
      <c r="AA60" s="29">
        <f>AC60+AH60</f>
        <v>0</v>
      </c>
      <c r="AB60" s="29">
        <f>AE60+AN60</f>
        <v>0</v>
      </c>
      <c r="AC60" s="24"/>
      <c r="AD60" s="24">
        <v>0</v>
      </c>
      <c r="AE60" s="24"/>
      <c r="AF60" s="24">
        <v>0</v>
      </c>
      <c r="AG60" s="27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9">
        <f t="shared" si="96"/>
        <v>0</v>
      </c>
      <c r="AN60" s="29">
        <f t="shared" si="96"/>
        <v>0</v>
      </c>
      <c r="AO60" s="29">
        <f t="shared" si="97"/>
        <v>0</v>
      </c>
      <c r="AP60" s="29">
        <f t="shared" si="97"/>
        <v>0</v>
      </c>
      <c r="AQ60" s="29"/>
    </row>
    <row r="61" spans="1:43" x14ac:dyDescent="0.2">
      <c r="A61" s="89"/>
      <c r="D61" s="7">
        <v>4</v>
      </c>
      <c r="E61" s="8" t="s">
        <v>19</v>
      </c>
      <c r="F61" s="24">
        <v>0</v>
      </c>
      <c r="G61" s="24">
        <v>713.66200000000003</v>
      </c>
      <c r="H61" s="24">
        <v>4351.47</v>
      </c>
      <c r="I61" s="24">
        <v>0</v>
      </c>
      <c r="J61" s="29">
        <f t="shared" si="98"/>
        <v>5065.1320000000005</v>
      </c>
      <c r="K61" s="24">
        <v>1299.9332999999999</v>
      </c>
      <c r="L61" s="29">
        <f>J61+K61</f>
        <v>6365.0653000000002</v>
      </c>
      <c r="M61" s="24">
        <v>3311.51</v>
      </c>
      <c r="N61" s="24">
        <v>0</v>
      </c>
      <c r="O61" s="29">
        <f t="shared" si="99"/>
        <v>3311.51</v>
      </c>
      <c r="P61" s="24">
        <v>2851.85</v>
      </c>
      <c r="Q61" s="29">
        <f>P61+O61</f>
        <v>6163.3600000000006</v>
      </c>
      <c r="R61" s="30">
        <v>201.69582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4">
        <v>0</v>
      </c>
      <c r="Z61" s="33">
        <v>134.46</v>
      </c>
      <c r="AA61" s="29">
        <f>AC61+AH61</f>
        <v>0</v>
      </c>
      <c r="AB61" s="29">
        <f>AE61+AN61</f>
        <v>134.46</v>
      </c>
      <c r="AC61" s="24"/>
      <c r="AD61" s="24">
        <v>0</v>
      </c>
      <c r="AE61" s="24"/>
      <c r="AF61" s="24">
        <v>0</v>
      </c>
      <c r="AG61" s="27">
        <v>0</v>
      </c>
      <c r="AH61" s="24">
        <v>0</v>
      </c>
      <c r="AI61" s="24">
        <v>0</v>
      </c>
      <c r="AJ61" s="24">
        <v>0</v>
      </c>
      <c r="AK61" s="24">
        <v>0</v>
      </c>
      <c r="AL61" s="33">
        <v>134.46</v>
      </c>
      <c r="AM61" s="29">
        <f t="shared" si="96"/>
        <v>0</v>
      </c>
      <c r="AN61" s="29">
        <f t="shared" si="96"/>
        <v>134.46</v>
      </c>
      <c r="AO61" s="29">
        <f t="shared" si="97"/>
        <v>0</v>
      </c>
      <c r="AP61" s="29">
        <f t="shared" si="97"/>
        <v>134.46</v>
      </c>
      <c r="AQ61" s="29"/>
    </row>
    <row r="62" spans="1:43" x14ac:dyDescent="0.2">
      <c r="A62" s="89"/>
      <c r="D62" s="7">
        <v>5</v>
      </c>
      <c r="E62" s="8" t="s">
        <v>20</v>
      </c>
      <c r="F62" s="24">
        <v>0</v>
      </c>
      <c r="G62" s="24">
        <v>417.25700000000001</v>
      </c>
      <c r="H62" s="24">
        <v>620.69000000000005</v>
      </c>
      <c r="I62" s="24">
        <v>0</v>
      </c>
      <c r="J62" s="29">
        <f t="shared" si="98"/>
        <v>1037.9470000000001</v>
      </c>
      <c r="K62" s="24">
        <v>2717.39</v>
      </c>
      <c r="L62" s="29">
        <f>J62+K62</f>
        <v>3755.337</v>
      </c>
      <c r="M62" s="24">
        <v>3122.9</v>
      </c>
      <c r="N62" s="24">
        <v>0</v>
      </c>
      <c r="O62" s="29">
        <f t="shared" si="99"/>
        <v>3122.9</v>
      </c>
      <c r="P62" s="24">
        <v>480.71</v>
      </c>
      <c r="Q62" s="29">
        <f>P62+O62</f>
        <v>3603.61</v>
      </c>
      <c r="R62" s="30">
        <v>151.72699999999986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4">
        <v>0</v>
      </c>
      <c r="Z62" s="33">
        <v>322.23</v>
      </c>
      <c r="AA62" s="29">
        <f>AC62+AH62</f>
        <v>0</v>
      </c>
      <c r="AB62" s="29">
        <f>AE62+AN62</f>
        <v>322.23</v>
      </c>
      <c r="AC62" s="24"/>
      <c r="AD62" s="24">
        <v>0</v>
      </c>
      <c r="AE62" s="24"/>
      <c r="AF62" s="24">
        <v>0</v>
      </c>
      <c r="AG62" s="27">
        <v>0</v>
      </c>
      <c r="AH62" s="24">
        <v>0</v>
      </c>
      <c r="AI62" s="24">
        <v>0</v>
      </c>
      <c r="AJ62" s="24">
        <v>0</v>
      </c>
      <c r="AK62" s="24">
        <v>0</v>
      </c>
      <c r="AL62" s="33">
        <v>322.23</v>
      </c>
      <c r="AM62" s="29">
        <f t="shared" si="96"/>
        <v>0</v>
      </c>
      <c r="AN62" s="29">
        <f t="shared" si="96"/>
        <v>322.23</v>
      </c>
      <c r="AO62" s="29">
        <f t="shared" si="97"/>
        <v>0</v>
      </c>
      <c r="AP62" s="29">
        <f t="shared" si="97"/>
        <v>322.23</v>
      </c>
      <c r="AQ62" s="29"/>
    </row>
    <row r="63" spans="1:43" x14ac:dyDescent="0.2">
      <c r="A63" s="89"/>
      <c r="E63" s="8"/>
      <c r="F63" s="25">
        <f>SUM(F58:F62)</f>
        <v>0</v>
      </c>
      <c r="G63" s="25">
        <f t="shared" ref="G63:H63" si="100">SUM(G58:G62)</f>
        <v>2709.5840000000003</v>
      </c>
      <c r="H63" s="25">
        <f t="shared" si="100"/>
        <v>9275.4</v>
      </c>
      <c r="I63" s="25">
        <f>SUM(I58:I62)</f>
        <v>0</v>
      </c>
      <c r="J63" s="25">
        <f>SUM(J58:J62)</f>
        <v>11984.984</v>
      </c>
      <c r="K63" s="25">
        <f t="shared" ref="K63:L63" si="101">SUM(K58:K62)</f>
        <v>4372.3163999999997</v>
      </c>
      <c r="L63" s="25">
        <f t="shared" si="101"/>
        <v>16357.3004</v>
      </c>
      <c r="M63" s="25">
        <f>SUM(M58:M62)</f>
        <v>14840.9424</v>
      </c>
      <c r="N63" s="25">
        <f>SUM(N58:N62)</f>
        <v>0</v>
      </c>
      <c r="O63" s="25">
        <f>SUM(O58:O62)</f>
        <v>14840.9424</v>
      </c>
      <c r="P63" s="25">
        <f>SUM(P58:P62)</f>
        <v>7029.8581999999997</v>
      </c>
      <c r="Q63" s="25">
        <f t="shared" ref="Q63" si="102">SUM(Q58:Q62)</f>
        <v>21870.800600000002</v>
      </c>
      <c r="R63" s="25">
        <f>SUM(R58:R62)</f>
        <v>523.72878999999989</v>
      </c>
      <c r="S63" s="25">
        <f t="shared" ref="S63:X63" si="103">SUM(S58:S62)</f>
        <v>0</v>
      </c>
      <c r="T63" s="25">
        <f t="shared" si="103"/>
        <v>0</v>
      </c>
      <c r="U63" s="25">
        <f t="shared" si="103"/>
        <v>0</v>
      </c>
      <c r="V63" s="25">
        <f t="shared" si="103"/>
        <v>0</v>
      </c>
      <c r="W63" s="25">
        <f t="shared" si="103"/>
        <v>0</v>
      </c>
      <c r="X63" s="25">
        <f t="shared" si="103"/>
        <v>0</v>
      </c>
      <c r="Y63" s="25">
        <f t="shared" ref="Y63:AK63" si="104">SUM(Y58:Y62)</f>
        <v>0</v>
      </c>
      <c r="Z63" s="25">
        <f t="shared" si="104"/>
        <v>2657.5419999999999</v>
      </c>
      <c r="AA63" s="25">
        <f t="shared" ref="AA63:AB63" si="105">SUM(AA58:AA62)</f>
        <v>0</v>
      </c>
      <c r="AB63" s="25">
        <f t="shared" si="105"/>
        <v>2657.5419999999999</v>
      </c>
      <c r="AC63" s="25"/>
      <c r="AD63" s="25">
        <f>SUM(AD58:AD62)</f>
        <v>0</v>
      </c>
      <c r="AE63" s="25"/>
      <c r="AF63" s="25">
        <f t="shared" si="104"/>
        <v>0</v>
      </c>
      <c r="AG63" s="25">
        <f t="shared" si="104"/>
        <v>0</v>
      </c>
      <c r="AH63" s="25">
        <f>SUM(AH58:AH62)</f>
        <v>0</v>
      </c>
      <c r="AI63" s="25">
        <f t="shared" si="104"/>
        <v>0</v>
      </c>
      <c r="AJ63" s="25">
        <f>SUM(AJ58:AJ62)</f>
        <v>0</v>
      </c>
      <c r="AK63" s="25">
        <f t="shared" si="104"/>
        <v>0</v>
      </c>
      <c r="AL63" s="25">
        <f>SUM(AL58:AL62)</f>
        <v>2657.5419999999999</v>
      </c>
      <c r="AM63" s="25">
        <f t="shared" ref="AM63:AN63" si="106">SUM(AM58:AM62)</f>
        <v>0</v>
      </c>
      <c r="AN63" s="25">
        <f t="shared" si="106"/>
        <v>2657.5419999999999</v>
      </c>
      <c r="AO63" s="25">
        <f>SUM(AO58:AO62)</f>
        <v>0</v>
      </c>
      <c r="AP63" s="25">
        <f>SUM(AP58:AP62)</f>
        <v>2657.5419999999999</v>
      </c>
      <c r="AQ63" s="50"/>
    </row>
    <row r="64" spans="1:43" x14ac:dyDescent="0.2">
      <c r="A64" s="89"/>
    </row>
    <row r="65" spans="1:43" x14ac:dyDescent="0.2">
      <c r="A65" s="89"/>
      <c r="B65" s="7">
        <v>2</v>
      </c>
      <c r="C65" s="20" t="s">
        <v>105</v>
      </c>
      <c r="D65" s="7">
        <v>1</v>
      </c>
      <c r="E65" s="86" t="s">
        <v>16</v>
      </c>
      <c r="F65" s="24">
        <v>0</v>
      </c>
      <c r="G65" s="33">
        <v>4.8249817000000004</v>
      </c>
      <c r="H65" s="24">
        <v>0</v>
      </c>
      <c r="I65" s="24">
        <v>0</v>
      </c>
      <c r="J65" s="29">
        <f>F65+G65+H65+I65</f>
        <v>4.8249817000000004</v>
      </c>
      <c r="K65" s="24">
        <v>0</v>
      </c>
      <c r="L65" s="29">
        <f>J65+K65</f>
        <v>4.8249817000000004</v>
      </c>
      <c r="M65" s="24">
        <v>2042.355</v>
      </c>
      <c r="N65" s="24">
        <v>0</v>
      </c>
      <c r="O65" s="29">
        <f>M65+N65</f>
        <v>2042.355</v>
      </c>
      <c r="P65" s="24">
        <v>620.00900000000001</v>
      </c>
      <c r="Q65" s="29">
        <f>P65+O65</f>
        <v>2662.364</v>
      </c>
      <c r="R65" s="30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4">
        <v>0</v>
      </c>
      <c r="Z65" s="24">
        <v>472.30200000000002</v>
      </c>
      <c r="AA65" s="29">
        <f>AC65+AH65</f>
        <v>0</v>
      </c>
      <c r="AB65" s="29">
        <f>AE65+AN65</f>
        <v>0</v>
      </c>
      <c r="AC65" s="24"/>
      <c r="AD65" s="24">
        <v>0</v>
      </c>
      <c r="AE65" s="24"/>
      <c r="AF65" s="24">
        <v>0</v>
      </c>
      <c r="AG65" s="27">
        <v>0</v>
      </c>
      <c r="AH65" s="24">
        <v>0</v>
      </c>
      <c r="AI65" s="24">
        <v>0</v>
      </c>
      <c r="AJ65" s="24">
        <v>0</v>
      </c>
      <c r="AK65" s="24">
        <v>0</v>
      </c>
      <c r="AL65" s="24">
        <v>0</v>
      </c>
      <c r="AM65" s="29">
        <f t="shared" ref="AM65:AN69" si="107">AI65+AK65</f>
        <v>0</v>
      </c>
      <c r="AN65" s="29">
        <f t="shared" si="107"/>
        <v>0</v>
      </c>
      <c r="AO65" s="29">
        <f t="shared" ref="AO65:AP69" si="108">AG65+AM65</f>
        <v>0</v>
      </c>
      <c r="AP65" s="29">
        <f t="shared" si="108"/>
        <v>0</v>
      </c>
      <c r="AQ65" s="29"/>
    </row>
    <row r="66" spans="1:43" x14ac:dyDescent="0.2">
      <c r="A66" s="89"/>
      <c r="D66" s="7">
        <v>2</v>
      </c>
      <c r="E66" s="8" t="s">
        <v>17</v>
      </c>
      <c r="F66" s="24">
        <v>0</v>
      </c>
      <c r="G66" s="24">
        <v>587.69299999999998</v>
      </c>
      <c r="H66" s="24">
        <v>4303.24</v>
      </c>
      <c r="I66" s="24">
        <v>0</v>
      </c>
      <c r="J66" s="29">
        <f t="shared" ref="J66:J69" si="109">F66+G66+H66+I66</f>
        <v>4890.933</v>
      </c>
      <c r="K66" s="24">
        <v>354.99310000000003</v>
      </c>
      <c r="L66" s="29">
        <f>J66+K66</f>
        <v>5245.9260999999997</v>
      </c>
      <c r="M66" s="24">
        <v>3231.37</v>
      </c>
      <c r="N66" s="24">
        <v>0</v>
      </c>
      <c r="O66" s="29">
        <f t="shared" ref="O66:O69" si="110">M66+N66</f>
        <v>3231.37</v>
      </c>
      <c r="P66" s="24">
        <v>1844.24</v>
      </c>
      <c r="Q66" s="29">
        <f>P66+O66</f>
        <v>5075.6099999999997</v>
      </c>
      <c r="R66" s="30">
        <v>170.30597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4">
        <v>0</v>
      </c>
      <c r="Z66" s="24">
        <v>1728.55</v>
      </c>
      <c r="AA66" s="29">
        <f>AC66+AH66</f>
        <v>0</v>
      </c>
      <c r="AB66" s="29">
        <f>AE66+AN66</f>
        <v>0</v>
      </c>
      <c r="AC66" s="24"/>
      <c r="AD66" s="24">
        <v>0</v>
      </c>
      <c r="AE66" s="24"/>
      <c r="AF66" s="24">
        <v>0</v>
      </c>
      <c r="AG66" s="27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9">
        <f t="shared" si="107"/>
        <v>0</v>
      </c>
      <c r="AN66" s="29">
        <f t="shared" si="107"/>
        <v>0</v>
      </c>
      <c r="AO66" s="29">
        <f t="shared" si="108"/>
        <v>0</v>
      </c>
      <c r="AP66" s="29">
        <f t="shared" si="108"/>
        <v>0</v>
      </c>
      <c r="AQ66" s="29"/>
    </row>
    <row r="67" spans="1:43" x14ac:dyDescent="0.2">
      <c r="A67" s="89"/>
      <c r="D67" s="7">
        <v>3</v>
      </c>
      <c r="E67" s="86" t="s">
        <v>18</v>
      </c>
      <c r="F67" s="24">
        <v>0</v>
      </c>
      <c r="G67" s="24">
        <v>513.84699999999998</v>
      </c>
      <c r="H67" s="24">
        <v>0</v>
      </c>
      <c r="I67" s="24">
        <v>0</v>
      </c>
      <c r="J67" s="29">
        <f t="shared" si="109"/>
        <v>513.84699999999998</v>
      </c>
      <c r="K67" s="24">
        <v>0</v>
      </c>
      <c r="L67" s="29">
        <f>J67+K67</f>
        <v>513.84699999999998</v>
      </c>
      <c r="M67" s="24">
        <v>3132.8074000000001</v>
      </c>
      <c r="N67" s="24">
        <v>0</v>
      </c>
      <c r="O67" s="29">
        <f t="shared" si="110"/>
        <v>3132.8074000000001</v>
      </c>
      <c r="P67" s="24">
        <v>1233.0491999999999</v>
      </c>
      <c r="Q67" s="29">
        <f>P67+O67</f>
        <v>4365.8566000000001</v>
      </c>
      <c r="R67" s="30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4">
        <v>0</v>
      </c>
      <c r="Z67" s="24">
        <v>0</v>
      </c>
      <c r="AA67" s="29">
        <f>AC67+AH67</f>
        <v>0</v>
      </c>
      <c r="AB67" s="29">
        <f>AE67+AN67</f>
        <v>0</v>
      </c>
      <c r="AC67" s="24"/>
      <c r="AD67" s="24">
        <v>0</v>
      </c>
      <c r="AE67" s="24"/>
      <c r="AF67" s="24">
        <v>0</v>
      </c>
      <c r="AG67" s="27">
        <v>0</v>
      </c>
      <c r="AH67" s="24">
        <v>0</v>
      </c>
      <c r="AI67" s="24">
        <v>0</v>
      </c>
      <c r="AJ67" s="24">
        <v>0</v>
      </c>
      <c r="AK67" s="24">
        <v>0</v>
      </c>
      <c r="AL67" s="24">
        <v>0</v>
      </c>
      <c r="AM67" s="29">
        <f t="shared" si="107"/>
        <v>0</v>
      </c>
      <c r="AN67" s="29">
        <f t="shared" si="107"/>
        <v>0</v>
      </c>
      <c r="AO67" s="29">
        <f t="shared" si="108"/>
        <v>0</v>
      </c>
      <c r="AP67" s="29">
        <f t="shared" si="108"/>
        <v>0</v>
      </c>
      <c r="AQ67" s="29"/>
    </row>
    <row r="68" spans="1:43" x14ac:dyDescent="0.2">
      <c r="A68" s="89"/>
      <c r="D68" s="7">
        <v>4</v>
      </c>
      <c r="E68" s="8" t="s">
        <v>19</v>
      </c>
      <c r="F68" s="24">
        <v>0</v>
      </c>
      <c r="G68" s="24">
        <v>713.66200000000003</v>
      </c>
      <c r="H68" s="24">
        <v>4351.47</v>
      </c>
      <c r="I68" s="24">
        <v>0</v>
      </c>
      <c r="J68" s="29">
        <f t="shared" si="109"/>
        <v>5065.1320000000005</v>
      </c>
      <c r="K68" s="24">
        <v>1299.9332999999999</v>
      </c>
      <c r="L68" s="29">
        <f>J68+K68</f>
        <v>6365.0653000000002</v>
      </c>
      <c r="M68" s="24">
        <v>3311.51</v>
      </c>
      <c r="N68" s="24">
        <v>0</v>
      </c>
      <c r="O68" s="29">
        <f t="shared" si="110"/>
        <v>3311.51</v>
      </c>
      <c r="P68" s="24">
        <v>2851.85</v>
      </c>
      <c r="Q68" s="29">
        <f>P68+O68</f>
        <v>6163.3600000000006</v>
      </c>
      <c r="R68" s="30">
        <v>201.69582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4">
        <v>0</v>
      </c>
      <c r="Z68" s="24">
        <v>134.46</v>
      </c>
      <c r="AA68" s="29">
        <f>AC68+AH68</f>
        <v>0</v>
      </c>
      <c r="AB68" s="29">
        <f>AE68+AN68</f>
        <v>0</v>
      </c>
      <c r="AC68" s="24"/>
      <c r="AD68" s="24">
        <v>0</v>
      </c>
      <c r="AE68" s="24"/>
      <c r="AF68" s="24">
        <v>0</v>
      </c>
      <c r="AG68" s="27">
        <v>0</v>
      </c>
      <c r="AH68" s="24">
        <v>0</v>
      </c>
      <c r="AI68" s="24">
        <v>0</v>
      </c>
      <c r="AJ68" s="24">
        <v>0</v>
      </c>
      <c r="AK68" s="24">
        <v>0</v>
      </c>
      <c r="AL68" s="24">
        <v>0</v>
      </c>
      <c r="AM68" s="29">
        <f t="shared" si="107"/>
        <v>0</v>
      </c>
      <c r="AN68" s="29">
        <f t="shared" si="107"/>
        <v>0</v>
      </c>
      <c r="AO68" s="29">
        <f t="shared" si="108"/>
        <v>0</v>
      </c>
      <c r="AP68" s="29">
        <f t="shared" si="108"/>
        <v>0</v>
      </c>
      <c r="AQ68" s="29"/>
    </row>
    <row r="69" spans="1:43" x14ac:dyDescent="0.2">
      <c r="A69" s="89"/>
      <c r="D69" s="7">
        <v>5</v>
      </c>
      <c r="E69" s="8" t="s">
        <v>20</v>
      </c>
      <c r="F69" s="24">
        <v>0</v>
      </c>
      <c r="G69" s="24">
        <v>417.25700000000001</v>
      </c>
      <c r="H69" s="24">
        <v>620.69000000000005</v>
      </c>
      <c r="I69" s="24">
        <v>0</v>
      </c>
      <c r="J69" s="29">
        <f t="shared" si="109"/>
        <v>1037.9470000000001</v>
      </c>
      <c r="K69" s="24">
        <v>2717.39</v>
      </c>
      <c r="L69" s="29">
        <f>J69+K69</f>
        <v>3755.337</v>
      </c>
      <c r="M69" s="24">
        <v>3122.9</v>
      </c>
      <c r="N69" s="24">
        <v>0</v>
      </c>
      <c r="O69" s="29">
        <f t="shared" si="110"/>
        <v>3122.9</v>
      </c>
      <c r="P69" s="24">
        <v>480.71</v>
      </c>
      <c r="Q69" s="29">
        <f>P69+O69</f>
        <v>3603.61</v>
      </c>
      <c r="R69" s="30">
        <v>151.72699999999986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4">
        <v>0</v>
      </c>
      <c r="Z69" s="24">
        <v>322.23</v>
      </c>
      <c r="AA69" s="29">
        <f>AC69+AH69</f>
        <v>0</v>
      </c>
      <c r="AB69" s="29">
        <f>AE69+AN69</f>
        <v>0</v>
      </c>
      <c r="AC69" s="24"/>
      <c r="AD69" s="24">
        <v>0</v>
      </c>
      <c r="AE69" s="24"/>
      <c r="AF69" s="24">
        <v>0</v>
      </c>
      <c r="AG69" s="27">
        <v>0</v>
      </c>
      <c r="AH69" s="24">
        <v>0</v>
      </c>
      <c r="AI69" s="24">
        <v>0</v>
      </c>
      <c r="AJ69" s="24">
        <v>0</v>
      </c>
      <c r="AK69" s="24">
        <v>0</v>
      </c>
      <c r="AL69" s="24">
        <v>0</v>
      </c>
      <c r="AM69" s="29">
        <f t="shared" si="107"/>
        <v>0</v>
      </c>
      <c r="AN69" s="29">
        <f t="shared" si="107"/>
        <v>0</v>
      </c>
      <c r="AO69" s="29">
        <f t="shared" si="108"/>
        <v>0</v>
      </c>
      <c r="AP69" s="29">
        <f t="shared" si="108"/>
        <v>0</v>
      </c>
      <c r="AQ69" s="29"/>
    </row>
    <row r="70" spans="1:43" x14ac:dyDescent="0.2">
      <c r="A70" s="89"/>
      <c r="E70" s="8"/>
      <c r="F70" s="25">
        <f>SUM(F65:F69)</f>
        <v>0</v>
      </c>
      <c r="G70" s="25">
        <f t="shared" ref="G70:H70" si="111">SUM(G65:G69)</f>
        <v>2237.2839816999999</v>
      </c>
      <c r="H70" s="25">
        <f t="shared" si="111"/>
        <v>9275.4</v>
      </c>
      <c r="I70" s="25">
        <f>SUM(I65:I69)</f>
        <v>0</v>
      </c>
      <c r="J70" s="25">
        <f>SUM(J65:J69)</f>
        <v>11512.6839817</v>
      </c>
      <c r="K70" s="25">
        <f t="shared" ref="K70:L70" si="112">SUM(K65:K69)</f>
        <v>4372.3163999999997</v>
      </c>
      <c r="L70" s="25">
        <f t="shared" si="112"/>
        <v>15885.0003817</v>
      </c>
      <c r="M70" s="25">
        <f>SUM(M65:M69)</f>
        <v>14840.9424</v>
      </c>
      <c r="N70" s="25">
        <f>SUM(N65:N69)</f>
        <v>0</v>
      </c>
      <c r="O70" s="25">
        <f>SUM(O65:O69)</f>
        <v>14840.9424</v>
      </c>
      <c r="P70" s="25">
        <f>SUM(P65:P69)</f>
        <v>7029.8581999999997</v>
      </c>
      <c r="Q70" s="25">
        <f t="shared" ref="Q70" si="113">SUM(Q65:Q69)</f>
        <v>21870.800600000002</v>
      </c>
      <c r="R70" s="25">
        <f>SUM(R65:R69)</f>
        <v>523.72878999999989</v>
      </c>
      <c r="S70" s="25">
        <f t="shared" ref="S70:X70" si="114">SUM(S65:S69)</f>
        <v>0</v>
      </c>
      <c r="T70" s="25">
        <f t="shared" si="114"/>
        <v>0</v>
      </c>
      <c r="U70" s="25">
        <f t="shared" si="114"/>
        <v>0</v>
      </c>
      <c r="V70" s="25">
        <f t="shared" si="114"/>
        <v>0</v>
      </c>
      <c r="W70" s="25">
        <f t="shared" si="114"/>
        <v>0</v>
      </c>
      <c r="X70" s="25">
        <f t="shared" si="114"/>
        <v>0</v>
      </c>
      <c r="Y70" s="25">
        <f t="shared" ref="Y70:AK70" si="115">SUM(Y65:Y69)</f>
        <v>0</v>
      </c>
      <c r="Z70" s="25">
        <f t="shared" si="115"/>
        <v>2657.5419999999999</v>
      </c>
      <c r="AA70" s="25">
        <f t="shared" ref="AA70:AB70" si="116">SUM(AA65:AA69)</f>
        <v>0</v>
      </c>
      <c r="AB70" s="25">
        <f t="shared" si="116"/>
        <v>0</v>
      </c>
      <c r="AC70" s="25"/>
      <c r="AD70" s="25">
        <f>SUM(AD65:AD69)</f>
        <v>0</v>
      </c>
      <c r="AE70" s="25"/>
      <c r="AF70" s="25">
        <f t="shared" si="115"/>
        <v>0</v>
      </c>
      <c r="AG70" s="25">
        <f t="shared" si="115"/>
        <v>0</v>
      </c>
      <c r="AH70" s="25">
        <f>SUM(AH65:AH69)</f>
        <v>0</v>
      </c>
      <c r="AI70" s="25">
        <f t="shared" si="115"/>
        <v>0</v>
      </c>
      <c r="AJ70" s="25">
        <f>SUM(AJ65:AJ69)</f>
        <v>0</v>
      </c>
      <c r="AK70" s="25">
        <f t="shared" si="115"/>
        <v>0</v>
      </c>
      <c r="AL70" s="25">
        <f>SUM(AL65:AL69)</f>
        <v>0</v>
      </c>
      <c r="AM70" s="25">
        <f t="shared" ref="AM70:AN70" si="117">SUM(AM65:AM69)</f>
        <v>0</v>
      </c>
      <c r="AN70" s="25">
        <f t="shared" si="117"/>
        <v>0</v>
      </c>
      <c r="AO70" s="25">
        <f>SUM(AO65:AO69)</f>
        <v>0</v>
      </c>
      <c r="AP70" s="25">
        <f>SUM(AP65:AP69)</f>
        <v>0</v>
      </c>
      <c r="AQ70" s="50"/>
    </row>
    <row r="71" spans="1:43" x14ac:dyDescent="0.2">
      <c r="A71" s="89"/>
      <c r="S71" s="25"/>
      <c r="T71" s="25"/>
      <c r="U71" s="25"/>
      <c r="V71" s="25"/>
      <c r="W71" s="25"/>
      <c r="X71" s="25"/>
    </row>
    <row r="72" spans="1:43" x14ac:dyDescent="0.2">
      <c r="A72" s="89"/>
      <c r="B72" s="7">
        <v>2</v>
      </c>
      <c r="C72" s="20" t="s">
        <v>106</v>
      </c>
      <c r="D72" s="7">
        <v>1</v>
      </c>
      <c r="E72" s="86" t="s">
        <v>16</v>
      </c>
      <c r="F72" s="24">
        <v>0</v>
      </c>
      <c r="G72" s="33">
        <v>4.8249817000000004</v>
      </c>
      <c r="H72" s="24">
        <v>0</v>
      </c>
      <c r="I72" s="24">
        <v>0</v>
      </c>
      <c r="J72" s="29">
        <f>F72+G72+H72+I72</f>
        <v>4.8249817000000004</v>
      </c>
      <c r="K72" s="24">
        <v>0</v>
      </c>
      <c r="L72" s="29">
        <f>J72+K72</f>
        <v>4.8249817000000004</v>
      </c>
      <c r="M72" s="24">
        <v>2042.355</v>
      </c>
      <c r="N72" s="24">
        <v>0</v>
      </c>
      <c r="O72" s="29">
        <f>M72+N72</f>
        <v>2042.355</v>
      </c>
      <c r="P72" s="24">
        <v>620.00900000000001</v>
      </c>
      <c r="Q72" s="29">
        <f>P72+O72</f>
        <v>2662.364</v>
      </c>
      <c r="R72" s="30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4">
        <v>0</v>
      </c>
      <c r="Z72" s="24">
        <v>472.30200000000002</v>
      </c>
      <c r="AA72" s="29">
        <f>AC72+AH72</f>
        <v>0</v>
      </c>
      <c r="AB72" s="29">
        <f>AE72+AN72</f>
        <v>0</v>
      </c>
      <c r="AC72" s="24"/>
      <c r="AD72" s="24">
        <v>0</v>
      </c>
      <c r="AE72" s="24"/>
      <c r="AF72" s="24">
        <v>0</v>
      </c>
      <c r="AG72" s="27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9">
        <f t="shared" ref="AM72:AN76" si="118">AI72+AK72</f>
        <v>0</v>
      </c>
      <c r="AN72" s="29">
        <f t="shared" si="118"/>
        <v>0</v>
      </c>
      <c r="AO72" s="29">
        <f t="shared" ref="AO72:AP76" si="119">AG72+AM72</f>
        <v>0</v>
      </c>
      <c r="AP72" s="29">
        <f t="shared" si="119"/>
        <v>0</v>
      </c>
      <c r="AQ72" s="29"/>
    </row>
    <row r="73" spans="1:43" x14ac:dyDescent="0.2">
      <c r="A73" s="89"/>
      <c r="D73" s="7">
        <v>2</v>
      </c>
      <c r="E73" s="87" t="s">
        <v>17</v>
      </c>
      <c r="F73" s="24">
        <v>0</v>
      </c>
      <c r="G73" s="33">
        <v>0</v>
      </c>
      <c r="H73" s="24">
        <v>4303.24</v>
      </c>
      <c r="I73" s="24">
        <v>0</v>
      </c>
      <c r="J73" s="29">
        <f t="shared" ref="J73:J76" si="120">F73+G73+H73+I73</f>
        <v>4303.24</v>
      </c>
      <c r="K73" s="24">
        <v>354.99310000000003</v>
      </c>
      <c r="L73" s="29">
        <f>J73+K73</f>
        <v>4658.2330999999995</v>
      </c>
      <c r="M73" s="24">
        <v>3231.37</v>
      </c>
      <c r="N73" s="24">
        <v>0</v>
      </c>
      <c r="O73" s="29">
        <f t="shared" ref="O73:O76" si="121">M73+N73</f>
        <v>3231.37</v>
      </c>
      <c r="P73" s="24">
        <v>1844.24</v>
      </c>
      <c r="Q73" s="29">
        <f>P73+O73</f>
        <v>5075.6099999999997</v>
      </c>
      <c r="R73" s="30">
        <v>170.30597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4">
        <v>0</v>
      </c>
      <c r="Z73" s="24">
        <v>1728.55</v>
      </c>
      <c r="AA73" s="29">
        <f>AC73+AH73</f>
        <v>0</v>
      </c>
      <c r="AB73" s="29">
        <f>AE73+AN73</f>
        <v>0</v>
      </c>
      <c r="AC73" s="24"/>
      <c r="AD73" s="24">
        <v>0</v>
      </c>
      <c r="AE73" s="24"/>
      <c r="AF73" s="24">
        <v>0</v>
      </c>
      <c r="AG73" s="27">
        <v>0</v>
      </c>
      <c r="AH73" s="24">
        <v>0</v>
      </c>
      <c r="AI73" s="24">
        <v>0</v>
      </c>
      <c r="AJ73" s="24">
        <v>0</v>
      </c>
      <c r="AK73" s="24">
        <v>0</v>
      </c>
      <c r="AL73" s="24">
        <v>0</v>
      </c>
      <c r="AM73" s="29">
        <f t="shared" si="118"/>
        <v>0</v>
      </c>
      <c r="AN73" s="29">
        <f t="shared" si="118"/>
        <v>0</v>
      </c>
      <c r="AO73" s="29">
        <f t="shared" si="119"/>
        <v>0</v>
      </c>
      <c r="AP73" s="29">
        <f t="shared" si="119"/>
        <v>0</v>
      </c>
      <c r="AQ73" s="29"/>
    </row>
    <row r="74" spans="1:43" x14ac:dyDescent="0.2">
      <c r="A74" s="89"/>
      <c r="D74" s="7">
        <v>3</v>
      </c>
      <c r="E74" s="86" t="s">
        <v>18</v>
      </c>
      <c r="F74" s="24">
        <v>0</v>
      </c>
      <c r="G74" s="24">
        <v>513.84699999999998</v>
      </c>
      <c r="H74" s="24">
        <v>0</v>
      </c>
      <c r="I74" s="24">
        <v>0</v>
      </c>
      <c r="J74" s="29">
        <f t="shared" si="120"/>
        <v>513.84699999999998</v>
      </c>
      <c r="K74" s="24">
        <v>0</v>
      </c>
      <c r="L74" s="29">
        <f>J74+K74</f>
        <v>513.84699999999998</v>
      </c>
      <c r="M74" s="24">
        <v>3132.8074000000001</v>
      </c>
      <c r="N74" s="24">
        <v>0</v>
      </c>
      <c r="O74" s="29">
        <f t="shared" si="121"/>
        <v>3132.8074000000001</v>
      </c>
      <c r="P74" s="24">
        <v>1233.0491999999999</v>
      </c>
      <c r="Q74" s="29">
        <f>P74+O74</f>
        <v>4365.8566000000001</v>
      </c>
      <c r="R74" s="30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4">
        <v>0</v>
      </c>
      <c r="Z74" s="24">
        <v>0</v>
      </c>
      <c r="AA74" s="29">
        <f>AC74+AH74</f>
        <v>0</v>
      </c>
      <c r="AB74" s="29">
        <f>AE74+AN74</f>
        <v>0</v>
      </c>
      <c r="AC74" s="24"/>
      <c r="AD74" s="24">
        <v>0</v>
      </c>
      <c r="AE74" s="24"/>
      <c r="AF74" s="24">
        <v>0</v>
      </c>
      <c r="AG74" s="27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9">
        <f t="shared" si="118"/>
        <v>0</v>
      </c>
      <c r="AN74" s="29">
        <f t="shared" si="118"/>
        <v>0</v>
      </c>
      <c r="AO74" s="29">
        <f t="shared" si="119"/>
        <v>0</v>
      </c>
      <c r="AP74" s="29">
        <f t="shared" si="119"/>
        <v>0</v>
      </c>
      <c r="AQ74" s="29"/>
    </row>
    <row r="75" spans="1:43" x14ac:dyDescent="0.2">
      <c r="A75" s="89"/>
      <c r="D75" s="7">
        <v>4</v>
      </c>
      <c r="E75" s="87" t="s">
        <v>19</v>
      </c>
      <c r="F75" s="24">
        <v>0</v>
      </c>
      <c r="G75" s="33">
        <v>579.20196999999996</v>
      </c>
      <c r="H75" s="24">
        <v>4351.47</v>
      </c>
      <c r="I75" s="24">
        <v>0</v>
      </c>
      <c r="J75" s="29">
        <f t="shared" si="120"/>
        <v>4930.6719700000003</v>
      </c>
      <c r="K75" s="24">
        <v>1299.9332999999999</v>
      </c>
      <c r="L75" s="29">
        <f>J75+K75</f>
        <v>6230.60527</v>
      </c>
      <c r="M75" s="24">
        <v>3311.51</v>
      </c>
      <c r="N75" s="24">
        <v>0</v>
      </c>
      <c r="O75" s="29">
        <f t="shared" si="121"/>
        <v>3311.51</v>
      </c>
      <c r="P75" s="24">
        <v>2851.85</v>
      </c>
      <c r="Q75" s="29">
        <f>P75+O75</f>
        <v>6163.3600000000006</v>
      </c>
      <c r="R75" s="30">
        <v>201.69582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4">
        <v>0</v>
      </c>
      <c r="Z75" s="24">
        <v>134.46</v>
      </c>
      <c r="AA75" s="29">
        <f>AC75+AH75</f>
        <v>0</v>
      </c>
      <c r="AB75" s="29">
        <f>AE75+AN75</f>
        <v>0</v>
      </c>
      <c r="AC75" s="24"/>
      <c r="AD75" s="24">
        <v>0</v>
      </c>
      <c r="AE75" s="24"/>
      <c r="AF75" s="24">
        <v>0</v>
      </c>
      <c r="AG75" s="27">
        <v>0</v>
      </c>
      <c r="AH75" s="24">
        <v>0</v>
      </c>
      <c r="AI75" s="24">
        <v>0</v>
      </c>
      <c r="AJ75" s="24">
        <v>0</v>
      </c>
      <c r="AK75" s="24">
        <v>0</v>
      </c>
      <c r="AL75" s="24">
        <v>0</v>
      </c>
      <c r="AM75" s="29">
        <f t="shared" si="118"/>
        <v>0</v>
      </c>
      <c r="AN75" s="29">
        <f t="shared" si="118"/>
        <v>0</v>
      </c>
      <c r="AO75" s="29">
        <f t="shared" si="119"/>
        <v>0</v>
      </c>
      <c r="AP75" s="29">
        <f t="shared" si="119"/>
        <v>0</v>
      </c>
      <c r="AQ75" s="29"/>
    </row>
    <row r="76" spans="1:43" x14ac:dyDescent="0.2">
      <c r="A76" s="89"/>
      <c r="D76" s="7">
        <v>5</v>
      </c>
      <c r="E76" s="87" t="s">
        <v>20</v>
      </c>
      <c r="F76" s="24">
        <v>0</v>
      </c>
      <c r="G76" s="33">
        <v>95.026979999999995</v>
      </c>
      <c r="H76" s="24">
        <v>620.69000000000005</v>
      </c>
      <c r="I76" s="24">
        <v>0</v>
      </c>
      <c r="J76" s="29">
        <f t="shared" si="120"/>
        <v>715.71698000000004</v>
      </c>
      <c r="K76" s="24">
        <v>2717.39</v>
      </c>
      <c r="L76" s="29">
        <f>J76+K76</f>
        <v>3433.10698</v>
      </c>
      <c r="M76" s="24">
        <v>3122.9</v>
      </c>
      <c r="N76" s="24">
        <v>0</v>
      </c>
      <c r="O76" s="29">
        <f t="shared" si="121"/>
        <v>3122.9</v>
      </c>
      <c r="P76" s="24">
        <v>480.71</v>
      </c>
      <c r="Q76" s="29">
        <f>P76+O76</f>
        <v>3603.61</v>
      </c>
      <c r="R76" s="30">
        <v>151.72699999999986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4">
        <v>0</v>
      </c>
      <c r="Z76" s="24">
        <v>322.23</v>
      </c>
      <c r="AA76" s="29">
        <f>AC76+AH76</f>
        <v>0</v>
      </c>
      <c r="AB76" s="29">
        <f>AE76+AN76</f>
        <v>0</v>
      </c>
      <c r="AC76" s="24"/>
      <c r="AD76" s="24">
        <v>0</v>
      </c>
      <c r="AE76" s="24"/>
      <c r="AF76" s="24">
        <v>0</v>
      </c>
      <c r="AG76" s="27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9">
        <f t="shared" si="118"/>
        <v>0</v>
      </c>
      <c r="AN76" s="29">
        <f t="shared" si="118"/>
        <v>0</v>
      </c>
      <c r="AO76" s="29">
        <f t="shared" si="119"/>
        <v>0</v>
      </c>
      <c r="AP76" s="29">
        <f t="shared" si="119"/>
        <v>0</v>
      </c>
      <c r="AQ76" s="29"/>
    </row>
    <row r="77" spans="1:43" x14ac:dyDescent="0.2">
      <c r="A77" s="89"/>
      <c r="E77" s="8"/>
      <c r="F77" s="25">
        <f>SUM(F72:F76)</f>
        <v>0</v>
      </c>
      <c r="G77" s="25">
        <f t="shared" ref="G77:H77" si="122">SUM(G72:G76)</f>
        <v>1192.9009317</v>
      </c>
      <c r="H77" s="25">
        <f t="shared" si="122"/>
        <v>9275.4</v>
      </c>
      <c r="I77" s="25">
        <f>SUM(I72:I76)</f>
        <v>0</v>
      </c>
      <c r="J77" s="25">
        <f>SUM(J72:J76)</f>
        <v>10468.300931699998</v>
      </c>
      <c r="K77" s="25">
        <f t="shared" ref="K77:L77" si="123">SUM(K72:K76)</f>
        <v>4372.3163999999997</v>
      </c>
      <c r="L77" s="25">
        <f t="shared" si="123"/>
        <v>14840.617331699999</v>
      </c>
      <c r="M77" s="25">
        <f>SUM(M72:M76)</f>
        <v>14840.9424</v>
      </c>
      <c r="N77" s="25">
        <f>SUM(N72:N76)</f>
        <v>0</v>
      </c>
      <c r="O77" s="25">
        <f>SUM(O72:O76)</f>
        <v>14840.9424</v>
      </c>
      <c r="P77" s="25">
        <f>SUM(P72:P76)</f>
        <v>7029.8581999999997</v>
      </c>
      <c r="Q77" s="25">
        <f t="shared" ref="Q77" si="124">SUM(Q72:Q76)</f>
        <v>21870.800600000002</v>
      </c>
      <c r="R77" s="25">
        <f>SUM(R72:R76)</f>
        <v>523.72878999999989</v>
      </c>
      <c r="S77" s="25">
        <f t="shared" ref="S77:X77" si="125">SUM(S72:S76)</f>
        <v>0</v>
      </c>
      <c r="T77" s="25">
        <f t="shared" si="125"/>
        <v>0</v>
      </c>
      <c r="U77" s="25">
        <f t="shared" si="125"/>
        <v>0</v>
      </c>
      <c r="V77" s="25">
        <f t="shared" si="125"/>
        <v>0</v>
      </c>
      <c r="W77" s="25">
        <f t="shared" si="125"/>
        <v>0</v>
      </c>
      <c r="X77" s="25">
        <f t="shared" si="125"/>
        <v>0</v>
      </c>
      <c r="Y77" s="25">
        <f t="shared" ref="Y77:AK77" si="126">SUM(Y72:Y76)</f>
        <v>0</v>
      </c>
      <c r="Z77" s="25">
        <f t="shared" si="126"/>
        <v>2657.5419999999999</v>
      </c>
      <c r="AA77" s="25">
        <f t="shared" ref="AA77:AB77" si="127">SUM(AA72:AA76)</f>
        <v>0</v>
      </c>
      <c r="AB77" s="25">
        <f t="shared" si="127"/>
        <v>0</v>
      </c>
      <c r="AC77" s="25"/>
      <c r="AD77" s="25">
        <f>SUM(AD72:AD76)</f>
        <v>0</v>
      </c>
      <c r="AE77" s="25"/>
      <c r="AF77" s="25">
        <f t="shared" si="126"/>
        <v>0</v>
      </c>
      <c r="AG77" s="25">
        <f t="shared" si="126"/>
        <v>0</v>
      </c>
      <c r="AH77" s="25">
        <f>SUM(AH72:AH76)</f>
        <v>0</v>
      </c>
      <c r="AI77" s="25">
        <f t="shared" si="126"/>
        <v>0</v>
      </c>
      <c r="AJ77" s="25">
        <f>SUM(AJ72:AJ76)</f>
        <v>0</v>
      </c>
      <c r="AK77" s="25">
        <f t="shared" si="126"/>
        <v>0</v>
      </c>
      <c r="AL77" s="25">
        <f>SUM(AL72:AL76)</f>
        <v>0</v>
      </c>
      <c r="AM77" s="25">
        <f t="shared" ref="AM77:AN77" si="128">SUM(AM72:AM76)</f>
        <v>0</v>
      </c>
      <c r="AN77" s="25">
        <f t="shared" si="128"/>
        <v>0</v>
      </c>
      <c r="AO77" s="25">
        <f>SUM(AO72:AO76)</f>
        <v>0</v>
      </c>
      <c r="AP77" s="25">
        <f>SUM(AP72:AP76)</f>
        <v>0</v>
      </c>
      <c r="AQ77" s="50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781D-766D-8847-A154-4FEA62D812EA}">
  <sheetPr>
    <tabColor rgb="FFFFFF00"/>
  </sheetPr>
  <dimension ref="A1:AT48"/>
  <sheetViews>
    <sheetView tabSelected="1" zoomScale="135" zoomScaleNormal="100" workbookViewId="0">
      <pane xSplit="4" ySplit="1" topLeftCell="Y12" activePane="bottomRight" state="frozen"/>
      <selection pane="topRight"/>
      <selection pane="bottomLeft"/>
      <selection pane="bottomRight" activeCell="AL19" sqref="AL19"/>
    </sheetView>
  </sheetViews>
  <sheetFormatPr baseColWidth="10" defaultRowHeight="16" x14ac:dyDescent="0.2"/>
  <cols>
    <col min="1" max="1" width="6.140625" style="7" bestFit="1" customWidth="1"/>
    <col min="2" max="2" width="2.85546875" style="6" customWidth="1"/>
    <col min="3" max="3" width="3" style="6" bestFit="1" customWidth="1"/>
    <col min="4" max="4" width="3.28515625" style="21" bestFit="1" customWidth="1"/>
    <col min="5" max="5" width="4.85546875" style="6" bestFit="1" customWidth="1"/>
    <col min="6" max="9" width="6.5703125" style="28" bestFit="1" customWidth="1"/>
    <col min="10" max="10" width="5.7109375" style="28" bestFit="1" customWidth="1"/>
    <col min="11" max="11" width="6.5703125" style="28" bestFit="1" customWidth="1"/>
    <col min="12" max="12" width="7.5703125" style="26" customWidth="1"/>
    <col min="13" max="13" width="6.5703125" style="28" bestFit="1" customWidth="1"/>
    <col min="14" max="15" width="5.7109375" style="28" bestFit="1" customWidth="1"/>
    <col min="16" max="18" width="6.5703125" style="28" bestFit="1" customWidth="1"/>
    <col min="19" max="19" width="7.5703125" style="26" customWidth="1"/>
    <col min="20" max="20" width="6.5703125" style="28" customWidth="1"/>
    <col min="21" max="21" width="4" style="28" bestFit="1" customWidth="1"/>
    <col min="22" max="22" width="4.85546875" style="28" bestFit="1" customWidth="1"/>
    <col min="23" max="24" width="4" style="28" bestFit="1" customWidth="1"/>
    <col min="25" max="25" width="5.7109375" style="28" bestFit="1" customWidth="1"/>
    <col min="26" max="26" width="7.5703125" style="26" customWidth="1"/>
    <col min="27" max="27" width="7.28515625" style="28" bestFit="1" customWidth="1"/>
    <col min="28" max="28" width="5.7109375" style="28" bestFit="1" customWidth="1"/>
    <col min="29" max="31" width="4" style="28" bestFit="1" customWidth="1"/>
    <col min="32" max="32" width="5.7109375" style="28" bestFit="1" customWidth="1"/>
    <col min="33" max="33" width="7.5703125" style="26" customWidth="1"/>
    <col min="34" max="34" width="6.7109375" style="28" customWidth="1"/>
    <col min="35" max="36" width="5.7109375" style="28" bestFit="1" customWidth="1"/>
    <col min="37" max="39" width="6.5703125" style="28" bestFit="1" customWidth="1"/>
    <col min="40" max="40" width="7.5703125" style="26" customWidth="1"/>
    <col min="41" max="41" width="6.5703125" style="28" bestFit="1" customWidth="1"/>
    <col min="42" max="42" width="5.7109375" style="28" bestFit="1" customWidth="1"/>
    <col min="43" max="45" width="4" style="28" bestFit="1" customWidth="1"/>
    <col min="46" max="46" width="6.5703125" style="28" bestFit="1" customWidth="1"/>
    <col min="47" max="16384" width="10.7109375" style="7"/>
  </cols>
  <sheetData>
    <row r="1" spans="1:46" s="16" customFormat="1" ht="51" x14ac:dyDescent="0.2">
      <c r="A1" s="16" t="s">
        <v>100</v>
      </c>
      <c r="B1" s="17" t="s">
        <v>14</v>
      </c>
      <c r="C1" s="17" t="s">
        <v>42</v>
      </c>
      <c r="D1" s="48" t="s">
        <v>29</v>
      </c>
      <c r="E1" s="17"/>
      <c r="F1" s="22" t="s">
        <v>6</v>
      </c>
      <c r="G1" s="23"/>
      <c r="H1" s="23"/>
      <c r="I1" s="23"/>
      <c r="J1" s="23"/>
      <c r="K1" s="23"/>
      <c r="L1" s="22"/>
      <c r="M1" s="22" t="s">
        <v>1</v>
      </c>
      <c r="N1" s="23"/>
      <c r="O1" s="23"/>
      <c r="P1" s="23"/>
      <c r="Q1" s="23"/>
      <c r="R1" s="23"/>
      <c r="S1" s="22"/>
      <c r="T1" s="22" t="s">
        <v>33</v>
      </c>
      <c r="U1" s="23"/>
      <c r="V1" s="23"/>
      <c r="W1" s="23"/>
      <c r="X1" s="23"/>
      <c r="Y1" s="23"/>
      <c r="Z1" s="22"/>
      <c r="AA1" s="23" t="s">
        <v>36</v>
      </c>
      <c r="AB1" s="23"/>
      <c r="AC1" s="23"/>
      <c r="AD1" s="23"/>
      <c r="AE1" s="23"/>
      <c r="AF1" s="23"/>
      <c r="AG1" s="22"/>
      <c r="AH1" s="23" t="s">
        <v>35</v>
      </c>
      <c r="AI1" s="23"/>
      <c r="AJ1" s="23"/>
      <c r="AK1" s="23"/>
      <c r="AL1" s="23"/>
      <c r="AM1" s="23"/>
      <c r="AN1" s="22"/>
      <c r="AO1" s="23" t="s">
        <v>37</v>
      </c>
      <c r="AP1" s="23"/>
      <c r="AQ1" s="23"/>
      <c r="AR1" s="23"/>
      <c r="AS1" s="23"/>
      <c r="AT1" s="23"/>
    </row>
    <row r="2" spans="1:46" x14ac:dyDescent="0.2">
      <c r="A2" s="7">
        <v>1</v>
      </c>
      <c r="C2" s="6">
        <v>1</v>
      </c>
      <c r="D2" s="21">
        <v>0</v>
      </c>
      <c r="F2" s="24">
        <v>0</v>
      </c>
      <c r="G2" s="24">
        <v>1728.55</v>
      </c>
      <c r="H2" s="24">
        <v>0</v>
      </c>
      <c r="I2" s="24">
        <v>134.46</v>
      </c>
      <c r="J2" s="24">
        <v>322.23</v>
      </c>
      <c r="K2" s="25">
        <f>SUM(F2:J2)</f>
        <v>2185.2399999999998</v>
      </c>
      <c r="M2" s="24">
        <v>0</v>
      </c>
      <c r="N2" s="24">
        <v>109.35</v>
      </c>
      <c r="O2" s="27">
        <v>730.99</v>
      </c>
      <c r="P2" s="24">
        <v>119.26</v>
      </c>
      <c r="Q2" s="24">
        <v>0</v>
      </c>
      <c r="R2" s="25">
        <f>SUM(M2:Q2)</f>
        <v>959.6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5">
        <f>SUM(T2:X2)</f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5">
        <f>SUM(AA2:AE2)</f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5">
        <f>SUM(AH2:AL2)</f>
        <v>0</v>
      </c>
      <c r="AO2" s="29">
        <f t="shared" ref="AO2:AS6" si="0">AH2+AA2</f>
        <v>0</v>
      </c>
      <c r="AP2" s="29">
        <f t="shared" si="0"/>
        <v>0</v>
      </c>
      <c r="AQ2" s="29">
        <f t="shared" si="0"/>
        <v>0</v>
      </c>
      <c r="AR2" s="29">
        <f t="shared" si="0"/>
        <v>0</v>
      </c>
      <c r="AS2" s="29">
        <f t="shared" si="0"/>
        <v>0</v>
      </c>
      <c r="AT2" s="25">
        <f>SUM(AO2:AS2)</f>
        <v>0</v>
      </c>
    </row>
    <row r="3" spans="1:46" x14ac:dyDescent="0.2">
      <c r="F3" s="24">
        <v>109.35</v>
      </c>
      <c r="G3" s="24">
        <v>0</v>
      </c>
      <c r="H3" s="24">
        <v>289.02</v>
      </c>
      <c r="I3" s="24">
        <v>0</v>
      </c>
      <c r="J3" s="24">
        <v>0</v>
      </c>
      <c r="K3" s="25">
        <f>SUM(F3:J3)</f>
        <v>398.37</v>
      </c>
      <c r="M3" s="24">
        <v>1728.55</v>
      </c>
      <c r="N3" s="24">
        <v>0</v>
      </c>
      <c r="O3" s="24">
        <v>0</v>
      </c>
      <c r="P3" s="24">
        <v>115.69</v>
      </c>
      <c r="Q3" s="24">
        <v>0</v>
      </c>
      <c r="R3" s="25">
        <f t="shared" ref="R3:R6" si="1">SUM(M3:Q3)</f>
        <v>1844.24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5">
        <f t="shared" ref="Y3:Y6" si="2">SUM(T3:X3)</f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5">
        <f>SUM(AA3:AE3)</f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5">
        <f t="shared" ref="AM3:AM6" si="3">SUM(AH3:AL3)</f>
        <v>0</v>
      </c>
      <c r="AO3" s="29">
        <f t="shared" si="0"/>
        <v>0</v>
      </c>
      <c r="AP3" s="29">
        <f t="shared" si="0"/>
        <v>0</v>
      </c>
      <c r="AQ3" s="29">
        <f t="shared" si="0"/>
        <v>0</v>
      </c>
      <c r="AR3" s="29">
        <f t="shared" si="0"/>
        <v>0</v>
      </c>
      <c r="AS3" s="29">
        <f t="shared" si="0"/>
        <v>0</v>
      </c>
      <c r="AT3" s="25">
        <f t="shared" ref="AT3:AT6" si="4">SUM(AO3:AS3)</f>
        <v>0</v>
      </c>
    </row>
    <row r="4" spans="1:46" x14ac:dyDescent="0.2">
      <c r="F4" s="27">
        <v>730.99</v>
      </c>
      <c r="G4" s="24">
        <v>0</v>
      </c>
      <c r="H4" s="24">
        <v>0</v>
      </c>
      <c r="I4" s="24">
        <v>0</v>
      </c>
      <c r="J4" s="24">
        <v>0</v>
      </c>
      <c r="K4" s="25">
        <f>SUM(F4:J4)</f>
        <v>730.99</v>
      </c>
      <c r="M4" s="24">
        <v>0</v>
      </c>
      <c r="N4" s="24">
        <v>289.02</v>
      </c>
      <c r="O4" s="24">
        <v>0</v>
      </c>
      <c r="P4" s="24">
        <v>964.32</v>
      </c>
      <c r="Q4" s="24">
        <v>0</v>
      </c>
      <c r="R4" s="25">
        <f t="shared" si="1"/>
        <v>1253.3400000000001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5">
        <f t="shared" si="2"/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5">
        <f>SUM(AA4:AE4)</f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5">
        <f t="shared" si="3"/>
        <v>0</v>
      </c>
      <c r="AO4" s="29">
        <f t="shared" si="0"/>
        <v>0</v>
      </c>
      <c r="AP4" s="29">
        <f t="shared" si="0"/>
        <v>0</v>
      </c>
      <c r="AQ4" s="29">
        <f t="shared" si="0"/>
        <v>0</v>
      </c>
      <c r="AR4" s="29">
        <f t="shared" si="0"/>
        <v>0</v>
      </c>
      <c r="AS4" s="29">
        <f t="shared" si="0"/>
        <v>0</v>
      </c>
      <c r="AT4" s="25">
        <f t="shared" si="4"/>
        <v>0</v>
      </c>
    </row>
    <row r="5" spans="1:46" x14ac:dyDescent="0.2">
      <c r="F5" s="24">
        <v>119.26</v>
      </c>
      <c r="G5" s="24">
        <v>115.69</v>
      </c>
      <c r="H5" s="24">
        <v>964.32</v>
      </c>
      <c r="I5" s="24">
        <v>0</v>
      </c>
      <c r="J5" s="24">
        <v>158.47999999999999</v>
      </c>
      <c r="K5" s="25">
        <f>SUM(F5:J5)</f>
        <v>1357.75</v>
      </c>
      <c r="M5" s="24">
        <v>134.46</v>
      </c>
      <c r="N5" s="24">
        <v>0</v>
      </c>
      <c r="O5" s="24">
        <v>0</v>
      </c>
      <c r="P5" s="24">
        <v>0</v>
      </c>
      <c r="Q5" s="24">
        <v>2717.39</v>
      </c>
      <c r="R5" s="25">
        <f t="shared" si="1"/>
        <v>2851.85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5">
        <f t="shared" si="2"/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5">
        <f>SUM(AA5:AE5)</f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5">
        <f t="shared" si="3"/>
        <v>0</v>
      </c>
      <c r="AO5" s="29">
        <f t="shared" si="0"/>
        <v>0</v>
      </c>
      <c r="AP5" s="29">
        <f t="shared" si="0"/>
        <v>0</v>
      </c>
      <c r="AQ5" s="29">
        <f t="shared" si="0"/>
        <v>0</v>
      </c>
      <c r="AR5" s="29">
        <f t="shared" si="0"/>
        <v>0</v>
      </c>
      <c r="AS5" s="29">
        <f t="shared" si="0"/>
        <v>0</v>
      </c>
      <c r="AT5" s="25">
        <f t="shared" si="4"/>
        <v>0</v>
      </c>
    </row>
    <row r="6" spans="1:46" x14ac:dyDescent="0.2">
      <c r="F6" s="24">
        <v>0</v>
      </c>
      <c r="G6" s="24">
        <v>0</v>
      </c>
      <c r="H6" s="24">
        <v>0</v>
      </c>
      <c r="I6" s="24">
        <v>2717.39</v>
      </c>
      <c r="J6" s="24">
        <v>0</v>
      </c>
      <c r="K6" s="25">
        <f>SUM(F6:J6)</f>
        <v>2717.39</v>
      </c>
      <c r="M6" s="24">
        <v>322.23</v>
      </c>
      <c r="N6" s="24">
        <v>0</v>
      </c>
      <c r="O6" s="24">
        <v>0</v>
      </c>
      <c r="P6" s="24">
        <v>158.47999999999999</v>
      </c>
      <c r="Q6" s="24">
        <v>0</v>
      </c>
      <c r="R6" s="25">
        <f t="shared" si="1"/>
        <v>480.71000000000004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5">
        <f t="shared" si="2"/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5">
        <f>SUM(AA6:AE6)</f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5">
        <f t="shared" si="3"/>
        <v>0</v>
      </c>
      <c r="AO6" s="29">
        <f t="shared" si="0"/>
        <v>0</v>
      </c>
      <c r="AP6" s="29">
        <f t="shared" si="0"/>
        <v>0</v>
      </c>
      <c r="AQ6" s="29">
        <f t="shared" si="0"/>
        <v>0</v>
      </c>
      <c r="AR6" s="29">
        <f t="shared" si="0"/>
        <v>0</v>
      </c>
      <c r="AS6" s="29">
        <f t="shared" si="0"/>
        <v>0</v>
      </c>
      <c r="AT6" s="25">
        <f t="shared" si="4"/>
        <v>0</v>
      </c>
    </row>
    <row r="7" spans="1:46" s="9" customFormat="1" x14ac:dyDescent="0.2">
      <c r="B7" s="12"/>
      <c r="C7" s="12"/>
      <c r="D7" s="49"/>
      <c r="E7" s="12"/>
      <c r="F7" s="25">
        <f t="shared" ref="F7:K7" si="5">SUM(F2:F6)</f>
        <v>959.6</v>
      </c>
      <c r="G7" s="25">
        <f t="shared" si="5"/>
        <v>1844.24</v>
      </c>
      <c r="H7" s="25">
        <f t="shared" si="5"/>
        <v>1253.3400000000001</v>
      </c>
      <c r="I7" s="25">
        <f t="shared" si="5"/>
        <v>2851.85</v>
      </c>
      <c r="J7" s="25">
        <f t="shared" si="5"/>
        <v>480.71000000000004</v>
      </c>
      <c r="K7" s="25">
        <f t="shared" si="5"/>
        <v>7389.74</v>
      </c>
      <c r="L7" s="30"/>
      <c r="M7" s="25">
        <f t="shared" ref="M7:R7" si="6">SUM(M2:M6)</f>
        <v>2185.2399999999998</v>
      </c>
      <c r="N7" s="25">
        <f t="shared" si="6"/>
        <v>398.37</v>
      </c>
      <c r="O7" s="25">
        <f t="shared" si="6"/>
        <v>730.99</v>
      </c>
      <c r="P7" s="25">
        <f t="shared" si="6"/>
        <v>1357.75</v>
      </c>
      <c r="Q7" s="25">
        <f t="shared" si="6"/>
        <v>2717.39</v>
      </c>
      <c r="R7" s="25">
        <f t="shared" si="6"/>
        <v>7389.7400000000007</v>
      </c>
      <c r="S7" s="30"/>
      <c r="T7" s="25">
        <f t="shared" ref="T7:Y7" si="7">SUM(T2:T6)</f>
        <v>0</v>
      </c>
      <c r="U7" s="25">
        <f t="shared" si="7"/>
        <v>0</v>
      </c>
      <c r="V7" s="25">
        <f t="shared" si="7"/>
        <v>0</v>
      </c>
      <c r="W7" s="25">
        <f t="shared" si="7"/>
        <v>0</v>
      </c>
      <c r="X7" s="25">
        <f t="shared" si="7"/>
        <v>0</v>
      </c>
      <c r="Y7" s="25">
        <f t="shared" si="7"/>
        <v>0</v>
      </c>
      <c r="Z7" s="30"/>
      <c r="AA7" s="25">
        <f t="shared" ref="AA7:AF7" si="8">SUM(AA2:AA6)</f>
        <v>0</v>
      </c>
      <c r="AB7" s="25">
        <f t="shared" si="8"/>
        <v>0</v>
      </c>
      <c r="AC7" s="25">
        <f t="shared" si="8"/>
        <v>0</v>
      </c>
      <c r="AD7" s="25">
        <f t="shared" si="8"/>
        <v>0</v>
      </c>
      <c r="AE7" s="25">
        <f t="shared" si="8"/>
        <v>0</v>
      </c>
      <c r="AF7" s="25">
        <f t="shared" si="8"/>
        <v>0</v>
      </c>
      <c r="AG7" s="30"/>
      <c r="AH7" s="25">
        <f t="shared" ref="AH7:AM7" si="9">SUM(AH2:AH6)</f>
        <v>0</v>
      </c>
      <c r="AI7" s="25">
        <f t="shared" si="9"/>
        <v>0</v>
      </c>
      <c r="AJ7" s="25">
        <f t="shared" si="9"/>
        <v>0</v>
      </c>
      <c r="AK7" s="25">
        <f t="shared" si="9"/>
        <v>0</v>
      </c>
      <c r="AL7" s="25">
        <f t="shared" si="9"/>
        <v>0</v>
      </c>
      <c r="AM7" s="25">
        <f t="shared" si="9"/>
        <v>0</v>
      </c>
      <c r="AN7" s="30"/>
      <c r="AO7" s="25">
        <f>SUM(AO2:AO6)</f>
        <v>0</v>
      </c>
      <c r="AP7" s="25">
        <f t="shared" ref="AP7:AT7" si="10">SUM(AP2:AP6)</f>
        <v>0</v>
      </c>
      <c r="AQ7" s="25">
        <f t="shared" si="10"/>
        <v>0</v>
      </c>
      <c r="AR7" s="25">
        <f t="shared" si="10"/>
        <v>0</v>
      </c>
      <c r="AS7" s="25">
        <f t="shared" si="10"/>
        <v>0</v>
      </c>
      <c r="AT7" s="25">
        <f t="shared" si="10"/>
        <v>0</v>
      </c>
    </row>
    <row r="8" spans="1:46" s="12" customFormat="1" x14ac:dyDescent="0.2">
      <c r="D8" s="4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</row>
    <row r="9" spans="1:46" x14ac:dyDescent="0.2">
      <c r="C9" s="6">
        <v>2</v>
      </c>
      <c r="D9" s="21" t="s">
        <v>68</v>
      </c>
      <c r="F9" s="24">
        <v>0</v>
      </c>
      <c r="G9" s="24">
        <v>1728.55</v>
      </c>
      <c r="H9" s="24">
        <v>0</v>
      </c>
      <c r="I9" s="24">
        <v>134.46</v>
      </c>
      <c r="J9" s="24">
        <v>322.23</v>
      </c>
      <c r="K9" s="25">
        <f>SUM(F9:J9)</f>
        <v>2185.2399999999998</v>
      </c>
      <c r="M9" s="24">
        <v>0</v>
      </c>
      <c r="N9" s="63">
        <v>70.652000000000001</v>
      </c>
      <c r="O9" s="67">
        <v>472.30200000000002</v>
      </c>
      <c r="P9" s="63">
        <v>77.055000000000007</v>
      </c>
      <c r="Q9" s="24">
        <v>0</v>
      </c>
      <c r="R9" s="25">
        <f>SUM(M9:Q9)</f>
        <v>620.00900000000001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5">
        <f>SUM(T9:X9)</f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5">
        <f>SUM(AA9:AE9)</f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5">
        <f>SUM(AH9:AL9)</f>
        <v>0</v>
      </c>
      <c r="AO9" s="29">
        <f t="shared" ref="AO9:AS13" si="11">AH9+AA9</f>
        <v>0</v>
      </c>
      <c r="AP9" s="29">
        <f t="shared" si="11"/>
        <v>0</v>
      </c>
      <c r="AQ9" s="29">
        <f t="shared" si="11"/>
        <v>0</v>
      </c>
      <c r="AR9" s="29">
        <f t="shared" si="11"/>
        <v>0</v>
      </c>
      <c r="AS9" s="29">
        <f t="shared" si="11"/>
        <v>0</v>
      </c>
      <c r="AT9" s="25">
        <f>SUM(AO9:AS9)</f>
        <v>0</v>
      </c>
    </row>
    <row r="10" spans="1:46" x14ac:dyDescent="0.2">
      <c r="F10" s="63">
        <v>70.652000000000001</v>
      </c>
      <c r="G10" s="24">
        <v>0</v>
      </c>
      <c r="H10" s="24">
        <v>289.02</v>
      </c>
      <c r="I10" s="24">
        <v>0</v>
      </c>
      <c r="J10" s="24">
        <v>0</v>
      </c>
      <c r="K10" s="25">
        <f>SUM(F10:J10)</f>
        <v>359.67199999999997</v>
      </c>
      <c r="M10" s="24">
        <v>1728.55</v>
      </c>
      <c r="N10" s="24">
        <v>0</v>
      </c>
      <c r="O10" s="24">
        <v>0</v>
      </c>
      <c r="P10" s="24">
        <v>115.69</v>
      </c>
      <c r="Q10" s="24">
        <v>0</v>
      </c>
      <c r="R10" s="25">
        <f t="shared" ref="R10:R13" si="12">SUM(M10:Q10)</f>
        <v>1844.24</v>
      </c>
      <c r="T10" s="63">
        <v>38.698</v>
      </c>
      <c r="U10" s="28">
        <v>0</v>
      </c>
      <c r="V10" s="28">
        <v>0</v>
      </c>
      <c r="W10" s="28">
        <v>0</v>
      </c>
      <c r="X10" s="28">
        <v>0</v>
      </c>
      <c r="Y10" s="25">
        <f t="shared" ref="Y10:Y13" si="13">SUM(T10:X10)</f>
        <v>38.698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5">
        <f>SUM(AA10:AE10)</f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5">
        <f t="shared" ref="AM10:AM13" si="14">SUM(AH10:AL10)</f>
        <v>0</v>
      </c>
      <c r="AO10" s="29">
        <f t="shared" si="11"/>
        <v>0</v>
      </c>
      <c r="AP10" s="29">
        <f t="shared" si="11"/>
        <v>0</v>
      </c>
      <c r="AQ10" s="29">
        <f t="shared" si="11"/>
        <v>0</v>
      </c>
      <c r="AR10" s="29">
        <f t="shared" si="11"/>
        <v>0</v>
      </c>
      <c r="AS10" s="29">
        <f t="shared" si="11"/>
        <v>0</v>
      </c>
      <c r="AT10" s="25">
        <f t="shared" ref="AT10:AT13" si="15">SUM(AO10:AS10)</f>
        <v>0</v>
      </c>
    </row>
    <row r="11" spans="1:46" x14ac:dyDescent="0.2">
      <c r="F11" s="67">
        <v>472.30200000000002</v>
      </c>
      <c r="G11" s="24">
        <v>0</v>
      </c>
      <c r="H11" s="24">
        <v>0</v>
      </c>
      <c r="I11" s="24">
        <v>0</v>
      </c>
      <c r="J11" s="24">
        <v>0</v>
      </c>
      <c r="K11" s="25">
        <f>SUM(F11:J11)</f>
        <v>472.30200000000002</v>
      </c>
      <c r="M11" s="24">
        <v>0</v>
      </c>
      <c r="N11" s="24">
        <v>289.02</v>
      </c>
      <c r="O11" s="24">
        <v>0</v>
      </c>
      <c r="P11" s="24">
        <v>964.32</v>
      </c>
      <c r="Q11" s="24">
        <v>0</v>
      </c>
      <c r="R11" s="25">
        <f t="shared" si="12"/>
        <v>1253.3400000000001</v>
      </c>
      <c r="T11" s="63">
        <v>258.68799999999999</v>
      </c>
      <c r="U11" s="28">
        <v>0</v>
      </c>
      <c r="V11" s="28">
        <v>0</v>
      </c>
      <c r="W11" s="28">
        <v>0</v>
      </c>
      <c r="X11" s="28">
        <v>0</v>
      </c>
      <c r="Y11" s="25">
        <f t="shared" si="13"/>
        <v>258.68799999999999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5">
        <f>SUM(AA11:AE11)</f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5">
        <f t="shared" si="14"/>
        <v>0</v>
      </c>
      <c r="AO11" s="29">
        <f t="shared" si="11"/>
        <v>0</v>
      </c>
      <c r="AP11" s="29">
        <f t="shared" si="11"/>
        <v>0</v>
      </c>
      <c r="AQ11" s="29">
        <f t="shared" si="11"/>
        <v>0</v>
      </c>
      <c r="AR11" s="29">
        <f t="shared" si="11"/>
        <v>0</v>
      </c>
      <c r="AS11" s="29">
        <f t="shared" si="11"/>
        <v>0</v>
      </c>
      <c r="AT11" s="25">
        <f t="shared" si="15"/>
        <v>0</v>
      </c>
    </row>
    <row r="12" spans="1:46" x14ac:dyDescent="0.2">
      <c r="F12" s="63">
        <v>77.055000000000007</v>
      </c>
      <c r="G12" s="24">
        <v>115.69</v>
      </c>
      <c r="H12" s="24">
        <v>964.32</v>
      </c>
      <c r="I12" s="24">
        <v>0</v>
      </c>
      <c r="J12" s="24">
        <v>158.47999999999999</v>
      </c>
      <c r="K12" s="25">
        <f>SUM(F12:J12)</f>
        <v>1315.5450000000001</v>
      </c>
      <c r="M12" s="24">
        <v>134.46</v>
      </c>
      <c r="N12" s="24">
        <v>0</v>
      </c>
      <c r="O12" s="24">
        <v>0</v>
      </c>
      <c r="P12" s="24">
        <v>0</v>
      </c>
      <c r="Q12" s="24">
        <v>2717.39</v>
      </c>
      <c r="R12" s="25">
        <f t="shared" si="12"/>
        <v>2851.85</v>
      </c>
      <c r="T12" s="63">
        <v>42.204999999999998</v>
      </c>
      <c r="U12" s="28">
        <v>0</v>
      </c>
      <c r="V12" s="28">
        <v>0</v>
      </c>
      <c r="W12" s="28">
        <v>0</v>
      </c>
      <c r="X12" s="28">
        <v>0</v>
      </c>
      <c r="Y12" s="25">
        <f t="shared" si="13"/>
        <v>42.204999999999998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5">
        <f>SUM(AA12:AE12)</f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5">
        <f t="shared" si="14"/>
        <v>0</v>
      </c>
      <c r="AO12" s="29">
        <f t="shared" si="11"/>
        <v>0</v>
      </c>
      <c r="AP12" s="29">
        <f t="shared" si="11"/>
        <v>0</v>
      </c>
      <c r="AQ12" s="29">
        <f t="shared" si="11"/>
        <v>0</v>
      </c>
      <c r="AR12" s="29">
        <f t="shared" si="11"/>
        <v>0</v>
      </c>
      <c r="AS12" s="29">
        <f t="shared" si="11"/>
        <v>0</v>
      </c>
      <c r="AT12" s="25">
        <f t="shared" si="15"/>
        <v>0</v>
      </c>
    </row>
    <row r="13" spans="1:46" x14ac:dyDescent="0.2">
      <c r="F13" s="24">
        <v>0</v>
      </c>
      <c r="G13" s="24">
        <v>0</v>
      </c>
      <c r="H13" s="24">
        <v>0</v>
      </c>
      <c r="I13" s="24">
        <v>2717.39</v>
      </c>
      <c r="J13" s="24">
        <v>0</v>
      </c>
      <c r="K13" s="25">
        <f>SUM(F13:J13)</f>
        <v>2717.39</v>
      </c>
      <c r="M13" s="24">
        <v>322.23</v>
      </c>
      <c r="N13" s="24">
        <v>0</v>
      </c>
      <c r="O13" s="24">
        <v>0</v>
      </c>
      <c r="P13" s="24">
        <v>158.47999999999999</v>
      </c>
      <c r="Q13" s="24">
        <v>0</v>
      </c>
      <c r="R13" s="25">
        <f t="shared" si="12"/>
        <v>480.71000000000004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5">
        <f t="shared" si="13"/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5">
        <f>SUM(AA13:AE13)</f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5">
        <f t="shared" si="14"/>
        <v>0</v>
      </c>
      <c r="AO13" s="29">
        <f t="shared" si="11"/>
        <v>0</v>
      </c>
      <c r="AP13" s="29">
        <f t="shared" si="11"/>
        <v>0</v>
      </c>
      <c r="AQ13" s="29">
        <f t="shared" si="11"/>
        <v>0</v>
      </c>
      <c r="AR13" s="29">
        <f t="shared" si="11"/>
        <v>0</v>
      </c>
      <c r="AS13" s="29">
        <f t="shared" si="11"/>
        <v>0</v>
      </c>
      <c r="AT13" s="25">
        <f t="shared" si="15"/>
        <v>0</v>
      </c>
    </row>
    <row r="14" spans="1:46" s="9" customFormat="1" x14ac:dyDescent="0.2">
      <c r="B14" s="12"/>
      <c r="C14" s="12"/>
      <c r="D14" s="49"/>
      <c r="E14" s="12"/>
      <c r="F14" s="25">
        <f t="shared" ref="F14:K14" si="16">SUM(F9:F13)</f>
        <v>620.00900000000001</v>
      </c>
      <c r="G14" s="25">
        <f t="shared" si="16"/>
        <v>1844.24</v>
      </c>
      <c r="H14" s="25">
        <f t="shared" si="16"/>
        <v>1253.3400000000001</v>
      </c>
      <c r="I14" s="25">
        <f t="shared" si="16"/>
        <v>2851.85</v>
      </c>
      <c r="J14" s="25">
        <f t="shared" si="16"/>
        <v>480.71000000000004</v>
      </c>
      <c r="K14" s="25">
        <f t="shared" si="16"/>
        <v>7050.1489999999994</v>
      </c>
      <c r="L14" s="30"/>
      <c r="M14" s="25">
        <f t="shared" ref="M14:R14" si="17">SUM(M9:M13)</f>
        <v>2185.2399999999998</v>
      </c>
      <c r="N14" s="25">
        <f t="shared" si="17"/>
        <v>359.67199999999997</v>
      </c>
      <c r="O14" s="25">
        <f t="shared" si="17"/>
        <v>472.30200000000002</v>
      </c>
      <c r="P14" s="25">
        <f t="shared" si="17"/>
        <v>1315.5450000000001</v>
      </c>
      <c r="Q14" s="25">
        <f t="shared" si="17"/>
        <v>2717.39</v>
      </c>
      <c r="R14" s="25">
        <f t="shared" si="17"/>
        <v>7050.1490000000003</v>
      </c>
      <c r="S14" s="30"/>
      <c r="T14" s="25">
        <f t="shared" ref="T14:Y14" si="18">SUM(T9:T13)</f>
        <v>339.59099999999995</v>
      </c>
      <c r="U14" s="25">
        <f t="shared" si="18"/>
        <v>0</v>
      </c>
      <c r="V14" s="25">
        <f t="shared" si="18"/>
        <v>0</v>
      </c>
      <c r="W14" s="25">
        <f t="shared" si="18"/>
        <v>0</v>
      </c>
      <c r="X14" s="25">
        <f t="shared" si="18"/>
        <v>0</v>
      </c>
      <c r="Y14" s="25">
        <f t="shared" si="18"/>
        <v>339.59099999999995</v>
      </c>
      <c r="Z14" s="30"/>
      <c r="AA14" s="25">
        <f t="shared" ref="AA14:AF14" si="19">SUM(AA9:AA13)</f>
        <v>0</v>
      </c>
      <c r="AB14" s="25">
        <f t="shared" si="19"/>
        <v>0</v>
      </c>
      <c r="AC14" s="25">
        <f t="shared" si="19"/>
        <v>0</v>
      </c>
      <c r="AD14" s="25">
        <f t="shared" si="19"/>
        <v>0</v>
      </c>
      <c r="AE14" s="25">
        <f t="shared" si="19"/>
        <v>0</v>
      </c>
      <c r="AF14" s="25">
        <f t="shared" si="19"/>
        <v>0</v>
      </c>
      <c r="AG14" s="30"/>
      <c r="AH14" s="25">
        <f t="shared" ref="AH14:AM14" si="20">SUM(AH9:AH13)</f>
        <v>0</v>
      </c>
      <c r="AI14" s="25">
        <f t="shared" si="20"/>
        <v>0</v>
      </c>
      <c r="AJ14" s="25">
        <f t="shared" si="20"/>
        <v>0</v>
      </c>
      <c r="AK14" s="25">
        <f t="shared" si="20"/>
        <v>0</v>
      </c>
      <c r="AL14" s="25">
        <f t="shared" si="20"/>
        <v>0</v>
      </c>
      <c r="AM14" s="25">
        <f t="shared" si="20"/>
        <v>0</v>
      </c>
      <c r="AN14" s="30"/>
      <c r="AO14" s="25">
        <f>SUM(AO9:AO13)</f>
        <v>0</v>
      </c>
      <c r="AP14" s="25">
        <f t="shared" ref="AP14" si="21">SUM(AP9:AP13)</f>
        <v>0</v>
      </c>
      <c r="AQ14" s="25">
        <f t="shared" ref="AQ14" si="22">SUM(AQ9:AQ13)</f>
        <v>0</v>
      </c>
      <c r="AR14" s="25">
        <f t="shared" ref="AR14" si="23">SUM(AR9:AR13)</f>
        <v>0</v>
      </c>
      <c r="AS14" s="25">
        <f t="shared" ref="AS14" si="24">SUM(AS9:AS13)</f>
        <v>0</v>
      </c>
      <c r="AT14" s="25">
        <f t="shared" ref="AT14" si="25">SUM(AT9:AT13)</f>
        <v>0</v>
      </c>
    </row>
    <row r="15" spans="1:46" s="12" customFormat="1" x14ac:dyDescent="0.2">
      <c r="D15" s="4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</row>
    <row r="16" spans="1:46" x14ac:dyDescent="0.2">
      <c r="C16" s="6">
        <v>3</v>
      </c>
      <c r="D16" s="21" t="s">
        <v>68</v>
      </c>
      <c r="F16" s="24">
        <v>0</v>
      </c>
      <c r="G16" s="24">
        <v>1728.55</v>
      </c>
      <c r="H16" s="24">
        <v>0</v>
      </c>
      <c r="I16" s="24">
        <v>134.46</v>
      </c>
      <c r="J16" s="24">
        <v>322.23</v>
      </c>
      <c r="K16" s="25">
        <f>SUM(F16:J16)</f>
        <v>2185.2399999999998</v>
      </c>
      <c r="L16" s="30"/>
      <c r="M16" s="24">
        <v>0</v>
      </c>
      <c r="N16" s="24">
        <v>70.652000000000001</v>
      </c>
      <c r="O16" s="27">
        <v>472.30200000000002</v>
      </c>
      <c r="P16" s="24">
        <v>77.055000000000007</v>
      </c>
      <c r="Q16" s="24">
        <v>0</v>
      </c>
      <c r="R16" s="25">
        <f>SUM(M16:Q16)</f>
        <v>620.00900000000001</v>
      </c>
      <c r="S16" s="30"/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5">
        <f>SUM(T16:X16)</f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5">
        <f>SUM(AA16:AE16)</f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5">
        <f>SUM(AH16:AL16)</f>
        <v>0</v>
      </c>
      <c r="AO16" s="29">
        <f t="shared" ref="AO16:AO20" si="26">AH16+AA16</f>
        <v>0</v>
      </c>
      <c r="AP16" s="29">
        <f t="shared" ref="AP16:AP20" si="27">AI16+AB16</f>
        <v>0</v>
      </c>
      <c r="AQ16" s="29">
        <f t="shared" ref="AQ16:AQ20" si="28">AJ16+AC16</f>
        <v>0</v>
      </c>
      <c r="AR16" s="29">
        <f t="shared" ref="AR16:AR20" si="29">AK16+AD16</f>
        <v>0</v>
      </c>
      <c r="AS16" s="29">
        <f t="shared" ref="AS16:AS20" si="30">AL16+AE16</f>
        <v>0</v>
      </c>
      <c r="AT16" s="25">
        <f>SUM(AO16:AS16)</f>
        <v>0</v>
      </c>
    </row>
    <row r="17" spans="1:46" x14ac:dyDescent="0.2">
      <c r="F17" s="24">
        <v>70.652000000000001</v>
      </c>
      <c r="G17" s="24">
        <v>0</v>
      </c>
      <c r="H17" s="63">
        <v>284.34094999999996</v>
      </c>
      <c r="I17" s="24">
        <v>0</v>
      </c>
      <c r="J17" s="24">
        <v>0</v>
      </c>
      <c r="K17" s="25">
        <f>SUM(F17:J17)</f>
        <v>354.99294999999995</v>
      </c>
      <c r="L17" s="30"/>
      <c r="M17" s="24">
        <v>1728.55</v>
      </c>
      <c r="N17" s="24">
        <v>0</v>
      </c>
      <c r="O17" s="24">
        <v>0</v>
      </c>
      <c r="P17" s="24">
        <v>115.69</v>
      </c>
      <c r="Q17" s="24">
        <v>0</v>
      </c>
      <c r="R17" s="25">
        <f t="shared" ref="R17:R20" si="31">SUM(M17:Q17)</f>
        <v>1844.24</v>
      </c>
      <c r="S17" s="30"/>
      <c r="T17" s="28">
        <v>0</v>
      </c>
      <c r="U17" s="28">
        <v>0</v>
      </c>
      <c r="V17" s="63">
        <v>4.6790500000000002</v>
      </c>
      <c r="W17" s="28">
        <v>0</v>
      </c>
      <c r="X17" s="28">
        <v>0</v>
      </c>
      <c r="Y17" s="25">
        <f t="shared" ref="Y17:Y20" si="32">SUM(T17:X17)</f>
        <v>4.6790500000000002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5">
        <f>SUM(AA17:AE17)</f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5">
        <f t="shared" ref="AM17:AM20" si="33">SUM(AH17:AL17)</f>
        <v>0</v>
      </c>
      <c r="AO17" s="29">
        <f t="shared" si="26"/>
        <v>0</v>
      </c>
      <c r="AP17" s="29">
        <f t="shared" si="27"/>
        <v>0</v>
      </c>
      <c r="AQ17" s="29">
        <f t="shared" si="28"/>
        <v>0</v>
      </c>
      <c r="AR17" s="29">
        <f t="shared" si="29"/>
        <v>0</v>
      </c>
      <c r="AS17" s="29">
        <f t="shared" si="30"/>
        <v>0</v>
      </c>
      <c r="AT17" s="25">
        <f t="shared" ref="AT17:AT20" si="34">SUM(AO17:AS17)</f>
        <v>0</v>
      </c>
    </row>
    <row r="18" spans="1:46" x14ac:dyDescent="0.2">
      <c r="F18" s="27">
        <v>472.30200000000002</v>
      </c>
      <c r="G18" s="24">
        <v>0</v>
      </c>
      <c r="H18" s="24">
        <v>0</v>
      </c>
      <c r="I18" s="24">
        <v>0</v>
      </c>
      <c r="J18" s="24">
        <v>0</v>
      </c>
      <c r="K18" s="25">
        <f>SUM(F18:J18)</f>
        <v>472.30200000000002</v>
      </c>
      <c r="L18" s="30"/>
      <c r="M18" s="24">
        <v>0</v>
      </c>
      <c r="N18" s="63">
        <v>284.34094999999996</v>
      </c>
      <c r="O18" s="24">
        <v>0</v>
      </c>
      <c r="P18" s="63">
        <v>948.70830000000001</v>
      </c>
      <c r="Q18" s="24">
        <v>0</v>
      </c>
      <c r="R18" s="25">
        <f t="shared" si="31"/>
        <v>1233.04925</v>
      </c>
      <c r="S18" s="30"/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5">
        <f t="shared" si="32"/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5">
        <f>SUM(AA18:AE18)</f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5">
        <f t="shared" si="33"/>
        <v>0</v>
      </c>
      <c r="AO18" s="29">
        <f t="shared" si="26"/>
        <v>0</v>
      </c>
      <c r="AP18" s="29">
        <f t="shared" si="27"/>
        <v>0</v>
      </c>
      <c r="AQ18" s="29">
        <f t="shared" si="28"/>
        <v>0</v>
      </c>
      <c r="AR18" s="29">
        <f t="shared" si="29"/>
        <v>0</v>
      </c>
      <c r="AS18" s="29">
        <f t="shared" si="30"/>
        <v>0</v>
      </c>
      <c r="AT18" s="25">
        <f t="shared" si="34"/>
        <v>0</v>
      </c>
    </row>
    <row r="19" spans="1:46" x14ac:dyDescent="0.2">
      <c r="F19" s="24">
        <v>77.055000000000007</v>
      </c>
      <c r="G19" s="24">
        <v>115.69</v>
      </c>
      <c r="H19" s="63">
        <v>948.70830000000001</v>
      </c>
      <c r="I19" s="24">
        <v>0</v>
      </c>
      <c r="J19" s="24">
        <v>158.47999999999999</v>
      </c>
      <c r="K19" s="25">
        <f>SUM(F19:J19)</f>
        <v>1299.9333000000001</v>
      </c>
      <c r="L19" s="30"/>
      <c r="M19" s="24">
        <v>134.46</v>
      </c>
      <c r="N19" s="24">
        <v>0</v>
      </c>
      <c r="O19" s="24">
        <v>0</v>
      </c>
      <c r="P19" s="24">
        <v>0</v>
      </c>
      <c r="Q19" s="24">
        <v>2717.39</v>
      </c>
      <c r="R19" s="25">
        <f t="shared" si="31"/>
        <v>2851.85</v>
      </c>
      <c r="S19" s="30"/>
      <c r="T19" s="28">
        <v>0</v>
      </c>
      <c r="U19" s="28">
        <v>0</v>
      </c>
      <c r="V19" s="63">
        <v>15.611700000000001</v>
      </c>
      <c r="W19" s="28">
        <v>0</v>
      </c>
      <c r="X19" s="28">
        <v>0</v>
      </c>
      <c r="Y19" s="25">
        <f t="shared" si="32"/>
        <v>15.611700000000001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5">
        <f>SUM(AA19:AE19)</f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5">
        <f t="shared" si="33"/>
        <v>0</v>
      </c>
      <c r="AO19" s="29">
        <f t="shared" si="26"/>
        <v>0</v>
      </c>
      <c r="AP19" s="29">
        <f t="shared" si="27"/>
        <v>0</v>
      </c>
      <c r="AQ19" s="29">
        <f t="shared" si="28"/>
        <v>0</v>
      </c>
      <c r="AR19" s="29">
        <f t="shared" si="29"/>
        <v>0</v>
      </c>
      <c r="AS19" s="29">
        <f t="shared" si="30"/>
        <v>0</v>
      </c>
      <c r="AT19" s="25">
        <f t="shared" si="34"/>
        <v>0</v>
      </c>
    </row>
    <row r="20" spans="1:46" x14ac:dyDescent="0.2">
      <c r="F20" s="24">
        <v>0</v>
      </c>
      <c r="G20" s="24">
        <v>0</v>
      </c>
      <c r="H20" s="24">
        <v>0</v>
      </c>
      <c r="I20" s="24">
        <v>2717.39</v>
      </c>
      <c r="J20" s="24">
        <v>0</v>
      </c>
      <c r="K20" s="25">
        <f>SUM(F20:J20)</f>
        <v>2717.39</v>
      </c>
      <c r="L20" s="30"/>
      <c r="M20" s="24">
        <v>322.23</v>
      </c>
      <c r="N20" s="24">
        <v>0</v>
      </c>
      <c r="O20" s="24">
        <v>0</v>
      </c>
      <c r="P20" s="24">
        <v>158.47999999999999</v>
      </c>
      <c r="Q20" s="24">
        <v>0</v>
      </c>
      <c r="R20" s="25">
        <f t="shared" si="31"/>
        <v>480.71000000000004</v>
      </c>
      <c r="S20" s="30"/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5">
        <f t="shared" si="32"/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5">
        <f>SUM(AA20:AE20)</f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5">
        <f t="shared" si="33"/>
        <v>0</v>
      </c>
      <c r="AO20" s="29">
        <f t="shared" si="26"/>
        <v>0</v>
      </c>
      <c r="AP20" s="29">
        <f t="shared" si="27"/>
        <v>0</v>
      </c>
      <c r="AQ20" s="29">
        <f t="shared" si="28"/>
        <v>0</v>
      </c>
      <c r="AR20" s="29">
        <f t="shared" si="29"/>
        <v>0</v>
      </c>
      <c r="AS20" s="29">
        <f t="shared" si="30"/>
        <v>0</v>
      </c>
      <c r="AT20" s="25">
        <f t="shared" si="34"/>
        <v>0</v>
      </c>
    </row>
    <row r="21" spans="1:46" s="9" customFormat="1" x14ac:dyDescent="0.2">
      <c r="B21" s="12"/>
      <c r="C21" s="12"/>
      <c r="D21" s="49"/>
      <c r="E21" s="12"/>
      <c r="F21" s="25">
        <f t="shared" ref="F21:K21" si="35">SUM(F16:F20)</f>
        <v>620.00900000000001</v>
      </c>
      <c r="G21" s="25">
        <f t="shared" si="35"/>
        <v>1844.24</v>
      </c>
      <c r="H21" s="25">
        <f t="shared" si="35"/>
        <v>1233.04925</v>
      </c>
      <c r="I21" s="25">
        <f t="shared" si="35"/>
        <v>2851.85</v>
      </c>
      <c r="J21" s="25">
        <f t="shared" si="35"/>
        <v>480.71000000000004</v>
      </c>
      <c r="K21" s="25">
        <f t="shared" si="35"/>
        <v>7029.8582499999993</v>
      </c>
      <c r="L21" s="30"/>
      <c r="M21" s="25">
        <f t="shared" ref="M21:R21" si="36">SUM(M16:M20)</f>
        <v>2185.2399999999998</v>
      </c>
      <c r="N21" s="25">
        <f t="shared" si="36"/>
        <v>354.99294999999995</v>
      </c>
      <c r="O21" s="25">
        <f t="shared" si="36"/>
        <v>472.30200000000002</v>
      </c>
      <c r="P21" s="25">
        <f t="shared" si="36"/>
        <v>1299.9333000000001</v>
      </c>
      <c r="Q21" s="25">
        <f t="shared" si="36"/>
        <v>2717.39</v>
      </c>
      <c r="R21" s="25">
        <f t="shared" si="36"/>
        <v>7029.8582500000002</v>
      </c>
      <c r="S21" s="30"/>
      <c r="T21" s="25">
        <f t="shared" ref="T21:Y21" si="37">SUM(T16:T20)</f>
        <v>0</v>
      </c>
      <c r="U21" s="25">
        <f t="shared" si="37"/>
        <v>0</v>
      </c>
      <c r="V21" s="25">
        <f t="shared" si="37"/>
        <v>20.290750000000003</v>
      </c>
      <c r="W21" s="25">
        <f t="shared" si="37"/>
        <v>0</v>
      </c>
      <c r="X21" s="25">
        <f t="shared" si="37"/>
        <v>0</v>
      </c>
      <c r="Y21" s="25">
        <f t="shared" si="37"/>
        <v>20.290750000000003</v>
      </c>
      <c r="Z21" s="30"/>
      <c r="AA21" s="25">
        <f t="shared" ref="AA21:AF21" si="38">SUM(AA16:AA20)</f>
        <v>0</v>
      </c>
      <c r="AB21" s="25">
        <f t="shared" si="38"/>
        <v>0</v>
      </c>
      <c r="AC21" s="25">
        <f t="shared" si="38"/>
        <v>0</v>
      </c>
      <c r="AD21" s="25">
        <f t="shared" si="38"/>
        <v>0</v>
      </c>
      <c r="AE21" s="25">
        <f t="shared" si="38"/>
        <v>0</v>
      </c>
      <c r="AF21" s="25">
        <f t="shared" si="38"/>
        <v>0</v>
      </c>
      <c r="AG21" s="30"/>
      <c r="AH21" s="25">
        <f t="shared" ref="AH21:AM21" si="39">SUM(AH16:AH20)</f>
        <v>0</v>
      </c>
      <c r="AI21" s="25">
        <f t="shared" si="39"/>
        <v>0</v>
      </c>
      <c r="AJ21" s="25">
        <f t="shared" si="39"/>
        <v>0</v>
      </c>
      <c r="AK21" s="25">
        <f t="shared" si="39"/>
        <v>0</v>
      </c>
      <c r="AL21" s="25">
        <f t="shared" si="39"/>
        <v>0</v>
      </c>
      <c r="AM21" s="25">
        <f t="shared" si="39"/>
        <v>0</v>
      </c>
      <c r="AN21" s="30"/>
      <c r="AO21" s="25">
        <f>SUM(AO16:AO20)</f>
        <v>0</v>
      </c>
      <c r="AP21" s="25">
        <f t="shared" ref="AP21:AT21" si="40">SUM(AP16:AP20)</f>
        <v>0</v>
      </c>
      <c r="AQ21" s="25">
        <f t="shared" si="40"/>
        <v>0</v>
      </c>
      <c r="AR21" s="25">
        <f t="shared" si="40"/>
        <v>0</v>
      </c>
      <c r="AS21" s="25">
        <f t="shared" si="40"/>
        <v>0</v>
      </c>
      <c r="AT21" s="25">
        <f t="shared" si="40"/>
        <v>0</v>
      </c>
    </row>
    <row r="22" spans="1:46" s="12" customFormat="1" x14ac:dyDescent="0.2">
      <c r="D22" s="4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</row>
    <row r="23" spans="1:46" x14ac:dyDescent="0.2">
      <c r="A23" s="89">
        <v>3</v>
      </c>
      <c r="C23" s="6">
        <v>2</v>
      </c>
      <c r="D23" s="21" t="s">
        <v>85</v>
      </c>
      <c r="F23" s="24">
        <v>0</v>
      </c>
      <c r="G23" s="24">
        <v>1728.55</v>
      </c>
      <c r="H23" s="24">
        <v>0</v>
      </c>
      <c r="I23" s="24">
        <v>134.46</v>
      </c>
      <c r="J23" s="24">
        <v>322.23</v>
      </c>
      <c r="K23" s="25">
        <f>SUM(F23:J23)</f>
        <v>2185.2399999999998</v>
      </c>
      <c r="L23" s="30"/>
      <c r="M23" s="24">
        <v>0</v>
      </c>
      <c r="N23" s="24">
        <v>70.652000000000001</v>
      </c>
      <c r="O23" s="24">
        <v>0</v>
      </c>
      <c r="P23" s="24">
        <v>77.055000000000007</v>
      </c>
      <c r="Q23" s="24">
        <v>0</v>
      </c>
      <c r="R23" s="25">
        <f>SUM(M23:Q23)</f>
        <v>147.70699999999999</v>
      </c>
      <c r="S23" s="30"/>
      <c r="T23" s="28">
        <v>0</v>
      </c>
      <c r="U23" s="28">
        <v>0</v>
      </c>
      <c r="V23" s="24">
        <v>0</v>
      </c>
      <c r="W23" s="28">
        <v>0</v>
      </c>
      <c r="X23" s="28">
        <v>0</v>
      </c>
      <c r="Y23" s="25">
        <f>SUM(T23:X23)</f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5">
        <f>SUM(AA23:AE23)</f>
        <v>0</v>
      </c>
      <c r="AH23" s="24">
        <v>0</v>
      </c>
      <c r="AI23" s="28">
        <v>0</v>
      </c>
      <c r="AJ23" s="58">
        <v>472.30200000000002</v>
      </c>
      <c r="AK23" s="28">
        <v>0</v>
      </c>
      <c r="AL23" s="28">
        <v>0</v>
      </c>
      <c r="AM23" s="25">
        <f>SUM(AH23:AL23)</f>
        <v>472.30200000000002</v>
      </c>
      <c r="AO23" s="29">
        <f t="shared" ref="AO23:AO27" si="41">AH23+AA23</f>
        <v>0</v>
      </c>
      <c r="AP23" s="29">
        <f t="shared" ref="AP23:AP27" si="42">AI23+AB23</f>
        <v>0</v>
      </c>
      <c r="AQ23" s="29">
        <f t="shared" ref="AQ23:AQ27" si="43">AJ23+AC23</f>
        <v>472.30200000000002</v>
      </c>
      <c r="AR23" s="29">
        <f t="shared" ref="AR23:AR27" si="44">AK23+AD23</f>
        <v>0</v>
      </c>
      <c r="AS23" s="29">
        <f t="shared" ref="AS23:AS27" si="45">AL23+AE23</f>
        <v>0</v>
      </c>
      <c r="AT23" s="25">
        <f>SUM(AO23:AS23)</f>
        <v>472.30200000000002</v>
      </c>
    </row>
    <row r="24" spans="1:46" x14ac:dyDescent="0.2">
      <c r="A24" s="89"/>
      <c r="F24" s="24">
        <v>70.652000000000001</v>
      </c>
      <c r="G24" s="24">
        <v>0</v>
      </c>
      <c r="H24" s="24">
        <v>284.34094999999996</v>
      </c>
      <c r="I24" s="24">
        <v>0</v>
      </c>
      <c r="J24" s="24">
        <v>0</v>
      </c>
      <c r="K24" s="25">
        <f>SUM(F24:J24)</f>
        <v>354.99294999999995</v>
      </c>
      <c r="L24" s="30"/>
      <c r="M24" s="24">
        <v>0</v>
      </c>
      <c r="N24" s="24">
        <v>0</v>
      </c>
      <c r="O24" s="24">
        <v>0</v>
      </c>
      <c r="P24" s="24">
        <v>115.69</v>
      </c>
      <c r="Q24" s="24">
        <v>0</v>
      </c>
      <c r="R24" s="25">
        <f t="shared" ref="R24:R27" si="46">SUM(M24:Q24)</f>
        <v>115.69</v>
      </c>
      <c r="S24" s="30"/>
      <c r="T24" s="28">
        <v>0</v>
      </c>
      <c r="U24" s="28">
        <v>0</v>
      </c>
      <c r="V24" s="24">
        <v>0</v>
      </c>
      <c r="W24" s="28">
        <v>0</v>
      </c>
      <c r="X24" s="28">
        <v>0</v>
      </c>
      <c r="Y24" s="25">
        <f t="shared" ref="Y24:Y27" si="47">SUM(T24:X24)</f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5">
        <f>SUM(AA24:AE24)</f>
        <v>0</v>
      </c>
      <c r="AH24" s="33">
        <v>1728.55</v>
      </c>
      <c r="AI24" s="28">
        <v>0</v>
      </c>
      <c r="AJ24" s="24">
        <v>0</v>
      </c>
      <c r="AK24" s="28">
        <v>0</v>
      </c>
      <c r="AL24" s="28">
        <v>0</v>
      </c>
      <c r="AM24" s="25">
        <f t="shared" ref="AM24:AM27" si="48">SUM(AH24:AL24)</f>
        <v>1728.55</v>
      </c>
      <c r="AO24" s="29">
        <f t="shared" si="41"/>
        <v>1728.55</v>
      </c>
      <c r="AP24" s="29">
        <f t="shared" si="42"/>
        <v>0</v>
      </c>
      <c r="AQ24" s="29">
        <f t="shared" si="43"/>
        <v>0</v>
      </c>
      <c r="AR24" s="29">
        <f t="shared" si="44"/>
        <v>0</v>
      </c>
      <c r="AS24" s="29">
        <f t="shared" si="45"/>
        <v>0</v>
      </c>
      <c r="AT24" s="25">
        <f t="shared" ref="AT24:AT27" si="49">SUM(AO24:AS24)</f>
        <v>1728.55</v>
      </c>
    </row>
    <row r="25" spans="1:46" x14ac:dyDescent="0.2">
      <c r="A25" s="89"/>
      <c r="F25" s="27">
        <v>472.30200000000002</v>
      </c>
      <c r="G25" s="24">
        <v>0</v>
      </c>
      <c r="H25" s="24">
        <v>0</v>
      </c>
      <c r="I25" s="24">
        <v>0</v>
      </c>
      <c r="J25" s="24">
        <v>0</v>
      </c>
      <c r="K25" s="25">
        <f>SUM(F25:J25)</f>
        <v>472.30200000000002</v>
      </c>
      <c r="L25" s="30"/>
      <c r="M25" s="24">
        <v>0</v>
      </c>
      <c r="N25" s="24">
        <v>284.34094999999996</v>
      </c>
      <c r="O25" s="24">
        <v>0</v>
      </c>
      <c r="P25" s="24">
        <v>948.70830000000001</v>
      </c>
      <c r="Q25" s="24">
        <v>0</v>
      </c>
      <c r="R25" s="25">
        <f t="shared" si="46"/>
        <v>1233.04925</v>
      </c>
      <c r="S25" s="30"/>
      <c r="T25" s="28">
        <v>0</v>
      </c>
      <c r="U25" s="28">
        <v>0</v>
      </c>
      <c r="V25" s="24">
        <v>0</v>
      </c>
      <c r="W25" s="28">
        <v>0</v>
      </c>
      <c r="X25" s="28">
        <v>0</v>
      </c>
      <c r="Y25" s="25">
        <f t="shared" si="47"/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5">
        <f>SUM(AA25:AE25)</f>
        <v>0</v>
      </c>
      <c r="AH25" s="24">
        <v>0</v>
      </c>
      <c r="AI25" s="28">
        <v>0</v>
      </c>
      <c r="AJ25" s="24">
        <v>0</v>
      </c>
      <c r="AK25" s="28">
        <v>0</v>
      </c>
      <c r="AL25" s="28">
        <v>0</v>
      </c>
      <c r="AM25" s="25">
        <f t="shared" si="48"/>
        <v>0</v>
      </c>
      <c r="AO25" s="29">
        <f t="shared" si="41"/>
        <v>0</v>
      </c>
      <c r="AP25" s="29">
        <f t="shared" si="42"/>
        <v>0</v>
      </c>
      <c r="AQ25" s="29">
        <f t="shared" si="43"/>
        <v>0</v>
      </c>
      <c r="AR25" s="29">
        <f t="shared" si="44"/>
        <v>0</v>
      </c>
      <c r="AS25" s="29">
        <f t="shared" si="45"/>
        <v>0</v>
      </c>
      <c r="AT25" s="25">
        <f t="shared" si="49"/>
        <v>0</v>
      </c>
    </row>
    <row r="26" spans="1:46" x14ac:dyDescent="0.2">
      <c r="A26" s="89"/>
      <c r="F26" s="24">
        <v>77.055000000000007</v>
      </c>
      <c r="G26" s="24">
        <v>115.69</v>
      </c>
      <c r="H26" s="24">
        <v>948.70830000000001</v>
      </c>
      <c r="I26" s="24">
        <v>0</v>
      </c>
      <c r="J26" s="24">
        <v>158.47999999999999</v>
      </c>
      <c r="K26" s="25">
        <f>SUM(F26:J26)</f>
        <v>1299.9333000000001</v>
      </c>
      <c r="L26" s="30"/>
      <c r="M26" s="24">
        <v>0</v>
      </c>
      <c r="N26" s="24">
        <v>0</v>
      </c>
      <c r="O26" s="24">
        <v>0</v>
      </c>
      <c r="P26" s="24">
        <v>0</v>
      </c>
      <c r="Q26" s="24">
        <v>2717.39</v>
      </c>
      <c r="R26" s="25">
        <f t="shared" si="46"/>
        <v>2717.39</v>
      </c>
      <c r="S26" s="30"/>
      <c r="T26" s="28">
        <v>0</v>
      </c>
      <c r="U26" s="28">
        <v>0</v>
      </c>
      <c r="V26" s="24">
        <v>0</v>
      </c>
      <c r="W26" s="28">
        <v>0</v>
      </c>
      <c r="X26" s="28">
        <v>0</v>
      </c>
      <c r="Y26" s="25">
        <f t="shared" si="47"/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5">
        <f>SUM(AA26:AE26)</f>
        <v>0</v>
      </c>
      <c r="AH26" s="33">
        <v>134.46</v>
      </c>
      <c r="AI26" s="28">
        <v>0</v>
      </c>
      <c r="AJ26" s="24">
        <v>0</v>
      </c>
      <c r="AK26" s="28">
        <v>0</v>
      </c>
      <c r="AL26" s="28">
        <v>0</v>
      </c>
      <c r="AM26" s="25">
        <f t="shared" si="48"/>
        <v>134.46</v>
      </c>
      <c r="AO26" s="29">
        <f t="shared" si="41"/>
        <v>134.46</v>
      </c>
      <c r="AP26" s="29">
        <f t="shared" si="42"/>
        <v>0</v>
      </c>
      <c r="AQ26" s="29">
        <f t="shared" si="43"/>
        <v>0</v>
      </c>
      <c r="AR26" s="29">
        <f t="shared" si="44"/>
        <v>0</v>
      </c>
      <c r="AS26" s="29">
        <f t="shared" si="45"/>
        <v>0</v>
      </c>
      <c r="AT26" s="25">
        <f t="shared" si="49"/>
        <v>134.46</v>
      </c>
    </row>
    <row r="27" spans="1:46" x14ac:dyDescent="0.2">
      <c r="A27" s="89"/>
      <c r="F27" s="24">
        <v>0</v>
      </c>
      <c r="G27" s="24">
        <v>0</v>
      </c>
      <c r="H27" s="24">
        <v>0</v>
      </c>
      <c r="I27" s="24">
        <v>2717.39</v>
      </c>
      <c r="J27" s="24">
        <v>0</v>
      </c>
      <c r="K27" s="25">
        <f>SUM(F27:J27)</f>
        <v>2717.39</v>
      </c>
      <c r="L27" s="30"/>
      <c r="M27" s="24">
        <v>0</v>
      </c>
      <c r="N27" s="24">
        <v>0</v>
      </c>
      <c r="O27" s="24">
        <v>0</v>
      </c>
      <c r="P27" s="24">
        <v>158.47999999999999</v>
      </c>
      <c r="Q27" s="24">
        <v>0</v>
      </c>
      <c r="R27" s="25">
        <f t="shared" si="46"/>
        <v>158.47999999999999</v>
      </c>
      <c r="S27" s="30"/>
      <c r="T27" s="28">
        <v>0</v>
      </c>
      <c r="U27" s="28">
        <v>0</v>
      </c>
      <c r="V27" s="24">
        <v>0</v>
      </c>
      <c r="W27" s="28">
        <v>0</v>
      </c>
      <c r="X27" s="28">
        <v>0</v>
      </c>
      <c r="Y27" s="25">
        <f t="shared" si="47"/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5">
        <f>SUM(AA27:AE27)</f>
        <v>0</v>
      </c>
      <c r="AH27" s="33">
        <v>322.23</v>
      </c>
      <c r="AI27" s="28">
        <v>0</v>
      </c>
      <c r="AJ27" s="24">
        <v>0</v>
      </c>
      <c r="AK27" s="28">
        <v>0</v>
      </c>
      <c r="AL27" s="28">
        <v>0</v>
      </c>
      <c r="AM27" s="25">
        <f t="shared" si="48"/>
        <v>322.23</v>
      </c>
      <c r="AO27" s="29">
        <f t="shared" si="41"/>
        <v>322.23</v>
      </c>
      <c r="AP27" s="29">
        <f t="shared" si="42"/>
        <v>0</v>
      </c>
      <c r="AQ27" s="29">
        <f t="shared" si="43"/>
        <v>0</v>
      </c>
      <c r="AR27" s="29">
        <f t="shared" si="44"/>
        <v>0</v>
      </c>
      <c r="AS27" s="29">
        <f t="shared" si="45"/>
        <v>0</v>
      </c>
      <c r="AT27" s="25">
        <f t="shared" si="49"/>
        <v>322.23</v>
      </c>
    </row>
    <row r="28" spans="1:46" s="9" customFormat="1" x14ac:dyDescent="0.2">
      <c r="A28" s="90"/>
      <c r="B28" s="12"/>
      <c r="C28" s="12"/>
      <c r="D28" s="49"/>
      <c r="E28" s="12"/>
      <c r="F28" s="25">
        <f t="shared" ref="F28:K28" si="50">SUM(F23:F27)</f>
        <v>620.00900000000001</v>
      </c>
      <c r="G28" s="25">
        <f t="shared" si="50"/>
        <v>1844.24</v>
      </c>
      <c r="H28" s="25">
        <f t="shared" si="50"/>
        <v>1233.04925</v>
      </c>
      <c r="I28" s="25">
        <f t="shared" si="50"/>
        <v>2851.85</v>
      </c>
      <c r="J28" s="25">
        <f t="shared" si="50"/>
        <v>480.71000000000004</v>
      </c>
      <c r="K28" s="25">
        <f t="shared" si="50"/>
        <v>7029.8582499999993</v>
      </c>
      <c r="L28" s="30"/>
      <c r="M28" s="25">
        <f t="shared" ref="M28:R28" si="51">SUM(M23:M27)</f>
        <v>0</v>
      </c>
      <c r="N28" s="25">
        <f t="shared" si="51"/>
        <v>354.99294999999995</v>
      </c>
      <c r="O28" s="25">
        <f t="shared" si="51"/>
        <v>0</v>
      </c>
      <c r="P28" s="25">
        <f t="shared" si="51"/>
        <v>1299.9333000000001</v>
      </c>
      <c r="Q28" s="25">
        <f t="shared" si="51"/>
        <v>2717.39</v>
      </c>
      <c r="R28" s="25">
        <f t="shared" si="51"/>
        <v>4372.3162499999999</v>
      </c>
      <c r="S28" s="30"/>
      <c r="T28" s="25">
        <f t="shared" ref="T28:Y28" si="52">SUM(T23:T27)</f>
        <v>0</v>
      </c>
      <c r="U28" s="25">
        <f t="shared" si="52"/>
        <v>0</v>
      </c>
      <c r="V28" s="25">
        <f t="shared" si="52"/>
        <v>0</v>
      </c>
      <c r="W28" s="25">
        <f t="shared" si="52"/>
        <v>0</v>
      </c>
      <c r="X28" s="25">
        <f t="shared" si="52"/>
        <v>0</v>
      </c>
      <c r="Y28" s="25">
        <f t="shared" si="52"/>
        <v>0</v>
      </c>
      <c r="Z28" s="30"/>
      <c r="AA28" s="25">
        <f t="shared" ref="AA28:AF28" si="53">SUM(AA23:AA27)</f>
        <v>0</v>
      </c>
      <c r="AB28" s="25">
        <f t="shared" si="53"/>
        <v>0</v>
      </c>
      <c r="AC28" s="25">
        <f t="shared" si="53"/>
        <v>0</v>
      </c>
      <c r="AD28" s="25">
        <f t="shared" si="53"/>
        <v>0</v>
      </c>
      <c r="AE28" s="25">
        <f t="shared" si="53"/>
        <v>0</v>
      </c>
      <c r="AF28" s="25">
        <f t="shared" si="53"/>
        <v>0</v>
      </c>
      <c r="AG28" s="30"/>
      <c r="AH28" s="25">
        <f t="shared" ref="AH28:AM28" si="54">SUM(AH23:AH27)</f>
        <v>2185.2399999999998</v>
      </c>
      <c r="AI28" s="25">
        <f t="shared" si="54"/>
        <v>0</v>
      </c>
      <c r="AJ28" s="25">
        <f t="shared" si="54"/>
        <v>472.30200000000002</v>
      </c>
      <c r="AK28" s="25">
        <f t="shared" si="54"/>
        <v>0</v>
      </c>
      <c r="AL28" s="25">
        <f t="shared" si="54"/>
        <v>0</v>
      </c>
      <c r="AM28" s="25">
        <f t="shared" si="54"/>
        <v>2657.5419999999999</v>
      </c>
      <c r="AN28" s="30"/>
      <c r="AO28" s="25">
        <f>SUM(AO23:AO27)</f>
        <v>2185.2399999999998</v>
      </c>
      <c r="AP28" s="25">
        <f t="shared" ref="AP28:AT28" si="55">SUM(AP23:AP27)</f>
        <v>0</v>
      </c>
      <c r="AQ28" s="25">
        <f t="shared" si="55"/>
        <v>472.30200000000002</v>
      </c>
      <c r="AR28" s="25">
        <f t="shared" si="55"/>
        <v>0</v>
      </c>
      <c r="AS28" s="25">
        <f t="shared" si="55"/>
        <v>0</v>
      </c>
      <c r="AT28" s="25">
        <f t="shared" si="55"/>
        <v>2657.5419999999999</v>
      </c>
    </row>
    <row r="29" spans="1:46" s="12" customFormat="1" x14ac:dyDescent="0.2">
      <c r="D29" s="4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</row>
    <row r="30" spans="1:46" s="12" customFormat="1" x14ac:dyDescent="0.2">
      <c r="D30" s="4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</row>
    <row r="31" spans="1:46" s="12" customFormat="1" x14ac:dyDescent="0.2">
      <c r="D31" s="4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 spans="1:46" s="12" customFormat="1" x14ac:dyDescent="0.2">
      <c r="D32" s="49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</row>
    <row r="33" spans="4:46" s="12" customFormat="1" x14ac:dyDescent="0.2">
      <c r="D33" s="4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</row>
    <row r="34" spans="4:46" s="12" customFormat="1" x14ac:dyDescent="0.2">
      <c r="D34" s="4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</row>
    <row r="35" spans="4:46" s="12" customFormat="1" x14ac:dyDescent="0.2">
      <c r="D35" s="4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</row>
    <row r="36" spans="4:46" s="12" customFormat="1" x14ac:dyDescent="0.2">
      <c r="D36" s="4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</row>
    <row r="37" spans="4:46" s="12" customFormat="1" x14ac:dyDescent="0.2">
      <c r="D37" s="4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</row>
    <row r="38" spans="4:46" s="12" customFormat="1" x14ac:dyDescent="0.2">
      <c r="D38" s="49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</row>
    <row r="39" spans="4:46" s="12" customFormat="1" x14ac:dyDescent="0.2">
      <c r="D39" s="49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</row>
    <row r="40" spans="4:46" s="12" customFormat="1" x14ac:dyDescent="0.2">
      <c r="D40" s="4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</row>
    <row r="41" spans="4:46" s="12" customFormat="1" x14ac:dyDescent="0.2">
      <c r="D41" s="49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</row>
    <row r="42" spans="4:46" s="12" customFormat="1" x14ac:dyDescent="0.2">
      <c r="D42" s="4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</row>
    <row r="43" spans="4:46" s="12" customFormat="1" x14ac:dyDescent="0.2">
      <c r="D43" s="49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</row>
    <row r="44" spans="4:46" s="12" customFormat="1" x14ac:dyDescent="0.2">
      <c r="D44" s="49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</row>
    <row r="45" spans="4:46" s="12" customFormat="1" x14ac:dyDescent="0.2">
      <c r="D45" s="49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</row>
    <row r="46" spans="4:46" s="12" customFormat="1" x14ac:dyDescent="0.2">
      <c r="D46" s="4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</row>
    <row r="47" spans="4:46" s="12" customFormat="1" x14ac:dyDescent="0.2">
      <c r="D47" s="4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</row>
    <row r="48" spans="4:46" s="12" customFormat="1" x14ac:dyDescent="0.2">
      <c r="D48" s="4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3FF6-6BD5-1343-9731-A1EB974C9375}">
  <sheetPr>
    <tabColor rgb="FFFFFF00"/>
  </sheetPr>
  <dimension ref="A1:AO77"/>
  <sheetViews>
    <sheetView zoomScale="130" zoomScaleNormal="130" workbookViewId="0">
      <pane xSplit="4" ySplit="1" topLeftCell="E12" activePane="bottomRight" state="frozen"/>
      <selection pane="topRight"/>
      <selection pane="bottomLeft"/>
      <selection pane="bottomRight" activeCell="W40" sqref="W40"/>
    </sheetView>
  </sheetViews>
  <sheetFormatPr baseColWidth="10" defaultRowHeight="16" x14ac:dyDescent="0.2"/>
  <cols>
    <col min="1" max="1" width="3" style="7" customWidth="1"/>
    <col min="2" max="2" width="3" style="7" bestFit="1" customWidth="1"/>
    <col min="3" max="3" width="3.28515625" style="20" bestFit="1" customWidth="1"/>
    <col min="4" max="4" width="2.5703125" style="7" customWidth="1"/>
    <col min="5" max="5" width="4.5703125" style="7" bestFit="1" customWidth="1"/>
    <col min="6" max="6" width="4.28515625" style="28" bestFit="1" customWidth="1"/>
    <col min="7" max="7" width="7.5703125" style="28" customWidth="1"/>
    <col min="8" max="8" width="7.7109375" style="28" bestFit="1" customWidth="1"/>
    <col min="9" max="9" width="6.5703125" style="28" bestFit="1" customWidth="1"/>
    <col min="10" max="10" width="7.7109375" style="28" bestFit="1" customWidth="1"/>
    <col min="11" max="11" width="7.5703125" style="28" customWidth="1"/>
    <col min="12" max="13" width="7.7109375" style="28" bestFit="1" customWidth="1"/>
    <col min="14" max="14" width="5.7109375" style="28" bestFit="1" customWidth="1"/>
    <col min="15" max="15" width="7.7109375" style="28" bestFit="1" customWidth="1"/>
    <col min="16" max="16" width="7" style="28" bestFit="1" customWidth="1"/>
    <col min="17" max="17" width="7.7109375" style="28" bestFit="1" customWidth="1"/>
    <col min="18" max="18" width="6.7109375" style="28" bestFit="1" customWidth="1"/>
    <col min="19" max="19" width="7.5703125" style="28" customWidth="1"/>
    <col min="20" max="20" width="6.7109375" style="28" customWidth="1"/>
    <col min="21" max="24" width="8.140625" style="28" customWidth="1"/>
    <col min="25" max="25" width="6.5703125" style="24" bestFit="1" customWidth="1"/>
    <col min="26" max="26" width="6.7109375" style="24" bestFit="1" customWidth="1"/>
    <col min="27" max="27" width="8.85546875" style="28" customWidth="1"/>
    <col min="28" max="29" width="8.140625" style="28" bestFit="1" customWidth="1"/>
    <col min="30" max="30" width="8.85546875" style="28" customWidth="1"/>
    <col min="31" max="31" width="8.140625" style="28" bestFit="1" customWidth="1"/>
    <col min="32" max="32" width="8" style="28" bestFit="1" customWidth="1"/>
    <col min="33" max="34" width="10.140625" style="28" bestFit="1" customWidth="1"/>
    <col min="35" max="35" width="9.7109375" style="28" bestFit="1" customWidth="1"/>
    <col min="36" max="36" width="9.5703125" style="28" bestFit="1" customWidth="1"/>
    <col min="37" max="37" width="8.28515625" style="28" bestFit="1" customWidth="1"/>
    <col min="38" max="38" width="8.140625" style="28" bestFit="1" customWidth="1"/>
    <col min="39" max="39" width="7.140625" style="28" bestFit="1" customWidth="1"/>
    <col min="40" max="41" width="7.85546875" style="7" customWidth="1"/>
    <col min="42" max="16384" width="10.7109375" style="7"/>
  </cols>
  <sheetData>
    <row r="1" spans="1:41" s="16" customFormat="1" ht="48" customHeight="1" x14ac:dyDescent="0.2">
      <c r="A1" s="16" t="s">
        <v>100</v>
      </c>
      <c r="B1" s="16" t="s">
        <v>42</v>
      </c>
      <c r="C1" s="19" t="s">
        <v>29</v>
      </c>
      <c r="D1" s="16" t="s">
        <v>14</v>
      </c>
      <c r="E1" s="16" t="s">
        <v>15</v>
      </c>
      <c r="F1" s="23" t="s">
        <v>27</v>
      </c>
      <c r="G1" s="23" t="s">
        <v>0</v>
      </c>
      <c r="H1" s="23" t="s">
        <v>4</v>
      </c>
      <c r="I1" s="23" t="s">
        <v>81</v>
      </c>
      <c r="J1" s="38" t="s">
        <v>26</v>
      </c>
      <c r="K1" s="23" t="s">
        <v>30</v>
      </c>
      <c r="L1" s="38" t="s">
        <v>3</v>
      </c>
      <c r="M1" s="23" t="s">
        <v>5</v>
      </c>
      <c r="N1" s="23" t="s">
        <v>82</v>
      </c>
      <c r="O1" s="38" t="s">
        <v>28</v>
      </c>
      <c r="P1" s="23" t="s">
        <v>31</v>
      </c>
      <c r="Q1" s="38" t="s">
        <v>21</v>
      </c>
      <c r="R1" s="38" t="s">
        <v>2</v>
      </c>
      <c r="S1" s="38" t="s">
        <v>107</v>
      </c>
      <c r="T1" s="38" t="s">
        <v>108</v>
      </c>
      <c r="U1" s="38" t="s">
        <v>110</v>
      </c>
      <c r="V1" s="38" t="s">
        <v>111</v>
      </c>
      <c r="W1" s="38" t="s">
        <v>112</v>
      </c>
      <c r="X1" s="38" t="s">
        <v>113</v>
      </c>
      <c r="Y1" s="38" t="s">
        <v>119</v>
      </c>
      <c r="Z1" s="38" t="s">
        <v>120</v>
      </c>
      <c r="AA1" s="38" t="s">
        <v>116</v>
      </c>
      <c r="AB1" s="38" t="s">
        <v>117</v>
      </c>
      <c r="AC1" s="38" t="s">
        <v>118</v>
      </c>
      <c r="AD1" s="38" t="s">
        <v>115</v>
      </c>
      <c r="AE1" s="38" t="s">
        <v>32</v>
      </c>
      <c r="AF1" s="38" t="s">
        <v>39</v>
      </c>
      <c r="AG1" s="38" t="s">
        <v>38</v>
      </c>
      <c r="AH1" s="38" t="s">
        <v>40</v>
      </c>
      <c r="AI1" s="38" t="s">
        <v>34</v>
      </c>
      <c r="AJ1" s="38" t="s">
        <v>41</v>
      </c>
      <c r="AK1" s="38" t="s">
        <v>43</v>
      </c>
      <c r="AL1" s="38" t="s">
        <v>44</v>
      </c>
      <c r="AM1" s="23" t="s">
        <v>65</v>
      </c>
      <c r="AN1" s="16" t="s">
        <v>72</v>
      </c>
    </row>
    <row r="2" spans="1:41" x14ac:dyDescent="0.2">
      <c r="A2" s="7">
        <v>2</v>
      </c>
      <c r="B2" s="7">
        <v>1</v>
      </c>
      <c r="C2" s="20" t="s">
        <v>67</v>
      </c>
      <c r="D2" s="7">
        <v>1</v>
      </c>
      <c r="E2" s="8" t="s">
        <v>16</v>
      </c>
      <c r="F2" s="28">
        <v>0</v>
      </c>
      <c r="G2" s="28">
        <v>477.125</v>
      </c>
      <c r="H2" s="28">
        <v>1631.73</v>
      </c>
      <c r="I2" s="28">
        <v>0</v>
      </c>
      <c r="J2" s="29">
        <f>F2+G2+H2+I2</f>
        <v>2108.855</v>
      </c>
      <c r="K2" s="28">
        <v>2185.2399999999998</v>
      </c>
      <c r="L2" s="29">
        <f>J2+K2</f>
        <v>4294.0949999999993</v>
      </c>
      <c r="M2" s="28">
        <v>3160.99</v>
      </c>
      <c r="N2" s="28">
        <v>0</v>
      </c>
      <c r="O2" s="29">
        <f>M2+N2</f>
        <v>3160.99</v>
      </c>
      <c r="P2" s="28">
        <v>959.6</v>
      </c>
      <c r="Q2" s="29">
        <f>P2+O2</f>
        <v>4120.59</v>
      </c>
      <c r="R2" s="29">
        <f>MAX(L2-Q2,0)</f>
        <v>173.5049999999992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9">
        <f>AA2+AF2</f>
        <v>0</v>
      </c>
      <c r="Z2" s="29">
        <f>AC2+AL2</f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9">
        <f t="shared" ref="AK2:AL6" si="0">AG2+AI2</f>
        <v>0</v>
      </c>
      <c r="AL2" s="29">
        <f t="shared" si="0"/>
        <v>0</v>
      </c>
      <c r="AM2" s="29">
        <f t="shared" ref="AM2:AN6" si="1">AE2+AK2</f>
        <v>0</v>
      </c>
      <c r="AN2" s="29">
        <f t="shared" si="1"/>
        <v>0</v>
      </c>
      <c r="AO2" s="29"/>
    </row>
    <row r="3" spans="1:41" x14ac:dyDescent="0.2">
      <c r="D3" s="7">
        <v>2</v>
      </c>
      <c r="E3" s="7" t="s">
        <v>17</v>
      </c>
      <c r="F3" s="28">
        <v>0</v>
      </c>
      <c r="G3" s="28">
        <v>587.69299999999998</v>
      </c>
      <c r="H3" s="28">
        <v>4303.24</v>
      </c>
      <c r="I3" s="28">
        <v>0</v>
      </c>
      <c r="J3" s="29">
        <f t="shared" ref="J3:J6" si="2">F3+G3+H3+I3</f>
        <v>4890.933</v>
      </c>
      <c r="K3" s="28">
        <v>398.37</v>
      </c>
      <c r="L3" s="29">
        <f>J3+K3</f>
        <v>5289.3029999999999</v>
      </c>
      <c r="M3" s="28">
        <v>3231.37</v>
      </c>
      <c r="N3" s="28">
        <v>0</v>
      </c>
      <c r="O3" s="29">
        <f t="shared" ref="O3:O6" si="3">M3+N3</f>
        <v>3231.37</v>
      </c>
      <c r="P3" s="28">
        <v>1844.24</v>
      </c>
      <c r="Q3" s="29">
        <f>P3+O3</f>
        <v>5075.6099999999997</v>
      </c>
      <c r="R3" s="29">
        <f t="shared" ref="R3:R6" si="4">MAX(L3-Q3,0)</f>
        <v>213.69300000000021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9">
        <f>AA3+AF3</f>
        <v>0</v>
      </c>
      <c r="Z3" s="29">
        <f>AC3+AL3</f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9">
        <f t="shared" si="0"/>
        <v>0</v>
      </c>
      <c r="AL3" s="29">
        <f t="shared" si="0"/>
        <v>0</v>
      </c>
      <c r="AM3" s="29">
        <f t="shared" si="1"/>
        <v>0</v>
      </c>
      <c r="AN3" s="29">
        <f t="shared" si="1"/>
        <v>0</v>
      </c>
      <c r="AO3" s="29"/>
    </row>
    <row r="4" spans="1:41" x14ac:dyDescent="0.2">
      <c r="D4" s="7">
        <v>3</v>
      </c>
      <c r="E4" s="7" t="s">
        <v>18</v>
      </c>
      <c r="F4" s="28">
        <v>0</v>
      </c>
      <c r="G4" s="28">
        <v>513.84699999999998</v>
      </c>
      <c r="H4" s="28">
        <v>3379.72</v>
      </c>
      <c r="I4" s="28">
        <v>0</v>
      </c>
      <c r="J4" s="29">
        <f t="shared" si="2"/>
        <v>3893.567</v>
      </c>
      <c r="K4" s="28">
        <v>730.99</v>
      </c>
      <c r="L4" s="29">
        <f>J4+K4</f>
        <v>4624.5569999999998</v>
      </c>
      <c r="M4" s="28">
        <v>3184.36</v>
      </c>
      <c r="N4" s="28">
        <v>0</v>
      </c>
      <c r="O4" s="29">
        <f t="shared" si="3"/>
        <v>3184.36</v>
      </c>
      <c r="P4" s="28">
        <v>1253.3399999999999</v>
      </c>
      <c r="Q4" s="29">
        <f>P4+O4</f>
        <v>4437.7</v>
      </c>
      <c r="R4" s="29">
        <f t="shared" si="4"/>
        <v>186.85699999999997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9">
        <f>AA4+AF4</f>
        <v>0</v>
      </c>
      <c r="Z4" s="29">
        <f>AC4+AL4</f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9">
        <f t="shared" si="0"/>
        <v>0</v>
      </c>
      <c r="AL4" s="29">
        <f t="shared" si="0"/>
        <v>0</v>
      </c>
      <c r="AM4" s="29">
        <f t="shared" si="1"/>
        <v>0</v>
      </c>
      <c r="AN4" s="29">
        <f t="shared" si="1"/>
        <v>0</v>
      </c>
      <c r="AO4" s="29"/>
    </row>
    <row r="5" spans="1:41" x14ac:dyDescent="0.2">
      <c r="D5" s="7">
        <v>4</v>
      </c>
      <c r="E5" s="7" t="s">
        <v>19</v>
      </c>
      <c r="F5" s="28">
        <v>0</v>
      </c>
      <c r="G5" s="28">
        <v>713.66200000000003</v>
      </c>
      <c r="H5" s="28">
        <v>4351.47</v>
      </c>
      <c r="I5" s="28">
        <v>0</v>
      </c>
      <c r="J5" s="29">
        <f t="shared" si="2"/>
        <v>5065.1320000000005</v>
      </c>
      <c r="K5" s="28">
        <v>1357.75</v>
      </c>
      <c r="L5" s="29">
        <f>J5+K5</f>
        <v>6422.8820000000005</v>
      </c>
      <c r="M5" s="28">
        <v>3311.51</v>
      </c>
      <c r="N5" s="28">
        <v>0</v>
      </c>
      <c r="O5" s="29">
        <f t="shared" si="3"/>
        <v>3311.51</v>
      </c>
      <c r="P5" s="28">
        <v>2851.85</v>
      </c>
      <c r="Q5" s="29">
        <f>P5+O5</f>
        <v>6163.3600000000006</v>
      </c>
      <c r="R5" s="29">
        <f t="shared" si="4"/>
        <v>259.52199999999993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9">
        <f>AA5+AF5</f>
        <v>0</v>
      </c>
      <c r="Z5" s="29">
        <f>AC5+AL5</f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9">
        <f t="shared" si="0"/>
        <v>0</v>
      </c>
      <c r="AL5" s="29">
        <f t="shared" si="0"/>
        <v>0</v>
      </c>
      <c r="AM5" s="29">
        <f t="shared" si="1"/>
        <v>0</v>
      </c>
      <c r="AN5" s="29">
        <f t="shared" si="1"/>
        <v>0</v>
      </c>
      <c r="AO5" s="29"/>
    </row>
    <row r="6" spans="1:41" x14ac:dyDescent="0.2">
      <c r="D6" s="7">
        <v>5</v>
      </c>
      <c r="E6" s="7" t="s">
        <v>20</v>
      </c>
      <c r="F6" s="28">
        <v>0</v>
      </c>
      <c r="G6" s="28">
        <v>417.25700000000001</v>
      </c>
      <c r="H6" s="28">
        <v>620.69000000000005</v>
      </c>
      <c r="I6" s="28">
        <v>0</v>
      </c>
      <c r="J6" s="29">
        <f t="shared" si="2"/>
        <v>1037.9470000000001</v>
      </c>
      <c r="K6" s="28">
        <v>2717.39</v>
      </c>
      <c r="L6" s="29">
        <f>J6+K6</f>
        <v>3755.337</v>
      </c>
      <c r="M6" s="28">
        <v>3122.9</v>
      </c>
      <c r="N6" s="28">
        <v>0</v>
      </c>
      <c r="O6" s="29">
        <f t="shared" si="3"/>
        <v>3122.9</v>
      </c>
      <c r="P6" s="28">
        <v>480.71</v>
      </c>
      <c r="Q6" s="29">
        <f>P6+O6</f>
        <v>3603.61</v>
      </c>
      <c r="R6" s="29">
        <f t="shared" si="4"/>
        <v>151.72699999999986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9">
        <f>AA6+AF6</f>
        <v>0</v>
      </c>
      <c r="Z6" s="29">
        <f>AC6+AL6</f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9">
        <f t="shared" si="0"/>
        <v>0</v>
      </c>
      <c r="AL6" s="29">
        <f t="shared" si="0"/>
        <v>0</v>
      </c>
      <c r="AM6" s="29">
        <f t="shared" si="1"/>
        <v>0</v>
      </c>
      <c r="AN6" s="29">
        <f t="shared" si="1"/>
        <v>0</v>
      </c>
      <c r="AO6" s="29"/>
    </row>
    <row r="7" spans="1:41" x14ac:dyDescent="0.2">
      <c r="F7" s="25">
        <f>SUM(F2:F6)</f>
        <v>0</v>
      </c>
      <c r="G7" s="25">
        <f t="shared" ref="G7:H7" si="5">SUM(G2:G6)</f>
        <v>2709.5840000000003</v>
      </c>
      <c r="H7" s="25">
        <f t="shared" si="5"/>
        <v>14286.85</v>
      </c>
      <c r="I7" s="25">
        <f>SUM(I2:I6)</f>
        <v>0</v>
      </c>
      <c r="J7" s="25">
        <f>SUM(J2:J6)</f>
        <v>16996.434000000001</v>
      </c>
      <c r="K7" s="25">
        <f t="shared" ref="K7:L7" si="6">SUM(K2:K6)</f>
        <v>7389.74</v>
      </c>
      <c r="L7" s="25">
        <f t="shared" si="6"/>
        <v>24386.173999999999</v>
      </c>
      <c r="M7" s="25">
        <f>SUM(M2:M6)</f>
        <v>16011.13</v>
      </c>
      <c r="N7" s="25">
        <f>SUM(N2:N6)</f>
        <v>0</v>
      </c>
      <c r="O7" s="25">
        <f>SUM(O2:O6)</f>
        <v>16011.13</v>
      </c>
      <c r="P7" s="25">
        <f>SUM(P2:P6)</f>
        <v>7389.7400000000007</v>
      </c>
      <c r="Q7" s="25">
        <f t="shared" ref="Q7" si="7">SUM(Q2:Q6)</f>
        <v>23400.870000000003</v>
      </c>
      <c r="R7" s="25">
        <f>SUM(R2:R6)</f>
        <v>985.30399999999918</v>
      </c>
      <c r="S7" s="25">
        <f t="shared" ref="S7:T7" si="8">SUM(S2:S6)</f>
        <v>0</v>
      </c>
      <c r="T7" s="25">
        <f t="shared" si="8"/>
        <v>0</v>
      </c>
      <c r="U7" s="25">
        <f t="shared" ref="U7:AI7" si="9">SUM(U2:U6)</f>
        <v>0</v>
      </c>
      <c r="V7" s="25">
        <f t="shared" si="9"/>
        <v>0</v>
      </c>
      <c r="W7" s="25">
        <f t="shared" ref="W7:X7" si="10">SUM(W2:W6)</f>
        <v>0</v>
      </c>
      <c r="X7" s="25">
        <f t="shared" si="10"/>
        <v>0</v>
      </c>
      <c r="Y7" s="25">
        <f t="shared" si="9"/>
        <v>0</v>
      </c>
      <c r="Z7" s="25">
        <f t="shared" si="9"/>
        <v>0</v>
      </c>
      <c r="AA7" s="25">
        <f>SUM(AA2:AA6)</f>
        <v>0</v>
      </c>
      <c r="AB7" s="25">
        <f>SUM(AB2:AB6)</f>
        <v>0</v>
      </c>
      <c r="AC7" s="25">
        <f t="shared" ref="AC7" si="11">SUM(AC2:AC6)</f>
        <v>0</v>
      </c>
      <c r="AD7" s="25">
        <f t="shared" si="9"/>
        <v>0</v>
      </c>
      <c r="AE7" s="25">
        <f t="shared" si="9"/>
        <v>0</v>
      </c>
      <c r="AF7" s="25">
        <f>SUM(AF2:AF6)</f>
        <v>0</v>
      </c>
      <c r="AG7" s="25">
        <f t="shared" si="9"/>
        <v>0</v>
      </c>
      <c r="AH7" s="25">
        <f>SUM(AH2:AH6)</f>
        <v>0</v>
      </c>
      <c r="AI7" s="25">
        <f t="shared" si="9"/>
        <v>0</v>
      </c>
      <c r="AJ7" s="25">
        <f t="shared" ref="AJ7:AL7" si="12">SUM(AJ2:AJ6)</f>
        <v>0</v>
      </c>
      <c r="AK7" s="25">
        <f t="shared" si="12"/>
        <v>0</v>
      </c>
      <c r="AL7" s="25">
        <f t="shared" si="12"/>
        <v>0</v>
      </c>
      <c r="AM7" s="25">
        <f>SUM(AM2:AM6)</f>
        <v>0</v>
      </c>
      <c r="AN7" s="50">
        <f>SUM(AN2:AN6)</f>
        <v>0</v>
      </c>
      <c r="AO7" s="50"/>
    </row>
    <row r="8" spans="1:41" x14ac:dyDescent="0.2"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50"/>
      <c r="AO8" s="50"/>
    </row>
    <row r="9" spans="1:41" x14ac:dyDescent="0.2">
      <c r="A9" s="7">
        <v>2</v>
      </c>
      <c r="B9" s="7">
        <v>1</v>
      </c>
      <c r="C9" s="20" t="s">
        <v>105</v>
      </c>
      <c r="D9" s="7">
        <v>1</v>
      </c>
      <c r="E9" s="82" t="s">
        <v>16</v>
      </c>
      <c r="F9" s="28">
        <v>0</v>
      </c>
      <c r="G9" s="28">
        <v>477.125</v>
      </c>
      <c r="H9" s="28">
        <v>1631.73</v>
      </c>
      <c r="I9" s="28">
        <v>0</v>
      </c>
      <c r="J9" s="29">
        <f>F9+G9+H9+I9</f>
        <v>2108.855</v>
      </c>
      <c r="K9" s="28">
        <v>2185.2399999999998</v>
      </c>
      <c r="L9" s="29">
        <f>J9+K9</f>
        <v>4294.0949999999993</v>
      </c>
      <c r="M9" s="28">
        <v>3160.99</v>
      </c>
      <c r="N9" s="28">
        <v>0</v>
      </c>
      <c r="O9" s="29">
        <f>M9+N9</f>
        <v>3160.99</v>
      </c>
      <c r="P9" s="28">
        <v>959.6</v>
      </c>
      <c r="Q9" s="29">
        <f>P9+O9</f>
        <v>4120.59</v>
      </c>
      <c r="R9" s="29">
        <f>MAX(L9-Q9,0)</f>
        <v>173.5049999999992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9">
        <f>AA9+AF9</f>
        <v>0</v>
      </c>
      <c r="Z9" s="29">
        <f>AC9+AL9</f>
        <v>3160.99</v>
      </c>
      <c r="AA9" s="28">
        <v>0</v>
      </c>
      <c r="AB9" s="28">
        <v>0</v>
      </c>
      <c r="AC9" s="91">
        <v>3160.99</v>
      </c>
      <c r="AD9" s="24">
        <v>0</v>
      </c>
      <c r="AE9" s="28">
        <v>0</v>
      </c>
      <c r="AF9" s="28">
        <v>0</v>
      </c>
      <c r="AG9" s="24">
        <v>0</v>
      </c>
      <c r="AH9" s="28">
        <v>0</v>
      </c>
      <c r="AI9" s="28">
        <v>0</v>
      </c>
      <c r="AJ9" s="28">
        <v>0</v>
      </c>
      <c r="AK9" s="29">
        <f t="shared" ref="AK9:AL13" si="13">AG9+AI9</f>
        <v>0</v>
      </c>
      <c r="AL9" s="29">
        <f t="shared" si="13"/>
        <v>0</v>
      </c>
      <c r="AM9" s="29">
        <f t="shared" ref="AM9:AN13" si="14">AE9+AK9</f>
        <v>0</v>
      </c>
      <c r="AN9" s="29">
        <f t="shared" si="14"/>
        <v>0</v>
      </c>
      <c r="AO9" s="29"/>
    </row>
    <row r="10" spans="1:41" x14ac:dyDescent="0.2">
      <c r="D10" s="7">
        <v>2</v>
      </c>
      <c r="E10" s="7" t="s">
        <v>17</v>
      </c>
      <c r="F10" s="28">
        <v>0</v>
      </c>
      <c r="G10" s="28">
        <v>587.69299999999998</v>
      </c>
      <c r="H10" s="28">
        <v>4303.24</v>
      </c>
      <c r="I10" s="28">
        <v>0</v>
      </c>
      <c r="J10" s="29">
        <f t="shared" ref="J10:J13" si="15">F10+G10+H10+I10</f>
        <v>4890.933</v>
      </c>
      <c r="K10" s="28">
        <v>398.37</v>
      </c>
      <c r="L10" s="29">
        <f>J10+K10</f>
        <v>5289.3029999999999</v>
      </c>
      <c r="M10" s="28">
        <v>3231.37</v>
      </c>
      <c r="N10" s="28">
        <v>0</v>
      </c>
      <c r="O10" s="29">
        <f t="shared" ref="O10:O13" si="16">M10+N10</f>
        <v>3231.37</v>
      </c>
      <c r="P10" s="28">
        <v>1844.24</v>
      </c>
      <c r="Q10" s="29">
        <f>P10+O10</f>
        <v>5075.6099999999997</v>
      </c>
      <c r="R10" s="29">
        <f t="shared" ref="R10:R13" si="17">MAX(L10-Q10,0)</f>
        <v>213.69300000000021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9">
        <f>AA10+AF10</f>
        <v>0</v>
      </c>
      <c r="Z10" s="29">
        <f>AC10+AL10</f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9">
        <f t="shared" si="13"/>
        <v>0</v>
      </c>
      <c r="AL10" s="29">
        <f t="shared" si="13"/>
        <v>0</v>
      </c>
      <c r="AM10" s="29">
        <f t="shared" si="14"/>
        <v>0</v>
      </c>
      <c r="AN10" s="29">
        <f t="shared" si="14"/>
        <v>0</v>
      </c>
      <c r="AO10" s="29"/>
    </row>
    <row r="11" spans="1:41" x14ac:dyDescent="0.2">
      <c r="D11" s="7">
        <v>3</v>
      </c>
      <c r="E11" s="7" t="s">
        <v>18</v>
      </c>
      <c r="F11" s="28">
        <v>0</v>
      </c>
      <c r="G11" s="28">
        <v>513.84699999999998</v>
      </c>
      <c r="H11" s="28">
        <v>3379.72</v>
      </c>
      <c r="I11" s="28">
        <v>0</v>
      </c>
      <c r="J11" s="29">
        <f t="shared" si="15"/>
        <v>3893.567</v>
      </c>
      <c r="K11" s="28">
        <v>730.99</v>
      </c>
      <c r="L11" s="29">
        <f>J11+K11</f>
        <v>4624.5569999999998</v>
      </c>
      <c r="M11" s="28">
        <v>3184.36</v>
      </c>
      <c r="N11" s="28">
        <v>0</v>
      </c>
      <c r="O11" s="29">
        <f t="shared" si="16"/>
        <v>3184.36</v>
      </c>
      <c r="P11" s="28">
        <v>1253.3399999999999</v>
      </c>
      <c r="Q11" s="29">
        <f>P11+O11</f>
        <v>4437.7</v>
      </c>
      <c r="R11" s="29">
        <f t="shared" si="17"/>
        <v>186.85699999999997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9">
        <f>AA11+AF11</f>
        <v>0</v>
      </c>
      <c r="Z11" s="29">
        <f>AC11+AL11</f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9">
        <f t="shared" si="13"/>
        <v>0</v>
      </c>
      <c r="AL11" s="29">
        <f t="shared" si="13"/>
        <v>0</v>
      </c>
      <c r="AM11" s="29">
        <f t="shared" si="14"/>
        <v>0</v>
      </c>
      <c r="AN11" s="29">
        <f t="shared" si="14"/>
        <v>0</v>
      </c>
      <c r="AO11" s="29"/>
    </row>
    <row r="12" spans="1:41" x14ac:dyDescent="0.2">
      <c r="D12" s="7">
        <v>4</v>
      </c>
      <c r="E12" s="7" t="s">
        <v>19</v>
      </c>
      <c r="F12" s="28">
        <v>0</v>
      </c>
      <c r="G12" s="28">
        <v>713.66200000000003</v>
      </c>
      <c r="H12" s="28">
        <v>4351.47</v>
      </c>
      <c r="I12" s="28">
        <v>0</v>
      </c>
      <c r="J12" s="29">
        <f t="shared" si="15"/>
        <v>5065.1320000000005</v>
      </c>
      <c r="K12" s="28">
        <v>1357.75</v>
      </c>
      <c r="L12" s="29">
        <f>J12+K12</f>
        <v>6422.8820000000005</v>
      </c>
      <c r="M12" s="28">
        <v>3311.51</v>
      </c>
      <c r="N12" s="28">
        <v>0</v>
      </c>
      <c r="O12" s="29">
        <f t="shared" si="16"/>
        <v>3311.51</v>
      </c>
      <c r="P12" s="28">
        <v>2851.85</v>
      </c>
      <c r="Q12" s="29">
        <f>P12+O12</f>
        <v>6163.3600000000006</v>
      </c>
      <c r="R12" s="29">
        <f t="shared" si="17"/>
        <v>259.52199999999993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9">
        <f>AA12+AF12</f>
        <v>0</v>
      </c>
      <c r="Z12" s="29">
        <f>AC12+AL12</f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9">
        <f t="shared" si="13"/>
        <v>0</v>
      </c>
      <c r="AL12" s="29">
        <f t="shared" si="13"/>
        <v>0</v>
      </c>
      <c r="AM12" s="29">
        <f t="shared" si="14"/>
        <v>0</v>
      </c>
      <c r="AN12" s="29">
        <f t="shared" si="14"/>
        <v>0</v>
      </c>
      <c r="AO12" s="29"/>
    </row>
    <row r="13" spans="1:41" x14ac:dyDescent="0.2">
      <c r="D13" s="7">
        <v>5</v>
      </c>
      <c r="E13" s="7" t="s">
        <v>20</v>
      </c>
      <c r="F13" s="28">
        <v>0</v>
      </c>
      <c r="G13" s="28">
        <v>417.25700000000001</v>
      </c>
      <c r="H13" s="28">
        <v>620.69000000000005</v>
      </c>
      <c r="I13" s="28">
        <v>0</v>
      </c>
      <c r="J13" s="29">
        <f t="shared" si="15"/>
        <v>1037.9470000000001</v>
      </c>
      <c r="K13" s="28">
        <v>2717.39</v>
      </c>
      <c r="L13" s="29">
        <f>J13+K13</f>
        <v>3755.337</v>
      </c>
      <c r="M13" s="28">
        <v>3122.9</v>
      </c>
      <c r="N13" s="28">
        <v>0</v>
      </c>
      <c r="O13" s="29">
        <f t="shared" si="16"/>
        <v>3122.9</v>
      </c>
      <c r="P13" s="28">
        <v>480.71</v>
      </c>
      <c r="Q13" s="29">
        <f>P13+O13</f>
        <v>3603.61</v>
      </c>
      <c r="R13" s="29">
        <f t="shared" si="17"/>
        <v>151.72699999999986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9">
        <f>AA13+AF13</f>
        <v>0</v>
      </c>
      <c r="Z13" s="29">
        <f>AC13+AL13</f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9">
        <f t="shared" si="13"/>
        <v>0</v>
      </c>
      <c r="AL13" s="29">
        <f t="shared" si="13"/>
        <v>0</v>
      </c>
      <c r="AM13" s="29">
        <f t="shared" si="14"/>
        <v>0</v>
      </c>
      <c r="AN13" s="29">
        <f t="shared" si="14"/>
        <v>0</v>
      </c>
      <c r="AO13" s="29"/>
    </row>
    <row r="14" spans="1:41" x14ac:dyDescent="0.2">
      <c r="F14" s="25">
        <f>SUM(F9:F13)</f>
        <v>0</v>
      </c>
      <c r="G14" s="25">
        <f t="shared" ref="G14:H14" si="18">SUM(G9:G13)</f>
        <v>2709.5840000000003</v>
      </c>
      <c r="H14" s="25">
        <f t="shared" si="18"/>
        <v>14286.85</v>
      </c>
      <c r="I14" s="25">
        <f>SUM(I9:I13)</f>
        <v>0</v>
      </c>
      <c r="J14" s="25">
        <f>SUM(J9:J13)</f>
        <v>16996.434000000001</v>
      </c>
      <c r="K14" s="25">
        <f t="shared" ref="K14:L14" si="19">SUM(K9:K13)</f>
        <v>7389.74</v>
      </c>
      <c r="L14" s="25">
        <f t="shared" si="19"/>
        <v>24386.173999999999</v>
      </c>
      <c r="M14" s="25">
        <f>SUM(M9:M13)</f>
        <v>16011.13</v>
      </c>
      <c r="N14" s="25">
        <f>SUM(N9:N13)</f>
        <v>0</v>
      </c>
      <c r="O14" s="25">
        <f>SUM(O9:O13)</f>
        <v>16011.13</v>
      </c>
      <c r="P14" s="25">
        <f>SUM(P9:P13)</f>
        <v>7389.7400000000007</v>
      </c>
      <c r="Q14" s="25">
        <f t="shared" ref="Q14" si="20">SUM(Q9:Q13)</f>
        <v>23400.870000000003</v>
      </c>
      <c r="R14" s="25">
        <f>SUM(R9:R13)</f>
        <v>985.30399999999918</v>
      </c>
      <c r="S14" s="25">
        <f t="shared" ref="S14:T14" si="21">SUM(S9:S13)</f>
        <v>0</v>
      </c>
      <c r="T14" s="25">
        <f t="shared" si="21"/>
        <v>0</v>
      </c>
      <c r="U14" s="25">
        <f t="shared" ref="U14:AI14" si="22">SUM(U9:U13)</f>
        <v>0</v>
      </c>
      <c r="V14" s="25">
        <f t="shared" si="22"/>
        <v>0</v>
      </c>
      <c r="W14" s="25">
        <f t="shared" si="22"/>
        <v>0</v>
      </c>
      <c r="X14" s="25">
        <f t="shared" si="22"/>
        <v>0</v>
      </c>
      <c r="Y14" s="25">
        <f t="shared" si="22"/>
        <v>0</v>
      </c>
      <c r="Z14" s="25">
        <f t="shared" si="22"/>
        <v>3160.99</v>
      </c>
      <c r="AA14" s="25">
        <f>SUM(AA9:AA13)</f>
        <v>0</v>
      </c>
      <c r="AB14" s="25">
        <f>SUM(AB9:AB13)</f>
        <v>0</v>
      </c>
      <c r="AC14" s="25">
        <f t="shared" ref="AC14" si="23">SUM(AC9:AC13)</f>
        <v>3160.99</v>
      </c>
      <c r="AD14" s="25">
        <f t="shared" si="22"/>
        <v>0</v>
      </c>
      <c r="AE14" s="25">
        <f t="shared" si="22"/>
        <v>0</v>
      </c>
      <c r="AF14" s="25">
        <f>SUM(AF9:AF13)</f>
        <v>0</v>
      </c>
      <c r="AG14" s="25">
        <f t="shared" si="22"/>
        <v>0</v>
      </c>
      <c r="AH14" s="25">
        <f>SUM(AH9:AH13)</f>
        <v>0</v>
      </c>
      <c r="AI14" s="25">
        <f t="shared" si="22"/>
        <v>0</v>
      </c>
      <c r="AJ14" s="25">
        <f t="shared" ref="AJ14:AL14" si="24">SUM(AJ9:AJ13)</f>
        <v>0</v>
      </c>
      <c r="AK14" s="25">
        <f t="shared" si="24"/>
        <v>0</v>
      </c>
      <c r="AL14" s="25">
        <f t="shared" si="24"/>
        <v>0</v>
      </c>
      <c r="AM14" s="25">
        <f>SUM(AM9:AM13)</f>
        <v>0</v>
      </c>
      <c r="AN14" s="50">
        <f>SUM(AN9:AN13)</f>
        <v>0</v>
      </c>
      <c r="AO14" s="50"/>
    </row>
    <row r="15" spans="1:41" x14ac:dyDescent="0.2">
      <c r="Y15" s="25"/>
      <c r="Z15" s="25"/>
    </row>
    <row r="16" spans="1:41" x14ac:dyDescent="0.2">
      <c r="A16" s="7">
        <v>2</v>
      </c>
      <c r="B16" s="7">
        <v>2</v>
      </c>
      <c r="C16" s="20" t="s">
        <v>105</v>
      </c>
      <c r="D16" s="7">
        <v>1</v>
      </c>
      <c r="E16" s="82" t="s">
        <v>16</v>
      </c>
      <c r="F16" s="28">
        <v>0</v>
      </c>
      <c r="G16" s="28">
        <v>477.125</v>
      </c>
      <c r="H16" s="28">
        <v>1631.73</v>
      </c>
      <c r="I16" s="28">
        <v>0</v>
      </c>
      <c r="J16" s="29">
        <f>F16+G16+H16+I16</f>
        <v>2108.855</v>
      </c>
      <c r="K16" s="28">
        <v>2185.2399999999998</v>
      </c>
      <c r="L16" s="29">
        <f>J16+K16</f>
        <v>4294.0949999999993</v>
      </c>
      <c r="M16" s="28">
        <v>3160.99</v>
      </c>
      <c r="N16" s="28">
        <v>0</v>
      </c>
      <c r="O16" s="29">
        <f>M16+N16</f>
        <v>3160.99</v>
      </c>
      <c r="P16" s="28">
        <v>959.6</v>
      </c>
      <c r="Q16" s="29">
        <f>P16+O16</f>
        <v>4120.59</v>
      </c>
      <c r="R16" s="29">
        <f>MAX(L16-Q16,0)</f>
        <v>173.5049999999992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9">
        <f>AA16+AF16</f>
        <v>0</v>
      </c>
      <c r="Z16" s="29">
        <f>AC16+AL16</f>
        <v>3160.99</v>
      </c>
      <c r="AA16" s="28">
        <v>0</v>
      </c>
      <c r="AB16" s="28">
        <v>0</v>
      </c>
      <c r="AC16" s="24">
        <v>3160.99</v>
      </c>
      <c r="AD16" s="84">
        <v>1147.335</v>
      </c>
      <c r="AE16" s="28">
        <v>0</v>
      </c>
      <c r="AF16" s="28">
        <v>0</v>
      </c>
      <c r="AG16" s="84">
        <v>1536.53</v>
      </c>
      <c r="AH16" s="28">
        <v>0</v>
      </c>
      <c r="AI16" s="28">
        <v>0</v>
      </c>
      <c r="AJ16" s="28">
        <v>0</v>
      </c>
      <c r="AK16" s="29">
        <f t="shared" ref="AK16:AL20" si="25">AG16+AI16</f>
        <v>1536.53</v>
      </c>
      <c r="AL16" s="29">
        <f t="shared" si="25"/>
        <v>0</v>
      </c>
      <c r="AM16" s="29">
        <f t="shared" ref="AM16:AN20" si="26">AE16+AK16</f>
        <v>1536.53</v>
      </c>
      <c r="AN16" s="29">
        <f t="shared" si="26"/>
        <v>0</v>
      </c>
      <c r="AO16" s="29"/>
    </row>
    <row r="17" spans="1:41" x14ac:dyDescent="0.2">
      <c r="D17" s="7">
        <v>2</v>
      </c>
      <c r="E17" s="82" t="s">
        <v>17</v>
      </c>
      <c r="F17" s="28">
        <v>0</v>
      </c>
      <c r="G17" s="28">
        <v>587.69299999999998</v>
      </c>
      <c r="H17" s="28">
        <v>4303.24</v>
      </c>
      <c r="I17" s="28">
        <v>0</v>
      </c>
      <c r="J17" s="29">
        <f t="shared" ref="J17:J20" si="27">F17+G17+H17+I17</f>
        <v>4890.933</v>
      </c>
      <c r="K17" s="28">
        <v>398.37</v>
      </c>
      <c r="L17" s="29">
        <f>J17+K17</f>
        <v>5289.3029999999999</v>
      </c>
      <c r="M17" s="28">
        <v>3231.37</v>
      </c>
      <c r="N17" s="28">
        <v>0</v>
      </c>
      <c r="O17" s="29">
        <f t="shared" ref="O17:O20" si="28">M17+N17</f>
        <v>3231.37</v>
      </c>
      <c r="P17" s="28">
        <v>1844.24</v>
      </c>
      <c r="Q17" s="29">
        <f>P17+O17</f>
        <v>5075.6099999999997</v>
      </c>
      <c r="R17" s="29">
        <f t="shared" ref="R17:R20" si="29">MAX(L17-Q17,0)</f>
        <v>213.69300000000021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9">
        <f>AA17+AF17</f>
        <v>0</v>
      </c>
      <c r="Z17" s="29">
        <f>AC17+AL17</f>
        <v>1215.4100000000001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83">
        <v>1215.4100000000001</v>
      </c>
      <c r="AI17" s="28">
        <v>0</v>
      </c>
      <c r="AJ17" s="28">
        <v>0</v>
      </c>
      <c r="AK17" s="29">
        <f t="shared" si="25"/>
        <v>0</v>
      </c>
      <c r="AL17" s="29">
        <f t="shared" si="25"/>
        <v>1215.4100000000001</v>
      </c>
      <c r="AM17" s="29">
        <f t="shared" si="26"/>
        <v>0</v>
      </c>
      <c r="AN17" s="29">
        <f t="shared" si="26"/>
        <v>1215.4100000000001</v>
      </c>
      <c r="AO17" s="29"/>
    </row>
    <row r="18" spans="1:41" x14ac:dyDescent="0.2">
      <c r="D18" s="7">
        <v>3</v>
      </c>
      <c r="E18" s="7" t="s">
        <v>18</v>
      </c>
      <c r="F18" s="28">
        <v>0</v>
      </c>
      <c r="G18" s="28">
        <v>513.84699999999998</v>
      </c>
      <c r="H18" s="28">
        <v>3379.72</v>
      </c>
      <c r="I18" s="28">
        <v>0</v>
      </c>
      <c r="J18" s="29">
        <f t="shared" si="27"/>
        <v>3893.567</v>
      </c>
      <c r="K18" s="28">
        <v>730.99</v>
      </c>
      <c r="L18" s="29">
        <f>J18+K18</f>
        <v>4624.5569999999998</v>
      </c>
      <c r="M18" s="28">
        <v>3184.36</v>
      </c>
      <c r="N18" s="28">
        <v>0</v>
      </c>
      <c r="O18" s="29">
        <f t="shared" si="28"/>
        <v>3184.36</v>
      </c>
      <c r="P18" s="28">
        <v>1253.3399999999999</v>
      </c>
      <c r="Q18" s="29">
        <f>P18+O18</f>
        <v>4437.7</v>
      </c>
      <c r="R18" s="29">
        <f t="shared" si="29"/>
        <v>186.85699999999997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9">
        <f>AA18+AF18</f>
        <v>0</v>
      </c>
      <c r="Z18" s="29">
        <f>AC18+AL18</f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9">
        <f t="shared" si="25"/>
        <v>0</v>
      </c>
      <c r="AL18" s="29">
        <f t="shared" si="25"/>
        <v>0</v>
      </c>
      <c r="AM18" s="29">
        <f t="shared" si="26"/>
        <v>0</v>
      </c>
      <c r="AN18" s="29">
        <f t="shared" si="26"/>
        <v>0</v>
      </c>
      <c r="AO18" s="29"/>
    </row>
    <row r="19" spans="1:41" x14ac:dyDescent="0.2">
      <c r="D19" s="7">
        <v>4</v>
      </c>
      <c r="E19" s="85" t="s">
        <v>19</v>
      </c>
      <c r="F19" s="28">
        <v>0</v>
      </c>
      <c r="G19" s="28">
        <v>713.66200000000003</v>
      </c>
      <c r="H19" s="28">
        <v>4351.47</v>
      </c>
      <c r="I19" s="28">
        <v>0</v>
      </c>
      <c r="J19" s="29">
        <f t="shared" si="27"/>
        <v>5065.1320000000005</v>
      </c>
      <c r="K19" s="28">
        <v>1357.75</v>
      </c>
      <c r="L19" s="29">
        <f>J19+K19</f>
        <v>6422.8820000000005</v>
      </c>
      <c r="M19" s="28">
        <v>3311.51</v>
      </c>
      <c r="N19" s="28">
        <v>0</v>
      </c>
      <c r="O19" s="29">
        <f t="shared" si="28"/>
        <v>3311.51</v>
      </c>
      <c r="P19" s="28">
        <v>2851.85</v>
      </c>
      <c r="Q19" s="29">
        <f>P19+O19</f>
        <v>6163.3600000000006</v>
      </c>
      <c r="R19" s="29">
        <f t="shared" si="29"/>
        <v>259.52199999999993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9">
        <f>AA19+AF19</f>
        <v>0</v>
      </c>
      <c r="Z19" s="29">
        <f>AC19+AL19</f>
        <v>94.544200000000004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83">
        <v>94.544200000000004</v>
      </c>
      <c r="AI19" s="28">
        <v>0</v>
      </c>
      <c r="AJ19" s="28">
        <v>0</v>
      </c>
      <c r="AK19" s="29">
        <f t="shared" si="25"/>
        <v>0</v>
      </c>
      <c r="AL19" s="29">
        <f t="shared" si="25"/>
        <v>94.544200000000004</v>
      </c>
      <c r="AM19" s="29">
        <f t="shared" si="26"/>
        <v>0</v>
      </c>
      <c r="AN19" s="29">
        <f t="shared" si="26"/>
        <v>94.544200000000004</v>
      </c>
      <c r="AO19" s="29"/>
    </row>
    <row r="20" spans="1:41" x14ac:dyDescent="0.2">
      <c r="D20" s="7">
        <v>5</v>
      </c>
      <c r="E20" s="85" t="s">
        <v>20</v>
      </c>
      <c r="F20" s="28">
        <v>0</v>
      </c>
      <c r="G20" s="28">
        <v>417.25700000000001</v>
      </c>
      <c r="H20" s="28">
        <v>620.69000000000005</v>
      </c>
      <c r="I20" s="28">
        <v>0</v>
      </c>
      <c r="J20" s="29">
        <f t="shared" si="27"/>
        <v>1037.9470000000001</v>
      </c>
      <c r="K20" s="28">
        <v>2717.39</v>
      </c>
      <c r="L20" s="29">
        <f>J20+K20</f>
        <v>3755.337</v>
      </c>
      <c r="M20" s="28">
        <v>3122.9</v>
      </c>
      <c r="N20" s="28">
        <v>0</v>
      </c>
      <c r="O20" s="29">
        <f t="shared" si="28"/>
        <v>3122.9</v>
      </c>
      <c r="P20" s="28">
        <v>480.71</v>
      </c>
      <c r="Q20" s="29">
        <f>P20+O20</f>
        <v>3603.61</v>
      </c>
      <c r="R20" s="29">
        <f t="shared" si="29"/>
        <v>151.72699999999986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9">
        <f>AA20+AF20</f>
        <v>0</v>
      </c>
      <c r="Z20" s="29">
        <f>AC20+AL20</f>
        <v>226.57300000000001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83">
        <v>226.57300000000001</v>
      </c>
      <c r="AI20" s="28">
        <v>0</v>
      </c>
      <c r="AJ20" s="28">
        <v>0</v>
      </c>
      <c r="AK20" s="29">
        <f t="shared" si="25"/>
        <v>0</v>
      </c>
      <c r="AL20" s="29">
        <f t="shared" si="25"/>
        <v>226.57300000000001</v>
      </c>
      <c r="AM20" s="29">
        <f t="shared" si="26"/>
        <v>0</v>
      </c>
      <c r="AN20" s="29">
        <f t="shared" si="26"/>
        <v>226.57300000000001</v>
      </c>
      <c r="AO20" s="29"/>
    </row>
    <row r="21" spans="1:41" x14ac:dyDescent="0.2">
      <c r="F21" s="25">
        <f>SUM(F16:F20)</f>
        <v>0</v>
      </c>
      <c r="G21" s="25">
        <f t="shared" ref="G21:H21" si="30">SUM(G16:G20)</f>
        <v>2709.5840000000003</v>
      </c>
      <c r="H21" s="25">
        <f t="shared" si="30"/>
        <v>14286.85</v>
      </c>
      <c r="I21" s="25">
        <f>SUM(I16:I20)</f>
        <v>0</v>
      </c>
      <c r="J21" s="25">
        <f>SUM(J16:J20)</f>
        <v>16996.434000000001</v>
      </c>
      <c r="K21" s="25">
        <f t="shared" ref="K21:L21" si="31">SUM(K16:K20)</f>
        <v>7389.74</v>
      </c>
      <c r="L21" s="25">
        <f t="shared" si="31"/>
        <v>24386.173999999999</v>
      </c>
      <c r="M21" s="25">
        <f>SUM(M16:M20)</f>
        <v>16011.13</v>
      </c>
      <c r="N21" s="25">
        <f>SUM(N16:N20)</f>
        <v>0</v>
      </c>
      <c r="O21" s="25">
        <f>SUM(O16:O20)</f>
        <v>16011.13</v>
      </c>
      <c r="P21" s="25">
        <f>SUM(P16:P20)</f>
        <v>7389.7400000000007</v>
      </c>
      <c r="Q21" s="25">
        <f t="shared" ref="Q21" si="32">SUM(Q16:Q20)</f>
        <v>23400.870000000003</v>
      </c>
      <c r="R21" s="25">
        <f>SUM(R16:R20)</f>
        <v>985.30399999999918</v>
      </c>
      <c r="S21" s="25">
        <f t="shared" ref="S21:T21" si="33">SUM(S16:S20)</f>
        <v>0</v>
      </c>
      <c r="T21" s="25">
        <f t="shared" si="33"/>
        <v>0</v>
      </c>
      <c r="U21" s="25">
        <f t="shared" ref="U21:AI21" si="34">SUM(U16:U20)</f>
        <v>0</v>
      </c>
      <c r="V21" s="25">
        <f t="shared" si="34"/>
        <v>0</v>
      </c>
      <c r="W21" s="25">
        <f t="shared" ref="W21:X21" si="35">SUM(W16:W20)</f>
        <v>0</v>
      </c>
      <c r="X21" s="25">
        <f t="shared" si="35"/>
        <v>0</v>
      </c>
      <c r="Y21" s="25">
        <f t="shared" si="34"/>
        <v>0</v>
      </c>
      <c r="Z21" s="25">
        <f t="shared" si="34"/>
        <v>4697.5172000000002</v>
      </c>
      <c r="AA21" s="25">
        <f>SUM(AA16:AA20)</f>
        <v>0</v>
      </c>
      <c r="AB21" s="25">
        <f>SUM(AB16:AB20)</f>
        <v>0</v>
      </c>
      <c r="AC21" s="25">
        <f t="shared" ref="AC21" si="36">SUM(AC16:AC20)</f>
        <v>3160.99</v>
      </c>
      <c r="AD21" s="25">
        <f t="shared" si="34"/>
        <v>1147.335</v>
      </c>
      <c r="AE21" s="25">
        <f t="shared" si="34"/>
        <v>0</v>
      </c>
      <c r="AF21" s="25">
        <f>SUM(AF16:AF20)</f>
        <v>0</v>
      </c>
      <c r="AG21" s="25">
        <f t="shared" si="34"/>
        <v>1536.53</v>
      </c>
      <c r="AH21" s="25">
        <f>SUM(AH16:AH20)</f>
        <v>1536.5272000000002</v>
      </c>
      <c r="AI21" s="25">
        <f t="shared" si="34"/>
        <v>0</v>
      </c>
      <c r="AJ21" s="25">
        <f t="shared" ref="AJ21:AL21" si="37">SUM(AJ16:AJ20)</f>
        <v>0</v>
      </c>
      <c r="AK21" s="25">
        <f t="shared" si="37"/>
        <v>1536.53</v>
      </c>
      <c r="AL21" s="25">
        <f t="shared" si="37"/>
        <v>1536.5272000000002</v>
      </c>
      <c r="AM21" s="25">
        <f>SUM(AM16:AM20)</f>
        <v>1536.53</v>
      </c>
      <c r="AN21" s="50">
        <f>SUM(AN16:AN20)</f>
        <v>1536.5272000000002</v>
      </c>
      <c r="AO21" s="50"/>
    </row>
    <row r="23" spans="1:41" x14ac:dyDescent="0.2">
      <c r="A23" s="7">
        <v>2</v>
      </c>
      <c r="B23" s="7">
        <v>2</v>
      </c>
      <c r="C23" s="20" t="s">
        <v>106</v>
      </c>
      <c r="D23" s="7">
        <v>1</v>
      </c>
      <c r="E23" s="82" t="s">
        <v>16</v>
      </c>
      <c r="F23" s="28">
        <v>0</v>
      </c>
      <c r="G23" s="28">
        <v>477.125</v>
      </c>
      <c r="H23" s="28">
        <v>1631.73</v>
      </c>
      <c r="I23" s="28">
        <v>0</v>
      </c>
      <c r="J23" s="29">
        <f>F23+G23+H23+I23</f>
        <v>2108.855</v>
      </c>
      <c r="K23" s="28">
        <v>2185.2399999999998</v>
      </c>
      <c r="L23" s="29">
        <f>J23+K23</f>
        <v>4294.0949999999993</v>
      </c>
      <c r="M23" s="28">
        <v>3160.99</v>
      </c>
      <c r="N23" s="28">
        <v>0</v>
      </c>
      <c r="O23" s="29">
        <f>M23+N23</f>
        <v>3160.99</v>
      </c>
      <c r="P23" s="28">
        <v>959.6</v>
      </c>
      <c r="Q23" s="29">
        <f>P23+O23</f>
        <v>4120.59</v>
      </c>
      <c r="R23" s="29">
        <f>MAX(L23-Q23,0)</f>
        <v>173.5049999999992</v>
      </c>
      <c r="S23" s="84">
        <v>477.125</v>
      </c>
      <c r="T23" s="84">
        <v>1147.335</v>
      </c>
      <c r="U23" s="28">
        <v>0</v>
      </c>
      <c r="V23" s="97">
        <v>908.81020000000001</v>
      </c>
      <c r="W23" s="28">
        <v>0</v>
      </c>
      <c r="X23" s="28">
        <v>0</v>
      </c>
      <c r="Y23" s="29">
        <f>AA23+AF23</f>
        <v>0</v>
      </c>
      <c r="Z23" s="29">
        <f>AC23+AL23</f>
        <v>3160.99</v>
      </c>
      <c r="AA23" s="28">
        <v>0</v>
      </c>
      <c r="AB23" s="28">
        <v>0</v>
      </c>
      <c r="AC23" s="24">
        <v>3160.99</v>
      </c>
      <c r="AD23" s="24">
        <v>1147.335</v>
      </c>
      <c r="AE23" s="28">
        <v>0</v>
      </c>
      <c r="AF23" s="28">
        <v>0</v>
      </c>
      <c r="AG23" s="24">
        <v>1536.53</v>
      </c>
      <c r="AH23" s="24">
        <v>0</v>
      </c>
      <c r="AI23" s="28">
        <v>0</v>
      </c>
      <c r="AJ23" s="28">
        <v>0</v>
      </c>
      <c r="AK23" s="29">
        <f t="shared" ref="AK23:AL27" si="38">AG23+AI23</f>
        <v>1536.53</v>
      </c>
      <c r="AL23" s="29">
        <f t="shared" si="38"/>
        <v>0</v>
      </c>
      <c r="AM23" s="29">
        <f t="shared" ref="AM23:AN27" si="39">AE23+AK23</f>
        <v>1536.53</v>
      </c>
      <c r="AN23" s="29">
        <f t="shared" si="39"/>
        <v>0</v>
      </c>
      <c r="AO23" s="29"/>
    </row>
    <row r="24" spans="1:41" x14ac:dyDescent="0.2">
      <c r="D24" s="7">
        <v>2</v>
      </c>
      <c r="E24" s="82" t="s">
        <v>17</v>
      </c>
      <c r="F24" s="28">
        <v>0</v>
      </c>
      <c r="G24" s="28">
        <v>587.69299999999998</v>
      </c>
      <c r="H24" s="28">
        <v>4303.24</v>
      </c>
      <c r="I24" s="28">
        <v>0</v>
      </c>
      <c r="J24" s="29">
        <f t="shared" ref="J24:J27" si="40">F24+G24+H24+I24</f>
        <v>4890.933</v>
      </c>
      <c r="K24" s="28">
        <v>398.37</v>
      </c>
      <c r="L24" s="29">
        <f>J24+K24</f>
        <v>5289.3029999999999</v>
      </c>
      <c r="M24" s="28">
        <v>3231.37</v>
      </c>
      <c r="N24" s="28">
        <v>0</v>
      </c>
      <c r="O24" s="29">
        <f t="shared" ref="O24:O27" si="41">M24+N24</f>
        <v>3231.37</v>
      </c>
      <c r="P24" s="28">
        <v>1844.24</v>
      </c>
      <c r="Q24" s="29">
        <f>P24+O24</f>
        <v>5075.6099999999997</v>
      </c>
      <c r="R24" s="29">
        <f t="shared" ref="R24:R27" si="42">MAX(L24-Q24,0)</f>
        <v>213.69300000000021</v>
      </c>
      <c r="S24" s="28">
        <v>0</v>
      </c>
      <c r="T24" s="28">
        <v>0</v>
      </c>
      <c r="U24" s="28">
        <v>0</v>
      </c>
      <c r="V24" s="30">
        <v>0</v>
      </c>
      <c r="W24" s="28">
        <v>0</v>
      </c>
      <c r="X24" s="83">
        <v>587.69299999999998</v>
      </c>
      <c r="Y24" s="29">
        <f>AA24+AF24</f>
        <v>0</v>
      </c>
      <c r="Z24" s="29">
        <f>AC24+AL24</f>
        <v>1215.4100000000001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4">
        <v>1215.4100000000001</v>
      </c>
      <c r="AI24" s="28">
        <v>0</v>
      </c>
      <c r="AJ24" s="28">
        <v>0</v>
      </c>
      <c r="AK24" s="29">
        <f t="shared" si="38"/>
        <v>0</v>
      </c>
      <c r="AL24" s="29">
        <f t="shared" si="38"/>
        <v>1215.4100000000001</v>
      </c>
      <c r="AM24" s="29">
        <f t="shared" si="39"/>
        <v>0</v>
      </c>
      <c r="AN24" s="29">
        <f t="shared" si="39"/>
        <v>1215.4100000000001</v>
      </c>
      <c r="AO24" s="29"/>
    </row>
    <row r="25" spans="1:41" x14ac:dyDescent="0.2">
      <c r="D25" s="7">
        <v>3</v>
      </c>
      <c r="E25" s="7" t="s">
        <v>18</v>
      </c>
      <c r="F25" s="28">
        <v>0</v>
      </c>
      <c r="G25" s="28">
        <v>513.84699999999998</v>
      </c>
      <c r="H25" s="28">
        <v>3379.72</v>
      </c>
      <c r="I25" s="28">
        <v>0</v>
      </c>
      <c r="J25" s="29">
        <f t="shared" si="40"/>
        <v>3893.567</v>
      </c>
      <c r="K25" s="28">
        <v>730.99</v>
      </c>
      <c r="L25" s="29">
        <f>J25+K25</f>
        <v>4624.5569999999998</v>
      </c>
      <c r="M25" s="28">
        <v>3184.36</v>
      </c>
      <c r="N25" s="28">
        <v>0</v>
      </c>
      <c r="O25" s="29">
        <f t="shared" si="41"/>
        <v>3184.36</v>
      </c>
      <c r="P25" s="28">
        <v>1253.3399999999999</v>
      </c>
      <c r="Q25" s="29">
        <f>P25+O25</f>
        <v>4437.7</v>
      </c>
      <c r="R25" s="29">
        <f t="shared" si="42"/>
        <v>186.85699999999997</v>
      </c>
      <c r="S25" s="28">
        <v>0</v>
      </c>
      <c r="T25" s="28">
        <v>0</v>
      </c>
      <c r="U25" s="28">
        <v>0</v>
      </c>
      <c r="V25" s="30">
        <v>0</v>
      </c>
      <c r="W25" s="28">
        <v>0</v>
      </c>
      <c r="X25" s="28">
        <v>0</v>
      </c>
      <c r="Y25" s="29">
        <f>AA25+AF25</f>
        <v>0</v>
      </c>
      <c r="Z25" s="29">
        <f>AC25+AL25</f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4">
        <v>0</v>
      </c>
      <c r="AI25" s="28">
        <v>0</v>
      </c>
      <c r="AJ25" s="28">
        <v>0</v>
      </c>
      <c r="AK25" s="29">
        <f t="shared" si="38"/>
        <v>0</v>
      </c>
      <c r="AL25" s="29">
        <f t="shared" si="38"/>
        <v>0</v>
      </c>
      <c r="AM25" s="29">
        <f t="shared" si="39"/>
        <v>0</v>
      </c>
      <c r="AN25" s="29">
        <f t="shared" si="39"/>
        <v>0</v>
      </c>
      <c r="AO25" s="29"/>
    </row>
    <row r="26" spans="1:41" x14ac:dyDescent="0.2">
      <c r="D26" s="7">
        <v>4</v>
      </c>
      <c r="E26" s="85" t="s">
        <v>19</v>
      </c>
      <c r="F26" s="28">
        <v>0</v>
      </c>
      <c r="G26" s="28">
        <v>713.66200000000003</v>
      </c>
      <c r="H26" s="28">
        <v>4351.47</v>
      </c>
      <c r="I26" s="28">
        <v>0</v>
      </c>
      <c r="J26" s="29">
        <f t="shared" si="40"/>
        <v>5065.1320000000005</v>
      </c>
      <c r="K26" s="28">
        <v>1357.75</v>
      </c>
      <c r="L26" s="29">
        <f>J26+K26</f>
        <v>6422.8820000000005</v>
      </c>
      <c r="M26" s="28">
        <v>3311.51</v>
      </c>
      <c r="N26" s="28">
        <v>0</v>
      </c>
      <c r="O26" s="29">
        <f t="shared" si="41"/>
        <v>3311.51</v>
      </c>
      <c r="P26" s="28">
        <v>2851.85</v>
      </c>
      <c r="Q26" s="29">
        <f>P26+O26</f>
        <v>6163.3600000000006</v>
      </c>
      <c r="R26" s="29">
        <f t="shared" si="42"/>
        <v>259.52199999999993</v>
      </c>
      <c r="S26" s="28">
        <v>0</v>
      </c>
      <c r="T26" s="28">
        <v>0</v>
      </c>
      <c r="U26" s="28">
        <v>0</v>
      </c>
      <c r="V26" s="30">
        <v>0</v>
      </c>
      <c r="W26" s="28">
        <v>0</v>
      </c>
      <c r="X26" s="83">
        <v>94.544200000000004</v>
      </c>
      <c r="Y26" s="29">
        <f>AA26+AF26</f>
        <v>0</v>
      </c>
      <c r="Z26" s="29">
        <f>AC26+AL26</f>
        <v>94.544200000000004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4">
        <v>94.544200000000004</v>
      </c>
      <c r="AI26" s="28">
        <v>0</v>
      </c>
      <c r="AJ26" s="28">
        <v>0</v>
      </c>
      <c r="AK26" s="29">
        <f t="shared" si="38"/>
        <v>0</v>
      </c>
      <c r="AL26" s="29">
        <f t="shared" si="38"/>
        <v>94.544200000000004</v>
      </c>
      <c r="AM26" s="29">
        <f t="shared" si="39"/>
        <v>0</v>
      </c>
      <c r="AN26" s="29">
        <f t="shared" si="39"/>
        <v>94.544200000000004</v>
      </c>
      <c r="AO26" s="29"/>
    </row>
    <row r="27" spans="1:41" x14ac:dyDescent="0.2">
      <c r="D27" s="7">
        <v>5</v>
      </c>
      <c r="E27" s="85" t="s">
        <v>20</v>
      </c>
      <c r="F27" s="28">
        <v>0</v>
      </c>
      <c r="G27" s="28">
        <v>417.25700000000001</v>
      </c>
      <c r="H27" s="28">
        <v>620.69000000000005</v>
      </c>
      <c r="I27" s="28">
        <v>0</v>
      </c>
      <c r="J27" s="29">
        <f t="shared" si="40"/>
        <v>1037.9470000000001</v>
      </c>
      <c r="K27" s="28">
        <v>2717.39</v>
      </c>
      <c r="L27" s="29">
        <f>J27+K27</f>
        <v>3755.337</v>
      </c>
      <c r="M27" s="28">
        <v>3122.9</v>
      </c>
      <c r="N27" s="28">
        <v>0</v>
      </c>
      <c r="O27" s="29">
        <f t="shared" si="41"/>
        <v>3122.9</v>
      </c>
      <c r="P27" s="28">
        <v>480.71</v>
      </c>
      <c r="Q27" s="29">
        <f>P27+O27</f>
        <v>3603.61</v>
      </c>
      <c r="R27" s="29">
        <f t="shared" si="42"/>
        <v>151.72699999999986</v>
      </c>
      <c r="S27" s="28">
        <v>0</v>
      </c>
      <c r="T27" s="28">
        <v>0</v>
      </c>
      <c r="U27" s="28">
        <v>0</v>
      </c>
      <c r="V27" s="30">
        <v>0</v>
      </c>
      <c r="W27" s="28">
        <v>0</v>
      </c>
      <c r="X27" s="83">
        <v>226.57300000000001</v>
      </c>
      <c r="Y27" s="29">
        <f>AA27+AF27</f>
        <v>0</v>
      </c>
      <c r="Z27" s="29">
        <f>AC27+AL27</f>
        <v>226.57300000000001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4">
        <v>226.57300000000001</v>
      </c>
      <c r="AI27" s="28">
        <v>0</v>
      </c>
      <c r="AJ27" s="28">
        <v>0</v>
      </c>
      <c r="AK27" s="29">
        <f t="shared" si="38"/>
        <v>0</v>
      </c>
      <c r="AL27" s="29">
        <f t="shared" si="38"/>
        <v>226.57300000000001</v>
      </c>
      <c r="AM27" s="29">
        <f t="shared" si="39"/>
        <v>0</v>
      </c>
      <c r="AN27" s="29">
        <f t="shared" si="39"/>
        <v>226.57300000000001</v>
      </c>
      <c r="AO27" s="29"/>
    </row>
    <row r="28" spans="1:41" x14ac:dyDescent="0.2">
      <c r="F28" s="25">
        <f>SUM(F23:F27)</f>
        <v>0</v>
      </c>
      <c r="G28" s="25">
        <f t="shared" ref="G28:H28" si="43">SUM(G23:G27)</f>
        <v>2709.5840000000003</v>
      </c>
      <c r="H28" s="25">
        <f t="shared" si="43"/>
        <v>14286.85</v>
      </c>
      <c r="I28" s="25">
        <f>SUM(I23:I27)</f>
        <v>0</v>
      </c>
      <c r="J28" s="25">
        <f>SUM(J23:J27)</f>
        <v>16996.434000000001</v>
      </c>
      <c r="K28" s="25">
        <f t="shared" ref="K28:L28" si="44">SUM(K23:K27)</f>
        <v>7389.74</v>
      </c>
      <c r="L28" s="25">
        <f t="shared" si="44"/>
        <v>24386.173999999999</v>
      </c>
      <c r="M28" s="25">
        <f>SUM(M23:M27)</f>
        <v>16011.13</v>
      </c>
      <c r="N28" s="25">
        <f>SUM(N23:N27)</f>
        <v>0</v>
      </c>
      <c r="O28" s="25">
        <f>SUM(O23:O27)</f>
        <v>16011.13</v>
      </c>
      <c r="P28" s="25">
        <f>SUM(P23:P27)</f>
        <v>7389.7400000000007</v>
      </c>
      <c r="Q28" s="25">
        <f t="shared" ref="Q28" si="45">SUM(Q23:Q27)</f>
        <v>23400.870000000003</v>
      </c>
      <c r="R28" s="25">
        <f>SUM(R23:R27)</f>
        <v>985.30399999999918</v>
      </c>
      <c r="S28" s="25">
        <f t="shared" ref="S28:T28" si="46">SUM(S23:S27)</f>
        <v>477.125</v>
      </c>
      <c r="T28" s="25">
        <f t="shared" si="46"/>
        <v>1147.335</v>
      </c>
      <c r="U28" s="25">
        <f t="shared" ref="U28:AI28" si="47">SUM(U23:U27)</f>
        <v>0</v>
      </c>
      <c r="V28" s="25">
        <f t="shared" si="47"/>
        <v>908.81020000000001</v>
      </c>
      <c r="W28" s="25">
        <f t="shared" si="47"/>
        <v>0</v>
      </c>
      <c r="X28" s="25">
        <f t="shared" si="47"/>
        <v>908.81020000000001</v>
      </c>
      <c r="Y28" s="25">
        <f t="shared" si="47"/>
        <v>0</v>
      </c>
      <c r="Z28" s="25">
        <f t="shared" si="47"/>
        <v>4697.5172000000002</v>
      </c>
      <c r="AA28" s="25">
        <f>SUM(AA23:AA27)</f>
        <v>0</v>
      </c>
      <c r="AB28" s="25">
        <f>SUM(AB23:AB27)</f>
        <v>0</v>
      </c>
      <c r="AC28" s="25">
        <f t="shared" ref="AC28" si="48">SUM(AC23:AC27)</f>
        <v>3160.99</v>
      </c>
      <c r="AD28" s="25">
        <f t="shared" si="47"/>
        <v>1147.335</v>
      </c>
      <c r="AE28" s="25">
        <f t="shared" si="47"/>
        <v>0</v>
      </c>
      <c r="AF28" s="25">
        <f>SUM(AF23:AF27)</f>
        <v>0</v>
      </c>
      <c r="AG28" s="25">
        <f t="shared" si="47"/>
        <v>1536.53</v>
      </c>
      <c r="AH28" s="25">
        <f>SUM(AH23:AH27)</f>
        <v>1536.5272000000002</v>
      </c>
      <c r="AI28" s="25">
        <f t="shared" si="47"/>
        <v>0</v>
      </c>
      <c r="AJ28" s="25">
        <f t="shared" ref="AJ28:AL28" si="49">SUM(AJ23:AJ27)</f>
        <v>0</v>
      </c>
      <c r="AK28" s="25">
        <f t="shared" si="49"/>
        <v>1536.53</v>
      </c>
      <c r="AL28" s="25">
        <f t="shared" si="49"/>
        <v>1536.5272000000002</v>
      </c>
      <c r="AM28" s="25">
        <f>SUM(AM23:AM27)</f>
        <v>1536.53</v>
      </c>
      <c r="AN28" s="50">
        <f>SUM(AN23:AN27)</f>
        <v>1536.5272000000002</v>
      </c>
      <c r="AO28" s="50"/>
    </row>
    <row r="29" spans="1:41" x14ac:dyDescent="0.2"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50"/>
      <c r="AO29" s="50"/>
    </row>
    <row r="30" spans="1:41" x14ac:dyDescent="0.2">
      <c r="A30" s="7">
        <v>2</v>
      </c>
      <c r="B30" s="7">
        <v>2</v>
      </c>
      <c r="C30" s="20" t="s">
        <v>73</v>
      </c>
      <c r="D30" s="7">
        <v>1</v>
      </c>
      <c r="E30" s="82" t="s">
        <v>16</v>
      </c>
      <c r="F30" s="28">
        <v>0</v>
      </c>
      <c r="G30" s="84">
        <v>2056.145</v>
      </c>
      <c r="H30" s="84">
        <v>484.39501999999999</v>
      </c>
      <c r="I30" s="28">
        <v>0</v>
      </c>
      <c r="J30" s="29">
        <f>F30+G30+H30+I30</f>
        <v>2540.5400199999999</v>
      </c>
      <c r="K30" s="84">
        <v>1276.4328999999998</v>
      </c>
      <c r="L30" s="29">
        <f>J30+K30</f>
        <v>3816.9729199999997</v>
      </c>
      <c r="M30" s="84">
        <v>2683.8649999999998</v>
      </c>
      <c r="N30" s="28">
        <v>0</v>
      </c>
      <c r="O30" s="29">
        <f>M30+N30</f>
        <v>2683.8649999999998</v>
      </c>
      <c r="P30" s="24">
        <v>959.6</v>
      </c>
      <c r="Q30" s="29">
        <f>P30+O30</f>
        <v>3643.4649999999997</v>
      </c>
      <c r="R30" s="29">
        <f>MAX(L30-Q30,0)</f>
        <v>173.50792000000001</v>
      </c>
      <c r="S30" s="24">
        <v>477.125</v>
      </c>
      <c r="T30" s="24">
        <v>1147.335</v>
      </c>
      <c r="U30" s="24">
        <v>0</v>
      </c>
      <c r="V30" s="30">
        <v>908.81020000000001</v>
      </c>
      <c r="W30" s="24">
        <v>0</v>
      </c>
      <c r="X30" s="24">
        <v>0</v>
      </c>
      <c r="Y30" s="29">
        <f>AA30+AF30</f>
        <v>0</v>
      </c>
      <c r="Z30" s="29">
        <f>AC30+AL30</f>
        <v>2683.8649999999998</v>
      </c>
      <c r="AA30" s="28">
        <v>0</v>
      </c>
      <c r="AB30" s="28">
        <v>0</v>
      </c>
      <c r="AC30" s="84">
        <v>2683.8649999999998</v>
      </c>
      <c r="AD30" s="84">
        <v>0</v>
      </c>
      <c r="AE30" s="28">
        <v>0</v>
      </c>
      <c r="AF30" s="28">
        <v>0</v>
      </c>
      <c r="AG30" s="98">
        <v>627.71990000000005</v>
      </c>
      <c r="AH30" s="24">
        <v>0</v>
      </c>
      <c r="AI30" s="28">
        <v>0</v>
      </c>
      <c r="AJ30" s="28">
        <v>0</v>
      </c>
      <c r="AK30" s="29">
        <f t="shared" ref="AK30:AL34" si="50">AG30+AI30</f>
        <v>627.71990000000005</v>
      </c>
      <c r="AL30" s="29">
        <f t="shared" si="50"/>
        <v>0</v>
      </c>
      <c r="AM30" s="29">
        <f t="shared" ref="AM30:AN34" si="51">AE30+AK30</f>
        <v>627.71990000000005</v>
      </c>
      <c r="AN30" s="29">
        <f t="shared" si="51"/>
        <v>0</v>
      </c>
      <c r="AO30" s="29"/>
    </row>
    <row r="31" spans="1:41" x14ac:dyDescent="0.2">
      <c r="D31" s="7">
        <v>2</v>
      </c>
      <c r="E31" s="82" t="s">
        <v>17</v>
      </c>
      <c r="F31" s="28">
        <v>0</v>
      </c>
      <c r="G31" s="83">
        <v>0</v>
      </c>
      <c r="H31" s="28">
        <v>4303.24</v>
      </c>
      <c r="I31" s="28">
        <v>0</v>
      </c>
      <c r="J31" s="29">
        <f t="shared" ref="J31:J34" si="52">F31+G31+H31+I31</f>
        <v>4303.24</v>
      </c>
      <c r="K31" s="28">
        <v>398.37</v>
      </c>
      <c r="L31" s="29">
        <f>J31+K31</f>
        <v>4701.6099999999997</v>
      </c>
      <c r="M31" s="28">
        <v>3231.37</v>
      </c>
      <c r="N31" s="28">
        <v>0</v>
      </c>
      <c r="O31" s="29">
        <f t="shared" ref="O31:O34" si="53">M31+N31</f>
        <v>3231.37</v>
      </c>
      <c r="P31" s="83">
        <v>1256.55</v>
      </c>
      <c r="Q31" s="29">
        <f>P31+O31</f>
        <v>4487.92</v>
      </c>
      <c r="R31" s="29">
        <f t="shared" ref="R31:R34" si="54">MAX(L31-Q31,0)</f>
        <v>213.6899999999996</v>
      </c>
      <c r="S31" s="24">
        <v>0</v>
      </c>
      <c r="T31" s="24">
        <v>0</v>
      </c>
      <c r="U31" s="24">
        <v>0</v>
      </c>
      <c r="V31" s="30">
        <v>0</v>
      </c>
      <c r="W31" s="24">
        <v>0</v>
      </c>
      <c r="X31" s="24">
        <v>587.69299999999998</v>
      </c>
      <c r="Y31" s="29">
        <f>AA31+AF31</f>
        <v>0</v>
      </c>
      <c r="Z31" s="29">
        <f>AC31+AL31</f>
        <v>627.72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4">
        <v>0</v>
      </c>
      <c r="AH31" s="83">
        <v>627.72</v>
      </c>
      <c r="AI31" s="28">
        <v>0</v>
      </c>
      <c r="AJ31" s="28">
        <v>0</v>
      </c>
      <c r="AK31" s="29">
        <f t="shared" si="50"/>
        <v>0</v>
      </c>
      <c r="AL31" s="29">
        <f t="shared" si="50"/>
        <v>627.72</v>
      </c>
      <c r="AM31" s="29">
        <f t="shared" si="51"/>
        <v>0</v>
      </c>
      <c r="AN31" s="29">
        <f t="shared" si="51"/>
        <v>627.72</v>
      </c>
      <c r="AO31" s="29"/>
    </row>
    <row r="32" spans="1:41" x14ac:dyDescent="0.2">
      <c r="D32" s="7">
        <v>3</v>
      </c>
      <c r="E32" s="7" t="s">
        <v>18</v>
      </c>
      <c r="F32" s="28">
        <v>0</v>
      </c>
      <c r="G32" s="28">
        <v>513.84699999999998</v>
      </c>
      <c r="H32" s="28">
        <v>3379.72</v>
      </c>
      <c r="I32" s="28">
        <v>0</v>
      </c>
      <c r="J32" s="29">
        <f t="shared" si="52"/>
        <v>3893.567</v>
      </c>
      <c r="K32" s="28">
        <v>730.99</v>
      </c>
      <c r="L32" s="29">
        <f>J32+K32</f>
        <v>4624.5569999999998</v>
      </c>
      <c r="M32" s="28">
        <v>3184.36</v>
      </c>
      <c r="N32" s="28">
        <v>0</v>
      </c>
      <c r="O32" s="29">
        <f t="shared" si="53"/>
        <v>3184.36</v>
      </c>
      <c r="P32" s="28">
        <v>1253.3400000000001</v>
      </c>
      <c r="Q32" s="29">
        <f>P32+O32</f>
        <v>4437.7000000000007</v>
      </c>
      <c r="R32" s="29">
        <f t="shared" si="54"/>
        <v>186.85699999999906</v>
      </c>
      <c r="S32" s="24">
        <v>0</v>
      </c>
      <c r="T32" s="24">
        <v>0</v>
      </c>
      <c r="U32" s="24">
        <v>0</v>
      </c>
      <c r="V32" s="30">
        <v>0</v>
      </c>
      <c r="W32" s="24">
        <v>0</v>
      </c>
      <c r="X32" s="24">
        <v>0</v>
      </c>
      <c r="Y32" s="29">
        <f>AA32+AF32</f>
        <v>0</v>
      </c>
      <c r="Z32" s="29">
        <f>AC32+AL32</f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4">
        <v>0</v>
      </c>
      <c r="AH32" s="24">
        <v>0</v>
      </c>
      <c r="AI32" s="28">
        <v>0</v>
      </c>
      <c r="AJ32" s="28">
        <v>0</v>
      </c>
      <c r="AK32" s="29">
        <f t="shared" si="50"/>
        <v>0</v>
      </c>
      <c r="AL32" s="29">
        <f t="shared" si="50"/>
        <v>0</v>
      </c>
      <c r="AM32" s="29">
        <f t="shared" si="51"/>
        <v>0</v>
      </c>
      <c r="AN32" s="29">
        <f t="shared" si="51"/>
        <v>0</v>
      </c>
      <c r="AO32" s="29"/>
    </row>
    <row r="33" spans="1:41" x14ac:dyDescent="0.2">
      <c r="D33" s="7">
        <v>4</v>
      </c>
      <c r="E33" s="7" t="s">
        <v>19</v>
      </c>
      <c r="F33" s="28">
        <v>0</v>
      </c>
      <c r="G33" s="83">
        <v>619.11774000000003</v>
      </c>
      <c r="H33" s="28">
        <v>4351.47</v>
      </c>
      <c r="I33" s="28">
        <v>0</v>
      </c>
      <c r="J33" s="29">
        <f t="shared" si="52"/>
        <v>4970.5877399999999</v>
      </c>
      <c r="K33" s="28">
        <v>1357.75</v>
      </c>
      <c r="L33" s="29">
        <f>J33+K33</f>
        <v>6328.3377399999999</v>
      </c>
      <c r="M33" s="28">
        <v>3311.51</v>
      </c>
      <c r="N33" s="28">
        <v>0</v>
      </c>
      <c r="O33" s="29">
        <f t="shared" si="53"/>
        <v>3311.51</v>
      </c>
      <c r="P33" s="83">
        <v>2757.3058000000001</v>
      </c>
      <c r="Q33" s="29">
        <f>P33+O33</f>
        <v>6068.8158000000003</v>
      </c>
      <c r="R33" s="29">
        <f t="shared" si="54"/>
        <v>259.52193999999963</v>
      </c>
      <c r="S33" s="24">
        <v>0</v>
      </c>
      <c r="T33" s="24">
        <v>0</v>
      </c>
      <c r="U33" s="24">
        <v>0</v>
      </c>
      <c r="V33" s="30">
        <v>0</v>
      </c>
      <c r="W33" s="24">
        <v>0</v>
      </c>
      <c r="X33" s="24">
        <v>94.544200000000004</v>
      </c>
      <c r="Y33" s="29">
        <f>AA33+AF33</f>
        <v>0</v>
      </c>
      <c r="Z33" s="29">
        <f>AC33+AL33</f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4">
        <v>0</v>
      </c>
      <c r="AH33" s="83">
        <v>0</v>
      </c>
      <c r="AI33" s="28">
        <v>0</v>
      </c>
      <c r="AJ33" s="28">
        <v>0</v>
      </c>
      <c r="AK33" s="29">
        <f t="shared" si="50"/>
        <v>0</v>
      </c>
      <c r="AL33" s="29">
        <f t="shared" si="50"/>
        <v>0</v>
      </c>
      <c r="AM33" s="29">
        <f t="shared" si="51"/>
        <v>0</v>
      </c>
      <c r="AN33" s="29">
        <f t="shared" si="51"/>
        <v>0</v>
      </c>
      <c r="AO33" s="29"/>
    </row>
    <row r="34" spans="1:41" x14ac:dyDescent="0.2">
      <c r="D34" s="7">
        <v>5</v>
      </c>
      <c r="E34" s="7" t="s">
        <v>20</v>
      </c>
      <c r="F34" s="28">
        <v>0</v>
      </c>
      <c r="G34" s="83">
        <v>190.68411</v>
      </c>
      <c r="H34" s="28">
        <v>620.69000000000005</v>
      </c>
      <c r="I34" s="28">
        <v>0</v>
      </c>
      <c r="J34" s="29">
        <f t="shared" si="52"/>
        <v>811.37411000000009</v>
      </c>
      <c r="K34" s="28">
        <v>2717.39</v>
      </c>
      <c r="L34" s="29">
        <f>J34+K34</f>
        <v>3528.7641100000001</v>
      </c>
      <c r="M34" s="28">
        <v>3122.9</v>
      </c>
      <c r="N34" s="28">
        <v>0</v>
      </c>
      <c r="O34" s="29">
        <f t="shared" si="53"/>
        <v>3122.9</v>
      </c>
      <c r="P34" s="83">
        <v>254.13709999999998</v>
      </c>
      <c r="Q34" s="29">
        <f>P34+O34</f>
        <v>3377.0371</v>
      </c>
      <c r="R34" s="29">
        <f t="shared" si="54"/>
        <v>151.72701000000006</v>
      </c>
      <c r="S34" s="24">
        <v>0</v>
      </c>
      <c r="T34" s="24">
        <v>0</v>
      </c>
      <c r="U34" s="24">
        <v>0</v>
      </c>
      <c r="V34" s="30">
        <v>0</v>
      </c>
      <c r="W34" s="24">
        <v>0</v>
      </c>
      <c r="X34" s="24">
        <v>226.57300000000001</v>
      </c>
      <c r="Y34" s="29">
        <f>AA34+AF34</f>
        <v>0</v>
      </c>
      <c r="Z34" s="29">
        <f>AC34+AL34</f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4">
        <v>0</v>
      </c>
      <c r="AH34" s="83">
        <v>0</v>
      </c>
      <c r="AI34" s="28">
        <v>0</v>
      </c>
      <c r="AJ34" s="28">
        <v>0</v>
      </c>
      <c r="AK34" s="29">
        <f t="shared" si="50"/>
        <v>0</v>
      </c>
      <c r="AL34" s="29">
        <f t="shared" si="50"/>
        <v>0</v>
      </c>
      <c r="AM34" s="29">
        <f t="shared" si="51"/>
        <v>0</v>
      </c>
      <c r="AN34" s="29">
        <f t="shared" si="51"/>
        <v>0</v>
      </c>
      <c r="AO34" s="29"/>
    </row>
    <row r="35" spans="1:41" x14ac:dyDescent="0.2">
      <c r="F35" s="25">
        <f>SUM(F30:F34)</f>
        <v>0</v>
      </c>
      <c r="G35" s="25">
        <f t="shared" ref="G35:H35" si="55">SUM(G30:G34)</f>
        <v>3379.7938500000005</v>
      </c>
      <c r="H35" s="25">
        <f t="shared" si="55"/>
        <v>13139.515020000001</v>
      </c>
      <c r="I35" s="25">
        <f>SUM(I30:I34)</f>
        <v>0</v>
      </c>
      <c r="J35" s="25">
        <f>SUM(J30:J34)</f>
        <v>16519.308870000001</v>
      </c>
      <c r="K35" s="25">
        <f t="shared" ref="K35:L35" si="56">SUM(K30:K34)</f>
        <v>6480.9328999999998</v>
      </c>
      <c r="L35" s="25">
        <f t="shared" si="56"/>
        <v>23000.241769999997</v>
      </c>
      <c r="M35" s="25">
        <f>SUM(M30:M34)</f>
        <v>15534.004999999999</v>
      </c>
      <c r="N35" s="25">
        <f>SUM(N30:N34)</f>
        <v>0</v>
      </c>
      <c r="O35" s="25">
        <f>SUM(O30:O34)</f>
        <v>15534.004999999999</v>
      </c>
      <c r="P35" s="25">
        <f>SUM(P30:P34)</f>
        <v>6480.9328999999998</v>
      </c>
      <c r="Q35" s="25">
        <f t="shared" ref="Q35" si="57">SUM(Q30:Q34)</f>
        <v>22014.937900000004</v>
      </c>
      <c r="R35" s="25">
        <f>SUM(R30:R34)</f>
        <v>985.30386999999837</v>
      </c>
      <c r="S35" s="25">
        <f t="shared" ref="S35:T35" si="58">SUM(S30:S34)</f>
        <v>477.125</v>
      </c>
      <c r="T35" s="25">
        <f t="shared" si="58"/>
        <v>1147.335</v>
      </c>
      <c r="U35" s="25">
        <f t="shared" ref="U35:AI35" si="59">SUM(U30:U34)</f>
        <v>0</v>
      </c>
      <c r="V35" s="25">
        <f t="shared" si="59"/>
        <v>908.81020000000001</v>
      </c>
      <c r="W35" s="25">
        <f t="shared" si="59"/>
        <v>0</v>
      </c>
      <c r="X35" s="25">
        <f t="shared" si="59"/>
        <v>908.81020000000001</v>
      </c>
      <c r="Y35" s="25">
        <f t="shared" si="59"/>
        <v>0</v>
      </c>
      <c r="Z35" s="25">
        <f t="shared" si="59"/>
        <v>3311.585</v>
      </c>
      <c r="AA35" s="25">
        <f>SUM(AA30:AA34)</f>
        <v>0</v>
      </c>
      <c r="AB35" s="25">
        <f>SUM(AB30:AB34)</f>
        <v>0</v>
      </c>
      <c r="AC35" s="25">
        <f t="shared" ref="AC35" si="60">SUM(AC30:AC34)</f>
        <v>2683.8649999999998</v>
      </c>
      <c r="AD35" s="25">
        <f t="shared" si="59"/>
        <v>0</v>
      </c>
      <c r="AE35" s="25">
        <f t="shared" si="59"/>
        <v>0</v>
      </c>
      <c r="AF35" s="25">
        <f>SUM(AF30:AF34)</f>
        <v>0</v>
      </c>
      <c r="AG35" s="25">
        <f t="shared" si="59"/>
        <v>627.71990000000005</v>
      </c>
      <c r="AH35" s="25">
        <f>SUM(AH30:AH34)</f>
        <v>627.72</v>
      </c>
      <c r="AI35" s="25">
        <f t="shared" si="59"/>
        <v>0</v>
      </c>
      <c r="AJ35" s="25">
        <f t="shared" ref="AJ35:AL35" si="61">SUM(AJ30:AJ34)</f>
        <v>0</v>
      </c>
      <c r="AK35" s="25">
        <f t="shared" si="61"/>
        <v>627.71990000000005</v>
      </c>
      <c r="AL35" s="25">
        <f t="shared" si="61"/>
        <v>627.72</v>
      </c>
      <c r="AM35" s="25">
        <f>SUM(AM30:AM34)</f>
        <v>627.71990000000005</v>
      </c>
      <c r="AN35" s="50">
        <f>SUM(AN30:AN34)</f>
        <v>627.72</v>
      </c>
      <c r="AO35" s="50"/>
    </row>
    <row r="37" spans="1:41" x14ac:dyDescent="0.2">
      <c r="A37" s="7">
        <v>2</v>
      </c>
      <c r="B37" s="7">
        <v>3</v>
      </c>
      <c r="C37" s="20" t="s">
        <v>105</v>
      </c>
      <c r="D37" s="7">
        <v>1</v>
      </c>
      <c r="E37" s="82" t="s">
        <v>16</v>
      </c>
      <c r="F37" s="28">
        <v>0</v>
      </c>
      <c r="G37" s="24">
        <v>2056.145</v>
      </c>
      <c r="H37" s="24">
        <v>484.39501999999999</v>
      </c>
      <c r="I37" s="24">
        <v>0</v>
      </c>
      <c r="J37" s="29">
        <f>F37+G37+H37+I37</f>
        <v>2540.5400199999999</v>
      </c>
      <c r="K37" s="24">
        <v>1276.4328999999998</v>
      </c>
      <c r="L37" s="29">
        <f>J37+K37</f>
        <v>3816.9729199999997</v>
      </c>
      <c r="M37" s="24">
        <v>2683.8649999999998</v>
      </c>
      <c r="N37" s="24">
        <v>0</v>
      </c>
      <c r="O37" s="29">
        <f>M37+N37</f>
        <v>2683.8649999999998</v>
      </c>
      <c r="P37" s="24">
        <v>959.6</v>
      </c>
      <c r="Q37" s="29">
        <f>P37+O37</f>
        <v>3643.4649999999997</v>
      </c>
      <c r="R37" s="29">
        <f>MAX(L37-Q37,0)</f>
        <v>173.50792000000001</v>
      </c>
      <c r="S37" s="24">
        <v>477.125</v>
      </c>
      <c r="T37" s="24">
        <v>1147.335</v>
      </c>
      <c r="U37" s="24">
        <v>0</v>
      </c>
      <c r="V37" s="30">
        <v>908.81020000000001</v>
      </c>
      <c r="W37" s="24">
        <v>0</v>
      </c>
      <c r="X37" s="24">
        <v>0</v>
      </c>
      <c r="Y37" s="29">
        <f>AA37+AF37</f>
        <v>0</v>
      </c>
      <c r="Z37" s="29">
        <f>AC37+AL37</f>
        <v>2698.4645039999996</v>
      </c>
      <c r="AA37" s="24">
        <v>0</v>
      </c>
      <c r="AB37" s="24">
        <v>0</v>
      </c>
      <c r="AC37" s="24">
        <v>2683.8649999999998</v>
      </c>
      <c r="AD37" s="24">
        <v>0</v>
      </c>
      <c r="AE37" s="24">
        <v>0</v>
      </c>
      <c r="AF37" s="24">
        <v>0</v>
      </c>
      <c r="AG37" s="99">
        <v>455.03705000000002</v>
      </c>
      <c r="AH37" s="83">
        <v>14.599504</v>
      </c>
      <c r="AI37" s="28">
        <v>0</v>
      </c>
      <c r="AJ37" s="28">
        <v>0</v>
      </c>
      <c r="AK37" s="29">
        <f t="shared" ref="AK37:AK41" si="62">AG37+AI37</f>
        <v>455.03705000000002</v>
      </c>
      <c r="AL37" s="29">
        <f t="shared" ref="AL37:AL41" si="63">AH37+AJ37</f>
        <v>14.599504</v>
      </c>
      <c r="AM37" s="29">
        <f t="shared" ref="AM37:AM41" si="64">AE37+AK37</f>
        <v>455.03705000000002</v>
      </c>
      <c r="AN37" s="29">
        <f t="shared" ref="AN37:AN41" si="65">AF37+AL37</f>
        <v>14.599504</v>
      </c>
      <c r="AO37" s="29"/>
    </row>
    <row r="38" spans="1:41" x14ac:dyDescent="0.2">
      <c r="D38" s="7">
        <v>2</v>
      </c>
      <c r="E38" s="82" t="s">
        <v>17</v>
      </c>
      <c r="F38" s="28">
        <v>0</v>
      </c>
      <c r="G38" s="24">
        <v>0</v>
      </c>
      <c r="H38" s="24">
        <v>4303.24</v>
      </c>
      <c r="I38" s="24">
        <v>0</v>
      </c>
      <c r="J38" s="29">
        <f t="shared" ref="J38:J41" si="66">F38+G38+H38+I38</f>
        <v>4303.24</v>
      </c>
      <c r="K38" s="24">
        <v>398.37</v>
      </c>
      <c r="L38" s="29">
        <f>J38+K38</f>
        <v>4701.6099999999997</v>
      </c>
      <c r="M38" s="24">
        <v>3231.37</v>
      </c>
      <c r="N38" s="24">
        <v>0</v>
      </c>
      <c r="O38" s="29">
        <f t="shared" ref="O38:O41" si="67">M38+N38</f>
        <v>3231.37</v>
      </c>
      <c r="P38" s="24">
        <v>1256.55</v>
      </c>
      <c r="Q38" s="29">
        <f>P38+O38</f>
        <v>4487.92</v>
      </c>
      <c r="R38" s="29">
        <f t="shared" ref="R38:R41" si="68">MAX(L38-Q38,0)</f>
        <v>213.6899999999996</v>
      </c>
      <c r="S38" s="24">
        <v>0</v>
      </c>
      <c r="T38" s="24">
        <v>0</v>
      </c>
      <c r="U38" s="24">
        <v>0</v>
      </c>
      <c r="V38" s="30">
        <v>0</v>
      </c>
      <c r="W38" s="24">
        <v>0</v>
      </c>
      <c r="X38" s="24">
        <v>587.69299999999998</v>
      </c>
      <c r="Y38" s="29">
        <f>AA38+AF38</f>
        <v>0</v>
      </c>
      <c r="Z38" s="29">
        <f>AC38+AL38</f>
        <v>406.70639999999997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99">
        <v>53.187054000000003</v>
      </c>
      <c r="AH38" s="83">
        <v>406.70639999999997</v>
      </c>
      <c r="AI38" s="28">
        <v>0</v>
      </c>
      <c r="AJ38" s="28">
        <v>0</v>
      </c>
      <c r="AK38" s="29">
        <f t="shared" si="62"/>
        <v>53.187054000000003</v>
      </c>
      <c r="AL38" s="29">
        <f t="shared" si="63"/>
        <v>406.70639999999997</v>
      </c>
      <c r="AM38" s="29">
        <f t="shared" si="64"/>
        <v>53.187054000000003</v>
      </c>
      <c r="AN38" s="29">
        <f t="shared" si="65"/>
        <v>406.70639999999997</v>
      </c>
      <c r="AO38" s="29"/>
    </row>
    <row r="39" spans="1:41" x14ac:dyDescent="0.2">
      <c r="D39" s="7">
        <v>3</v>
      </c>
      <c r="E39" s="7" t="s">
        <v>18</v>
      </c>
      <c r="F39" s="28">
        <v>0</v>
      </c>
      <c r="G39" s="24">
        <v>513.84699999999998</v>
      </c>
      <c r="H39" s="24">
        <v>3379.72</v>
      </c>
      <c r="I39" s="24">
        <v>0</v>
      </c>
      <c r="J39" s="29">
        <f t="shared" si="66"/>
        <v>3893.567</v>
      </c>
      <c r="K39" s="24">
        <v>730.99</v>
      </c>
      <c r="L39" s="29">
        <f>J39+K39</f>
        <v>4624.5569999999998</v>
      </c>
      <c r="M39" s="24">
        <v>3184.36</v>
      </c>
      <c r="N39" s="24">
        <v>0</v>
      </c>
      <c r="O39" s="29">
        <f t="shared" si="67"/>
        <v>3184.36</v>
      </c>
      <c r="P39" s="24">
        <v>1253.3400000000001</v>
      </c>
      <c r="Q39" s="29">
        <f>P39+O39</f>
        <v>4437.7000000000007</v>
      </c>
      <c r="R39" s="29">
        <f t="shared" si="68"/>
        <v>186.85699999999906</v>
      </c>
      <c r="S39" s="24">
        <v>0</v>
      </c>
      <c r="T39" s="24">
        <v>0</v>
      </c>
      <c r="U39" s="24">
        <v>0</v>
      </c>
      <c r="V39" s="30">
        <v>0</v>
      </c>
      <c r="W39" s="24">
        <v>0</v>
      </c>
      <c r="X39" s="24">
        <v>0</v>
      </c>
      <c r="Y39" s="29">
        <f>AA39+AF39</f>
        <v>0</v>
      </c>
      <c r="Z39" s="29">
        <f>AC39+AL39</f>
        <v>38.58755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83">
        <v>38.58755</v>
      </c>
      <c r="AI39" s="28">
        <v>0</v>
      </c>
      <c r="AJ39" s="28">
        <v>0</v>
      </c>
      <c r="AK39" s="29">
        <f t="shared" si="62"/>
        <v>0</v>
      </c>
      <c r="AL39" s="29">
        <f t="shared" si="63"/>
        <v>38.58755</v>
      </c>
      <c r="AM39" s="29">
        <f t="shared" si="64"/>
        <v>0</v>
      </c>
      <c r="AN39" s="29">
        <f t="shared" si="65"/>
        <v>38.58755</v>
      </c>
      <c r="AO39" s="29"/>
    </row>
    <row r="40" spans="1:41" x14ac:dyDescent="0.2">
      <c r="D40" s="7">
        <v>4</v>
      </c>
      <c r="E40" s="7" t="s">
        <v>19</v>
      </c>
      <c r="F40" s="28">
        <v>0</v>
      </c>
      <c r="G40" s="24">
        <v>619.11774000000003</v>
      </c>
      <c r="H40" s="24">
        <v>4351.47</v>
      </c>
      <c r="I40" s="24">
        <v>0</v>
      </c>
      <c r="J40" s="29">
        <f t="shared" si="66"/>
        <v>4970.5877399999999</v>
      </c>
      <c r="K40" s="24">
        <v>1357.75</v>
      </c>
      <c r="L40" s="29">
        <f>J40+K40</f>
        <v>6328.3377399999999</v>
      </c>
      <c r="M40" s="24">
        <v>3311.51</v>
      </c>
      <c r="N40" s="24">
        <v>0</v>
      </c>
      <c r="O40" s="29">
        <f t="shared" si="67"/>
        <v>3311.51</v>
      </c>
      <c r="P40" s="24">
        <v>2757.3058000000001</v>
      </c>
      <c r="Q40" s="29">
        <f>P40+O40</f>
        <v>6068.8158000000003</v>
      </c>
      <c r="R40" s="29">
        <f t="shared" si="68"/>
        <v>259.52193999999963</v>
      </c>
      <c r="S40" s="24">
        <v>0</v>
      </c>
      <c r="T40" s="24">
        <v>0</v>
      </c>
      <c r="U40" s="24">
        <v>0</v>
      </c>
      <c r="V40" s="30">
        <v>0</v>
      </c>
      <c r="W40" s="24">
        <v>0</v>
      </c>
      <c r="X40" s="24">
        <v>94.544200000000004</v>
      </c>
      <c r="Y40" s="29">
        <f>AA40+AF40</f>
        <v>0</v>
      </c>
      <c r="Z40" s="29">
        <f>AC40+AL40</f>
        <v>14.229652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83">
        <v>14.229652</v>
      </c>
      <c r="AI40" s="28">
        <v>0</v>
      </c>
      <c r="AJ40" s="28">
        <v>0</v>
      </c>
      <c r="AK40" s="29">
        <f t="shared" si="62"/>
        <v>0</v>
      </c>
      <c r="AL40" s="29">
        <f t="shared" si="63"/>
        <v>14.229652</v>
      </c>
      <c r="AM40" s="29">
        <f t="shared" si="64"/>
        <v>0</v>
      </c>
      <c r="AN40" s="29">
        <f t="shared" si="65"/>
        <v>14.229652</v>
      </c>
      <c r="AO40" s="29"/>
    </row>
    <row r="41" spans="1:41" x14ac:dyDescent="0.2">
      <c r="D41" s="7">
        <v>5</v>
      </c>
      <c r="E41" s="7" t="s">
        <v>20</v>
      </c>
      <c r="F41" s="28">
        <v>0</v>
      </c>
      <c r="G41" s="24">
        <v>190.68411</v>
      </c>
      <c r="H41" s="24">
        <v>620.69000000000005</v>
      </c>
      <c r="I41" s="24">
        <v>0</v>
      </c>
      <c r="J41" s="29">
        <f t="shared" si="66"/>
        <v>811.37411000000009</v>
      </c>
      <c r="K41" s="24">
        <v>2717.39</v>
      </c>
      <c r="L41" s="29">
        <f>J41+K41</f>
        <v>3528.7641100000001</v>
      </c>
      <c r="M41" s="24">
        <v>3122.9</v>
      </c>
      <c r="N41" s="24">
        <v>0</v>
      </c>
      <c r="O41" s="29">
        <f t="shared" si="67"/>
        <v>3122.9</v>
      </c>
      <c r="P41" s="24">
        <v>254.13709999999998</v>
      </c>
      <c r="Q41" s="29">
        <f>P41+O41</f>
        <v>3377.0371</v>
      </c>
      <c r="R41" s="29">
        <f t="shared" si="68"/>
        <v>151.72701000000006</v>
      </c>
      <c r="S41" s="24">
        <v>0</v>
      </c>
      <c r="T41" s="24">
        <v>0</v>
      </c>
      <c r="U41" s="24">
        <v>0</v>
      </c>
      <c r="V41" s="30">
        <v>0</v>
      </c>
      <c r="W41" s="24">
        <v>0</v>
      </c>
      <c r="X41" s="24">
        <v>226.57300000000001</v>
      </c>
      <c r="Y41" s="29">
        <f>AA41+AF41</f>
        <v>0</v>
      </c>
      <c r="Z41" s="29">
        <f>AC41+AL41</f>
        <v>34.100999999999999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83">
        <v>34.100999999999999</v>
      </c>
      <c r="AI41" s="28">
        <v>0</v>
      </c>
      <c r="AJ41" s="28">
        <v>0</v>
      </c>
      <c r="AK41" s="29">
        <f t="shared" si="62"/>
        <v>0</v>
      </c>
      <c r="AL41" s="29">
        <f t="shared" si="63"/>
        <v>34.100999999999999</v>
      </c>
      <c r="AM41" s="29">
        <f t="shared" si="64"/>
        <v>0</v>
      </c>
      <c r="AN41" s="29">
        <f t="shared" si="65"/>
        <v>34.100999999999999</v>
      </c>
      <c r="AO41" s="29"/>
    </row>
    <row r="42" spans="1:41" x14ac:dyDescent="0.2">
      <c r="F42" s="25">
        <f>SUM(F37:F41)</f>
        <v>0</v>
      </c>
      <c r="G42" s="25">
        <f t="shared" ref="G42:H42" si="69">SUM(G37:G41)</f>
        <v>3379.7938500000005</v>
      </c>
      <c r="H42" s="25">
        <f t="shared" si="69"/>
        <v>13139.515020000001</v>
      </c>
      <c r="I42" s="25">
        <f>SUM(I37:I41)</f>
        <v>0</v>
      </c>
      <c r="J42" s="25">
        <f>SUM(J37:J41)</f>
        <v>16519.308870000001</v>
      </c>
      <c r="K42" s="25">
        <f t="shared" ref="K42:L42" si="70">SUM(K37:K41)</f>
        <v>6480.9328999999998</v>
      </c>
      <c r="L42" s="25">
        <f t="shared" si="70"/>
        <v>23000.241769999997</v>
      </c>
      <c r="M42" s="25">
        <f>SUM(M37:M41)</f>
        <v>15534.004999999999</v>
      </c>
      <c r="N42" s="25">
        <f>SUM(N37:N41)</f>
        <v>0</v>
      </c>
      <c r="O42" s="25">
        <f>SUM(O37:O41)</f>
        <v>15534.004999999999</v>
      </c>
      <c r="P42" s="25">
        <f>SUM(P37:P41)</f>
        <v>6480.9328999999998</v>
      </c>
      <c r="Q42" s="25">
        <f t="shared" ref="Q42" si="71">SUM(Q37:Q41)</f>
        <v>22014.937900000004</v>
      </c>
      <c r="R42" s="25">
        <f>SUM(R37:R41)</f>
        <v>985.30386999999837</v>
      </c>
      <c r="S42" s="25">
        <f t="shared" ref="S42:Z42" si="72">SUM(S37:S41)</f>
        <v>477.125</v>
      </c>
      <c r="T42" s="25">
        <f t="shared" si="72"/>
        <v>1147.335</v>
      </c>
      <c r="U42" s="25">
        <f t="shared" si="72"/>
        <v>0</v>
      </c>
      <c r="V42" s="25">
        <f t="shared" si="72"/>
        <v>908.81020000000001</v>
      </c>
      <c r="W42" s="25">
        <f t="shared" si="72"/>
        <v>0</v>
      </c>
      <c r="X42" s="25">
        <f t="shared" si="72"/>
        <v>908.81020000000001</v>
      </c>
      <c r="Y42" s="25">
        <f t="shared" si="72"/>
        <v>0</v>
      </c>
      <c r="Z42" s="25">
        <f t="shared" si="72"/>
        <v>3192.0891059999999</v>
      </c>
      <c r="AA42" s="25">
        <f>SUM(AA37:AA41)</f>
        <v>0</v>
      </c>
      <c r="AB42" s="25">
        <f>SUM(AB37:AB41)</f>
        <v>0</v>
      </c>
      <c r="AC42" s="25">
        <f t="shared" ref="AC42:AE42" si="73">SUM(AC37:AC41)</f>
        <v>2683.8649999999998</v>
      </c>
      <c r="AD42" s="25">
        <f t="shared" si="73"/>
        <v>0</v>
      </c>
      <c r="AE42" s="25">
        <f t="shared" si="73"/>
        <v>0</v>
      </c>
      <c r="AF42" s="25">
        <f>SUM(AF37:AF41)</f>
        <v>0</v>
      </c>
      <c r="AG42" s="25">
        <f t="shared" ref="AG42" si="74">SUM(AG37:AG41)</f>
        <v>508.22410400000001</v>
      </c>
      <c r="AH42" s="25">
        <f>SUM(AH37:AH41)</f>
        <v>508.22410600000001</v>
      </c>
      <c r="AI42" s="25">
        <f t="shared" ref="AI42:AL42" si="75">SUM(AI37:AI41)</f>
        <v>0</v>
      </c>
      <c r="AJ42" s="25">
        <f t="shared" si="75"/>
        <v>0</v>
      </c>
      <c r="AK42" s="25">
        <f t="shared" si="75"/>
        <v>508.22410400000001</v>
      </c>
      <c r="AL42" s="25">
        <f t="shared" si="75"/>
        <v>508.22410600000001</v>
      </c>
      <c r="AM42" s="25">
        <f>SUM(AM37:AM41)</f>
        <v>508.22410400000001</v>
      </c>
      <c r="AN42" s="50">
        <f>SUM(AN37:AN41)</f>
        <v>508.22410600000001</v>
      </c>
      <c r="AO42" s="50"/>
    </row>
    <row r="43" spans="1:41" x14ac:dyDescent="0.2">
      <c r="Y43" s="25"/>
      <c r="Z43" s="25"/>
    </row>
    <row r="44" spans="1:41" x14ac:dyDescent="0.2">
      <c r="A44" s="7">
        <v>2</v>
      </c>
      <c r="B44" s="7">
        <v>2</v>
      </c>
      <c r="C44" s="20" t="s">
        <v>106</v>
      </c>
      <c r="D44" s="7">
        <v>1</v>
      </c>
      <c r="E44" s="82" t="s">
        <v>16</v>
      </c>
      <c r="F44" s="24">
        <v>0</v>
      </c>
      <c r="G44" s="24">
        <v>0</v>
      </c>
      <c r="H44" s="28">
        <v>1631.73</v>
      </c>
      <c r="I44" s="24">
        <v>0</v>
      </c>
      <c r="J44" s="29">
        <f>F44+G44+H44+I44</f>
        <v>1631.73</v>
      </c>
      <c r="K44" s="24">
        <v>2185.2399999999998</v>
      </c>
      <c r="L44" s="29">
        <f>J44+K44</f>
        <v>3816.97</v>
      </c>
      <c r="M44" s="24">
        <v>2683.8649999999998</v>
      </c>
      <c r="N44" s="24">
        <v>0</v>
      </c>
      <c r="O44" s="29">
        <f>M44+N44</f>
        <v>2683.8649999999998</v>
      </c>
      <c r="P44" s="24">
        <v>959.6</v>
      </c>
      <c r="Q44" s="29">
        <f>P44+O44</f>
        <v>3643.4649999999997</v>
      </c>
      <c r="R44" s="29">
        <f>MAX(L44-Q44,0)</f>
        <v>173.50500000000011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9">
        <f>AA44+AF44</f>
        <v>0</v>
      </c>
      <c r="Z44" s="29">
        <f>AC44+AL44</f>
        <v>2683.8649999999998</v>
      </c>
      <c r="AA44" s="24">
        <v>0</v>
      </c>
      <c r="AB44" s="24">
        <v>0</v>
      </c>
      <c r="AC44" s="24">
        <v>2683.8649999999998</v>
      </c>
      <c r="AD44" s="24">
        <v>1147.335</v>
      </c>
      <c r="AE44" s="24">
        <v>0</v>
      </c>
      <c r="AF44" s="28">
        <v>0</v>
      </c>
      <c r="AG44" s="24">
        <v>1536.53</v>
      </c>
      <c r="AH44" s="28">
        <v>0</v>
      </c>
      <c r="AI44" s="28">
        <v>0</v>
      </c>
      <c r="AJ44" s="28">
        <v>0</v>
      </c>
      <c r="AK44" s="29">
        <f t="shared" ref="AK44:AL48" si="76">AG44+AI44</f>
        <v>1536.53</v>
      </c>
      <c r="AL44" s="29">
        <f t="shared" si="76"/>
        <v>0</v>
      </c>
      <c r="AM44" s="29">
        <f t="shared" ref="AM44:AN48" si="77">AE44+AK44</f>
        <v>1536.53</v>
      </c>
      <c r="AN44" s="29">
        <f t="shared" si="77"/>
        <v>0</v>
      </c>
      <c r="AO44" s="29"/>
    </row>
    <row r="45" spans="1:41" x14ac:dyDescent="0.2">
      <c r="D45" s="7">
        <v>2</v>
      </c>
      <c r="E45" s="82" t="s">
        <v>17</v>
      </c>
      <c r="F45" s="28">
        <v>0</v>
      </c>
      <c r="G45" s="28">
        <v>587.69299999999998</v>
      </c>
      <c r="H45" s="28">
        <v>4303.24</v>
      </c>
      <c r="I45" s="28">
        <v>0</v>
      </c>
      <c r="J45" s="29">
        <f t="shared" ref="J45:J48" si="78">F45+G45+H45+I45</f>
        <v>4890.933</v>
      </c>
      <c r="K45" s="28">
        <v>398.37</v>
      </c>
      <c r="L45" s="29">
        <f>J45+K45</f>
        <v>5289.3029999999999</v>
      </c>
      <c r="M45" s="28">
        <v>3231.37</v>
      </c>
      <c r="N45" s="28">
        <v>0</v>
      </c>
      <c r="O45" s="29">
        <f t="shared" ref="O45:O48" si="79">M45+N45</f>
        <v>3231.37</v>
      </c>
      <c r="P45" s="28">
        <v>1844.24</v>
      </c>
      <c r="Q45" s="29">
        <f>P45+O45</f>
        <v>5075.6099999999997</v>
      </c>
      <c r="R45" s="29">
        <f t="shared" ref="R45:R48" si="80">MAX(L45-Q45,0)</f>
        <v>213.69300000000021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9">
        <f>AA45+AF45</f>
        <v>0</v>
      </c>
      <c r="Z45" s="29">
        <f>AC45+AL45</f>
        <v>1215.4100000000001</v>
      </c>
      <c r="AA45" s="28">
        <v>0</v>
      </c>
      <c r="AB45" s="28">
        <v>0</v>
      </c>
      <c r="AC45" s="28">
        <v>0</v>
      </c>
      <c r="AD45" s="83">
        <v>574.53290000000004</v>
      </c>
      <c r="AE45" s="28">
        <v>0</v>
      </c>
      <c r="AF45" s="28">
        <v>0</v>
      </c>
      <c r="AG45" s="83">
        <v>53.187054000000003</v>
      </c>
      <c r="AH45" s="83">
        <v>1215.4100000000001</v>
      </c>
      <c r="AI45" s="28">
        <v>0</v>
      </c>
      <c r="AJ45" s="28">
        <v>0</v>
      </c>
      <c r="AK45" s="29">
        <f t="shared" si="76"/>
        <v>53.187054000000003</v>
      </c>
      <c r="AL45" s="29">
        <f t="shared" si="76"/>
        <v>1215.4100000000001</v>
      </c>
      <c r="AM45" s="29">
        <f t="shared" si="77"/>
        <v>53.187054000000003</v>
      </c>
      <c r="AN45" s="29">
        <f t="shared" si="77"/>
        <v>1215.4100000000001</v>
      </c>
      <c r="AO45" s="29"/>
    </row>
    <row r="46" spans="1:41" x14ac:dyDescent="0.2">
      <c r="D46" s="7">
        <v>3</v>
      </c>
      <c r="E46" s="7" t="s">
        <v>18</v>
      </c>
      <c r="F46" s="28">
        <v>0</v>
      </c>
      <c r="G46" s="28">
        <v>513.84699999999998</v>
      </c>
      <c r="H46" s="28">
        <v>3379.72</v>
      </c>
      <c r="I46" s="28">
        <v>0</v>
      </c>
      <c r="J46" s="29">
        <f t="shared" si="78"/>
        <v>3893.567</v>
      </c>
      <c r="K46" s="28">
        <v>730.99</v>
      </c>
      <c r="L46" s="29">
        <f>J46+K46</f>
        <v>4624.5569999999998</v>
      </c>
      <c r="M46" s="28">
        <v>3184.36</v>
      </c>
      <c r="N46" s="28">
        <v>0</v>
      </c>
      <c r="O46" s="29">
        <f t="shared" si="79"/>
        <v>3184.36</v>
      </c>
      <c r="P46" s="28">
        <v>1253.3399999999999</v>
      </c>
      <c r="Q46" s="29">
        <f>P46+O46</f>
        <v>4437.7</v>
      </c>
      <c r="R46" s="29">
        <f t="shared" si="80"/>
        <v>186.85699999999997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9">
        <f>AA46+AF46</f>
        <v>0</v>
      </c>
      <c r="Z46" s="29">
        <f>AC46+AL46</f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9">
        <f t="shared" si="76"/>
        <v>0</v>
      </c>
      <c r="AL46" s="29">
        <f t="shared" si="76"/>
        <v>0</v>
      </c>
      <c r="AM46" s="29">
        <f t="shared" si="77"/>
        <v>0</v>
      </c>
      <c r="AN46" s="29">
        <f t="shared" si="77"/>
        <v>0</v>
      </c>
      <c r="AO46" s="29"/>
    </row>
    <row r="47" spans="1:41" x14ac:dyDescent="0.2">
      <c r="D47" s="7">
        <v>4</v>
      </c>
      <c r="E47" s="7" t="s">
        <v>19</v>
      </c>
      <c r="F47" s="28">
        <v>0</v>
      </c>
      <c r="G47" s="28">
        <v>713.66200000000003</v>
      </c>
      <c r="H47" s="28">
        <v>4351.47</v>
      </c>
      <c r="I47" s="28">
        <v>0</v>
      </c>
      <c r="J47" s="29">
        <f t="shared" si="78"/>
        <v>5065.1320000000005</v>
      </c>
      <c r="K47" s="28">
        <v>1357.75</v>
      </c>
      <c r="L47" s="29">
        <f>J47+K47</f>
        <v>6422.8820000000005</v>
      </c>
      <c r="M47" s="28">
        <v>3311.51</v>
      </c>
      <c r="N47" s="28">
        <v>0</v>
      </c>
      <c r="O47" s="29">
        <f t="shared" si="79"/>
        <v>3311.51</v>
      </c>
      <c r="P47" s="28">
        <v>2851.85</v>
      </c>
      <c r="Q47" s="29">
        <f>P47+O47</f>
        <v>6163.3600000000006</v>
      </c>
      <c r="R47" s="29">
        <f t="shared" si="80"/>
        <v>259.52199999999993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9">
        <f>AA47+AF47</f>
        <v>0</v>
      </c>
      <c r="Z47" s="29">
        <f>AC47+AL47</f>
        <v>94.544200000000004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83">
        <v>94.544200000000004</v>
      </c>
      <c r="AI47" s="28">
        <v>0</v>
      </c>
      <c r="AJ47" s="28">
        <v>0</v>
      </c>
      <c r="AK47" s="29">
        <f t="shared" si="76"/>
        <v>0</v>
      </c>
      <c r="AL47" s="29">
        <f t="shared" si="76"/>
        <v>94.544200000000004</v>
      </c>
      <c r="AM47" s="29">
        <f t="shared" si="77"/>
        <v>0</v>
      </c>
      <c r="AN47" s="29">
        <f t="shared" si="77"/>
        <v>94.544200000000004</v>
      </c>
      <c r="AO47" s="29"/>
    </row>
    <row r="48" spans="1:41" x14ac:dyDescent="0.2">
      <c r="D48" s="7">
        <v>5</v>
      </c>
      <c r="E48" s="7" t="s">
        <v>20</v>
      </c>
      <c r="F48" s="28">
        <v>0</v>
      </c>
      <c r="G48" s="28">
        <v>417.25700000000001</v>
      </c>
      <c r="H48" s="28">
        <v>620.69000000000005</v>
      </c>
      <c r="I48" s="28">
        <v>0</v>
      </c>
      <c r="J48" s="29">
        <f t="shared" si="78"/>
        <v>1037.9470000000001</v>
      </c>
      <c r="K48" s="28">
        <v>2717.39</v>
      </c>
      <c r="L48" s="29">
        <f>J48+K48</f>
        <v>3755.337</v>
      </c>
      <c r="M48" s="28">
        <v>3122.9</v>
      </c>
      <c r="N48" s="28">
        <v>0</v>
      </c>
      <c r="O48" s="29">
        <f t="shared" si="79"/>
        <v>3122.9</v>
      </c>
      <c r="P48" s="28">
        <v>480.71</v>
      </c>
      <c r="Q48" s="29">
        <f>P48+O48</f>
        <v>3603.61</v>
      </c>
      <c r="R48" s="29">
        <f t="shared" si="80"/>
        <v>151.72699999999986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9">
        <f>AA48+AF48</f>
        <v>0</v>
      </c>
      <c r="Z48" s="29">
        <f>AC48+AL48</f>
        <v>226.57300000000001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83">
        <v>226.57300000000001</v>
      </c>
      <c r="AI48" s="28">
        <v>0</v>
      </c>
      <c r="AJ48" s="28">
        <v>0</v>
      </c>
      <c r="AK48" s="29">
        <f t="shared" si="76"/>
        <v>0</v>
      </c>
      <c r="AL48" s="29">
        <f t="shared" si="76"/>
        <v>226.57300000000001</v>
      </c>
      <c r="AM48" s="29">
        <f t="shared" si="77"/>
        <v>0</v>
      </c>
      <c r="AN48" s="29">
        <f t="shared" si="77"/>
        <v>226.57300000000001</v>
      </c>
      <c r="AO48" s="29"/>
    </row>
    <row r="49" spans="1:41" x14ac:dyDescent="0.2">
      <c r="F49" s="25">
        <f>SUM(F44:F48)</f>
        <v>0</v>
      </c>
      <c r="G49" s="25">
        <f t="shared" ref="G49:H49" si="81">SUM(G44:G48)</f>
        <v>2232.4589999999998</v>
      </c>
      <c r="H49" s="25">
        <f t="shared" si="81"/>
        <v>14286.85</v>
      </c>
      <c r="I49" s="25">
        <f>SUM(I44:I48)</f>
        <v>0</v>
      </c>
      <c r="J49" s="25">
        <f>SUM(J44:J48)</f>
        <v>16519.309000000001</v>
      </c>
      <c r="K49" s="25">
        <f t="shared" ref="K49:L49" si="82">SUM(K44:K48)</f>
        <v>7389.74</v>
      </c>
      <c r="L49" s="25">
        <f t="shared" si="82"/>
        <v>23909.048999999999</v>
      </c>
      <c r="M49" s="25">
        <f>SUM(M44:M48)</f>
        <v>15534.004999999999</v>
      </c>
      <c r="N49" s="25">
        <f>SUM(N44:N48)</f>
        <v>0</v>
      </c>
      <c r="O49" s="25">
        <f>SUM(O44:O48)</f>
        <v>15534.004999999999</v>
      </c>
      <c r="P49" s="25">
        <f>SUM(P44:P48)</f>
        <v>7389.7400000000007</v>
      </c>
      <c r="Q49" s="25">
        <f t="shared" ref="Q49" si="83">SUM(Q44:Q48)</f>
        <v>22923.744999999999</v>
      </c>
      <c r="R49" s="25">
        <f>SUM(R44:R48)</f>
        <v>985.30400000000009</v>
      </c>
      <c r="S49" s="25">
        <f t="shared" ref="S49:Z49" si="84">SUM(S44:S48)</f>
        <v>0</v>
      </c>
      <c r="T49" s="25">
        <f t="shared" si="84"/>
        <v>0</v>
      </c>
      <c r="U49" s="25">
        <f t="shared" si="84"/>
        <v>0</v>
      </c>
      <c r="V49" s="25">
        <f t="shared" si="84"/>
        <v>0</v>
      </c>
      <c r="W49" s="25">
        <f t="shared" si="84"/>
        <v>0</v>
      </c>
      <c r="X49" s="25">
        <f t="shared" si="84"/>
        <v>0</v>
      </c>
      <c r="Y49" s="25">
        <f t="shared" si="84"/>
        <v>0</v>
      </c>
      <c r="Z49" s="25">
        <f t="shared" si="84"/>
        <v>4220.3921999999993</v>
      </c>
      <c r="AA49" s="25">
        <f>SUM(AA44:AA48)</f>
        <v>0</v>
      </c>
      <c r="AB49" s="25">
        <f>SUM(AB44:AB48)</f>
        <v>0</v>
      </c>
      <c r="AC49" s="25">
        <f t="shared" ref="AC49:AI49" si="85">SUM(AC44:AC48)</f>
        <v>2683.8649999999998</v>
      </c>
      <c r="AD49" s="25">
        <f t="shared" si="85"/>
        <v>1721.8679000000002</v>
      </c>
      <c r="AE49" s="25">
        <f t="shared" si="85"/>
        <v>0</v>
      </c>
      <c r="AF49" s="25">
        <f>SUM(AF44:AF48)</f>
        <v>0</v>
      </c>
      <c r="AG49" s="25">
        <f t="shared" si="85"/>
        <v>1589.717054</v>
      </c>
      <c r="AH49" s="25">
        <f>SUM(AH44:AH48)</f>
        <v>1536.5272000000002</v>
      </c>
      <c r="AI49" s="25">
        <f t="shared" si="85"/>
        <v>0</v>
      </c>
      <c r="AJ49" s="25">
        <f t="shared" ref="AJ49:AL49" si="86">SUM(AJ44:AJ48)</f>
        <v>0</v>
      </c>
      <c r="AK49" s="25">
        <f t="shared" si="86"/>
        <v>1589.717054</v>
      </c>
      <c r="AL49" s="25">
        <f t="shared" si="86"/>
        <v>1536.5272000000002</v>
      </c>
      <c r="AM49" s="25">
        <f>SUM(AM44:AM48)</f>
        <v>1589.717054</v>
      </c>
      <c r="AN49" s="50">
        <f>SUM(AN44:AN48)</f>
        <v>1536.5272000000002</v>
      </c>
      <c r="AO49" s="50"/>
    </row>
    <row r="51" spans="1:41" x14ac:dyDescent="0.2">
      <c r="A51" s="7">
        <v>2</v>
      </c>
      <c r="B51" s="7">
        <v>2</v>
      </c>
      <c r="C51" s="20" t="s">
        <v>73</v>
      </c>
      <c r="D51" s="7">
        <v>1</v>
      </c>
      <c r="E51" s="82" t="s">
        <v>16</v>
      </c>
      <c r="F51" s="24">
        <v>0</v>
      </c>
      <c r="G51" s="24">
        <v>0</v>
      </c>
      <c r="H51" s="28">
        <v>1631.73</v>
      </c>
      <c r="I51" s="24">
        <v>0</v>
      </c>
      <c r="J51" s="29">
        <f>F51+G51+H51+I51</f>
        <v>1631.73</v>
      </c>
      <c r="K51" s="24">
        <v>2185.2399999999998</v>
      </c>
      <c r="L51" s="29">
        <f>J51+K51</f>
        <v>3816.97</v>
      </c>
      <c r="M51" s="24">
        <v>2683.8649999999998</v>
      </c>
      <c r="N51" s="24">
        <v>0</v>
      </c>
      <c r="O51" s="29">
        <f>M51+N51</f>
        <v>2683.8649999999998</v>
      </c>
      <c r="P51" s="24">
        <v>959.6</v>
      </c>
      <c r="Q51" s="29">
        <f>P51+O51</f>
        <v>3643.4649999999997</v>
      </c>
      <c r="R51" s="29">
        <f>MAX(L51-Q51,0)</f>
        <v>173.50500000000011</v>
      </c>
      <c r="S51" s="24">
        <v>0</v>
      </c>
      <c r="T51" s="24">
        <v>0</v>
      </c>
      <c r="U51" s="24">
        <v>0</v>
      </c>
      <c r="V51" s="96">
        <v>908.81020000000001</v>
      </c>
      <c r="W51" s="24">
        <v>0</v>
      </c>
      <c r="X51" s="28">
        <v>0</v>
      </c>
      <c r="Y51" s="29">
        <f>AA51+AF51</f>
        <v>0</v>
      </c>
      <c r="Z51" s="29">
        <f>AC51+AL51</f>
        <v>2683.8649999999998</v>
      </c>
      <c r="AA51" s="24">
        <v>0</v>
      </c>
      <c r="AB51" s="24">
        <v>0</v>
      </c>
      <c r="AC51" s="24">
        <v>2683.8649999999998</v>
      </c>
      <c r="AD51" s="24">
        <v>1147.335</v>
      </c>
      <c r="AE51" s="24">
        <v>0</v>
      </c>
      <c r="AF51" s="24">
        <v>0</v>
      </c>
      <c r="AG51" s="24">
        <v>1536.53</v>
      </c>
      <c r="AH51" s="24">
        <v>0</v>
      </c>
      <c r="AI51" s="24">
        <v>0</v>
      </c>
      <c r="AJ51" s="24">
        <v>0</v>
      </c>
      <c r="AK51" s="29">
        <f t="shared" ref="AK51:AL55" si="87">AG51+AI51</f>
        <v>1536.53</v>
      </c>
      <c r="AL51" s="29">
        <f t="shared" si="87"/>
        <v>0</v>
      </c>
      <c r="AM51" s="29">
        <f t="shared" ref="AM51:AN55" si="88">AE51+AK51</f>
        <v>1536.53</v>
      </c>
      <c r="AN51" s="29">
        <f t="shared" si="88"/>
        <v>0</v>
      </c>
      <c r="AO51" s="29"/>
    </row>
    <row r="52" spans="1:41" x14ac:dyDescent="0.2">
      <c r="D52" s="7">
        <v>2</v>
      </c>
      <c r="E52" s="82" t="s">
        <v>17</v>
      </c>
      <c r="F52" s="28">
        <v>0</v>
      </c>
      <c r="G52" s="28">
        <v>587.69299999999998</v>
      </c>
      <c r="H52" s="28">
        <v>4303.24</v>
      </c>
      <c r="I52" s="28">
        <v>0</v>
      </c>
      <c r="J52" s="29">
        <f t="shared" ref="J52:J55" si="89">F52+G52+H52+I52</f>
        <v>4890.933</v>
      </c>
      <c r="K52" s="28">
        <v>398.37</v>
      </c>
      <c r="L52" s="29">
        <f>J52+K52</f>
        <v>5289.3029999999999</v>
      </c>
      <c r="M52" s="28">
        <v>3231.37</v>
      </c>
      <c r="N52" s="28">
        <v>0</v>
      </c>
      <c r="O52" s="29">
        <f t="shared" ref="O52:O55" si="90">M52+N52</f>
        <v>3231.37</v>
      </c>
      <c r="P52" s="28">
        <v>1844.24</v>
      </c>
      <c r="Q52" s="29">
        <f>P52+O52</f>
        <v>5075.6099999999997</v>
      </c>
      <c r="R52" s="29">
        <f t="shared" ref="R52:R55" si="91">MAX(L52-Q52,0)</f>
        <v>213.69300000000021</v>
      </c>
      <c r="S52" s="28">
        <v>0</v>
      </c>
      <c r="T52" s="83">
        <v>574.53290000000004</v>
      </c>
      <c r="U52" s="28">
        <v>0</v>
      </c>
      <c r="V52" s="30">
        <v>0</v>
      </c>
      <c r="W52" s="28">
        <v>0</v>
      </c>
      <c r="X52" s="83">
        <v>587.69299999999998</v>
      </c>
      <c r="Y52" s="29">
        <f>AA52+AF52</f>
        <v>0</v>
      </c>
      <c r="Z52" s="29">
        <f>AC52+AL52</f>
        <v>1215.4100000000001</v>
      </c>
      <c r="AA52" s="24">
        <v>0</v>
      </c>
      <c r="AB52" s="24">
        <v>0</v>
      </c>
      <c r="AC52" s="24">
        <v>0</v>
      </c>
      <c r="AD52" s="24">
        <v>574.53290000000004</v>
      </c>
      <c r="AE52" s="24">
        <v>0</v>
      </c>
      <c r="AF52" s="24">
        <v>0</v>
      </c>
      <c r="AG52" s="24">
        <v>53.187054000000003</v>
      </c>
      <c r="AH52" s="24">
        <v>1215.4100000000001</v>
      </c>
      <c r="AI52" s="24">
        <v>0</v>
      </c>
      <c r="AJ52" s="24">
        <v>0</v>
      </c>
      <c r="AK52" s="29">
        <f t="shared" si="87"/>
        <v>53.187054000000003</v>
      </c>
      <c r="AL52" s="29">
        <f t="shared" si="87"/>
        <v>1215.4100000000001</v>
      </c>
      <c r="AM52" s="29">
        <f t="shared" si="88"/>
        <v>53.187054000000003</v>
      </c>
      <c r="AN52" s="29">
        <f t="shared" si="88"/>
        <v>1215.4100000000001</v>
      </c>
      <c r="AO52" s="29"/>
    </row>
    <row r="53" spans="1:41" x14ac:dyDescent="0.2">
      <c r="D53" s="7">
        <v>3</v>
      </c>
      <c r="E53" s="7" t="s">
        <v>18</v>
      </c>
      <c r="F53" s="28">
        <v>0</v>
      </c>
      <c r="G53" s="28">
        <v>513.84699999999998</v>
      </c>
      <c r="H53" s="28">
        <v>3379.72</v>
      </c>
      <c r="I53" s="28">
        <v>0</v>
      </c>
      <c r="J53" s="29">
        <f t="shared" si="89"/>
        <v>3893.567</v>
      </c>
      <c r="K53" s="28">
        <v>730.99</v>
      </c>
      <c r="L53" s="29">
        <f>J53+K53</f>
        <v>4624.5569999999998</v>
      </c>
      <c r="M53" s="28">
        <v>3184.36</v>
      </c>
      <c r="N53" s="28">
        <v>0</v>
      </c>
      <c r="O53" s="29">
        <f t="shared" si="90"/>
        <v>3184.36</v>
      </c>
      <c r="P53" s="28">
        <v>1253.3399999999999</v>
      </c>
      <c r="Q53" s="29">
        <f>P53+O53</f>
        <v>4437.7</v>
      </c>
      <c r="R53" s="29">
        <f t="shared" si="91"/>
        <v>186.85699999999997</v>
      </c>
      <c r="S53" s="28">
        <v>0</v>
      </c>
      <c r="T53" s="28">
        <v>0</v>
      </c>
      <c r="U53" s="28">
        <v>0</v>
      </c>
      <c r="V53" s="30">
        <v>0</v>
      </c>
      <c r="W53" s="28">
        <v>0</v>
      </c>
      <c r="X53" s="28">
        <v>0</v>
      </c>
      <c r="Y53" s="29">
        <f>AA53+AF53</f>
        <v>0</v>
      </c>
      <c r="Z53" s="29">
        <f>AC53+AL53</f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9">
        <f t="shared" si="87"/>
        <v>0</v>
      </c>
      <c r="AL53" s="29">
        <f t="shared" si="87"/>
        <v>0</v>
      </c>
      <c r="AM53" s="29">
        <f t="shared" si="88"/>
        <v>0</v>
      </c>
      <c r="AN53" s="29">
        <f t="shared" si="88"/>
        <v>0</v>
      </c>
      <c r="AO53" s="29"/>
    </row>
    <row r="54" spans="1:41" x14ac:dyDescent="0.2">
      <c r="D54" s="7">
        <v>4</v>
      </c>
      <c r="E54" s="85" t="s">
        <v>19</v>
      </c>
      <c r="F54" s="28">
        <v>0</v>
      </c>
      <c r="G54" s="28">
        <v>713.66200000000003</v>
      </c>
      <c r="H54" s="28">
        <v>4351.47</v>
      </c>
      <c r="I54" s="28">
        <v>0</v>
      </c>
      <c r="J54" s="29">
        <f t="shared" si="89"/>
        <v>5065.1320000000005</v>
      </c>
      <c r="K54" s="28">
        <v>1357.75</v>
      </c>
      <c r="L54" s="29">
        <f>J54+K54</f>
        <v>6422.8820000000005</v>
      </c>
      <c r="M54" s="28">
        <v>3311.51</v>
      </c>
      <c r="N54" s="28">
        <v>0</v>
      </c>
      <c r="O54" s="29">
        <f t="shared" si="90"/>
        <v>3311.51</v>
      </c>
      <c r="P54" s="28">
        <v>2851.85</v>
      </c>
      <c r="Q54" s="29">
        <f>P54+O54</f>
        <v>6163.3600000000006</v>
      </c>
      <c r="R54" s="29">
        <f t="shared" si="91"/>
        <v>259.52199999999993</v>
      </c>
      <c r="S54" s="28">
        <v>0</v>
      </c>
      <c r="T54" s="28">
        <v>0</v>
      </c>
      <c r="U54" s="28">
        <v>0</v>
      </c>
      <c r="V54" s="30">
        <v>0</v>
      </c>
      <c r="W54" s="28">
        <v>0</v>
      </c>
      <c r="X54" s="83">
        <v>94.544200000000004</v>
      </c>
      <c r="Y54" s="29">
        <f>AA54+AF54</f>
        <v>0</v>
      </c>
      <c r="Z54" s="29">
        <f>AC54+AL54</f>
        <v>94.544200000000004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94.544200000000004</v>
      </c>
      <c r="AI54" s="24">
        <v>0</v>
      </c>
      <c r="AJ54" s="24">
        <v>0</v>
      </c>
      <c r="AK54" s="29">
        <f t="shared" si="87"/>
        <v>0</v>
      </c>
      <c r="AL54" s="29">
        <f t="shared" si="87"/>
        <v>94.544200000000004</v>
      </c>
      <c r="AM54" s="29">
        <f t="shared" si="88"/>
        <v>0</v>
      </c>
      <c r="AN54" s="29">
        <f t="shared" si="88"/>
        <v>94.544200000000004</v>
      </c>
      <c r="AO54" s="29"/>
    </row>
    <row r="55" spans="1:41" x14ac:dyDescent="0.2">
      <c r="D55" s="7">
        <v>5</v>
      </c>
      <c r="E55" s="85" t="s">
        <v>20</v>
      </c>
      <c r="F55" s="28">
        <v>0</v>
      </c>
      <c r="G55" s="28">
        <v>417.25700000000001</v>
      </c>
      <c r="H55" s="28">
        <v>620.69000000000005</v>
      </c>
      <c r="I55" s="28">
        <v>0</v>
      </c>
      <c r="J55" s="29">
        <f t="shared" si="89"/>
        <v>1037.9470000000001</v>
      </c>
      <c r="K55" s="28">
        <v>2717.39</v>
      </c>
      <c r="L55" s="29">
        <f>J55+K55</f>
        <v>3755.337</v>
      </c>
      <c r="M55" s="28">
        <v>3122.9</v>
      </c>
      <c r="N55" s="28">
        <v>0</v>
      </c>
      <c r="O55" s="29">
        <f t="shared" si="90"/>
        <v>3122.9</v>
      </c>
      <c r="P55" s="28">
        <v>480.71</v>
      </c>
      <c r="Q55" s="29">
        <f>P55+O55</f>
        <v>3603.61</v>
      </c>
      <c r="R55" s="29">
        <f t="shared" si="91"/>
        <v>151.72699999999986</v>
      </c>
      <c r="S55" s="28">
        <v>0</v>
      </c>
      <c r="T55" s="28">
        <v>0</v>
      </c>
      <c r="U55" s="28">
        <v>0</v>
      </c>
      <c r="V55" s="30">
        <v>0</v>
      </c>
      <c r="W55" s="28">
        <v>0</v>
      </c>
      <c r="X55" s="83">
        <v>226.57300000000001</v>
      </c>
      <c r="Y55" s="29">
        <f>AA55+AF55</f>
        <v>0</v>
      </c>
      <c r="Z55" s="29">
        <f>AC55+AL55</f>
        <v>226.57300000000001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226.57300000000001</v>
      </c>
      <c r="AI55" s="24">
        <v>0</v>
      </c>
      <c r="AJ55" s="24">
        <v>0</v>
      </c>
      <c r="AK55" s="29">
        <f t="shared" si="87"/>
        <v>0</v>
      </c>
      <c r="AL55" s="29">
        <f t="shared" si="87"/>
        <v>226.57300000000001</v>
      </c>
      <c r="AM55" s="29">
        <f t="shared" si="88"/>
        <v>0</v>
      </c>
      <c r="AN55" s="29">
        <f t="shared" si="88"/>
        <v>226.57300000000001</v>
      </c>
      <c r="AO55" s="29"/>
    </row>
    <row r="56" spans="1:41" x14ac:dyDescent="0.2">
      <c r="F56" s="25">
        <f>SUM(F51:F55)</f>
        <v>0</v>
      </c>
      <c r="G56" s="25">
        <f t="shared" ref="G56:H56" si="92">SUM(G51:G55)</f>
        <v>2232.4589999999998</v>
      </c>
      <c r="H56" s="25">
        <f t="shared" si="92"/>
        <v>14286.85</v>
      </c>
      <c r="I56" s="25">
        <f>SUM(I51:I55)</f>
        <v>0</v>
      </c>
      <c r="J56" s="25">
        <f>SUM(J51:J55)</f>
        <v>16519.309000000001</v>
      </c>
      <c r="K56" s="25">
        <f t="shared" ref="K56:L56" si="93">SUM(K51:K55)</f>
        <v>7389.74</v>
      </c>
      <c r="L56" s="25">
        <f t="shared" si="93"/>
        <v>23909.048999999999</v>
      </c>
      <c r="M56" s="25">
        <f>SUM(M51:M55)</f>
        <v>15534.004999999999</v>
      </c>
      <c r="N56" s="25">
        <f>SUM(N51:N55)</f>
        <v>0</v>
      </c>
      <c r="O56" s="25">
        <f>SUM(O51:O55)</f>
        <v>15534.004999999999</v>
      </c>
      <c r="P56" s="25">
        <f>SUM(P51:P55)</f>
        <v>7389.7400000000007</v>
      </c>
      <c r="Q56" s="25">
        <f t="shared" ref="Q56" si="94">SUM(Q51:Q55)</f>
        <v>22923.744999999999</v>
      </c>
      <c r="R56" s="25">
        <f>SUM(R51:R55)</f>
        <v>985.30400000000009</v>
      </c>
      <c r="S56" s="25">
        <f t="shared" ref="S56:Z56" si="95">SUM(S51:S55)</f>
        <v>0</v>
      </c>
      <c r="T56" s="25">
        <f t="shared" si="95"/>
        <v>574.53290000000004</v>
      </c>
      <c r="U56" s="25">
        <f t="shared" si="95"/>
        <v>0</v>
      </c>
      <c r="V56" s="25">
        <f t="shared" si="95"/>
        <v>908.81020000000001</v>
      </c>
      <c r="W56" s="25">
        <f t="shared" si="95"/>
        <v>0</v>
      </c>
      <c r="X56" s="25">
        <f t="shared" si="95"/>
        <v>908.81020000000001</v>
      </c>
      <c r="Y56" s="25">
        <f t="shared" si="95"/>
        <v>0</v>
      </c>
      <c r="Z56" s="25">
        <f t="shared" si="95"/>
        <v>4220.3921999999993</v>
      </c>
      <c r="AA56" s="25">
        <f>SUM(AA51:AA55)</f>
        <v>0</v>
      </c>
      <c r="AB56" s="25">
        <f>SUM(AB51:AB55)</f>
        <v>0</v>
      </c>
      <c r="AC56" s="25">
        <f t="shared" ref="AC56:AI56" si="96">SUM(AC51:AC55)</f>
        <v>2683.8649999999998</v>
      </c>
      <c r="AD56" s="25">
        <f t="shared" si="96"/>
        <v>1721.8679000000002</v>
      </c>
      <c r="AE56" s="25">
        <f t="shared" si="96"/>
        <v>0</v>
      </c>
      <c r="AF56" s="25">
        <f>SUM(AF51:AF55)</f>
        <v>0</v>
      </c>
      <c r="AG56" s="25">
        <f t="shared" si="96"/>
        <v>1589.717054</v>
      </c>
      <c r="AH56" s="25">
        <f>SUM(AH51:AH55)</f>
        <v>1536.5272000000002</v>
      </c>
      <c r="AI56" s="25">
        <f t="shared" si="96"/>
        <v>0</v>
      </c>
      <c r="AJ56" s="25">
        <f t="shared" ref="AJ56:AL56" si="97">SUM(AJ51:AJ55)</f>
        <v>0</v>
      </c>
      <c r="AK56" s="25">
        <f t="shared" si="97"/>
        <v>1589.717054</v>
      </c>
      <c r="AL56" s="25">
        <f t="shared" si="97"/>
        <v>1536.5272000000002</v>
      </c>
      <c r="AM56" s="25">
        <f>SUM(AM51:AM55)</f>
        <v>1589.717054</v>
      </c>
      <c r="AN56" s="50">
        <f>SUM(AN51:AN55)</f>
        <v>1536.5272000000002</v>
      </c>
      <c r="AO56" s="50"/>
    </row>
    <row r="58" spans="1:41" x14ac:dyDescent="0.2">
      <c r="A58" s="7">
        <v>2</v>
      </c>
      <c r="B58" s="7">
        <v>2</v>
      </c>
      <c r="C58" s="59" t="s">
        <v>109</v>
      </c>
      <c r="D58" s="7">
        <v>1</v>
      </c>
      <c r="E58" s="82" t="s">
        <v>16</v>
      </c>
      <c r="F58" s="24">
        <v>0</v>
      </c>
      <c r="G58" s="83">
        <v>908.81010000000003</v>
      </c>
      <c r="H58" s="28">
        <v>1631.73</v>
      </c>
      <c r="I58" s="24">
        <v>0</v>
      </c>
      <c r="J58" s="29">
        <f>F58+G58+H58+I58</f>
        <v>2540.5401000000002</v>
      </c>
      <c r="K58" s="83">
        <v>1276.4328999999998</v>
      </c>
      <c r="L58" s="29">
        <f>J58+K58</f>
        <v>3816.973</v>
      </c>
      <c r="M58" s="24">
        <v>2683.8649999999998</v>
      </c>
      <c r="N58" s="24">
        <v>0</v>
      </c>
      <c r="O58" s="29">
        <f>M58+N58</f>
        <v>2683.8649999999998</v>
      </c>
      <c r="P58" s="24">
        <v>959.6</v>
      </c>
      <c r="Q58" s="29">
        <f>P58+O58</f>
        <v>3643.4649999999997</v>
      </c>
      <c r="R58" s="29">
        <f>MAX(L58-Q58,0)</f>
        <v>173.50800000000027</v>
      </c>
      <c r="S58" s="24">
        <v>0</v>
      </c>
      <c r="T58" s="24">
        <v>0</v>
      </c>
      <c r="U58" s="24">
        <v>0</v>
      </c>
      <c r="V58" s="36">
        <v>0</v>
      </c>
      <c r="W58" s="24">
        <v>0</v>
      </c>
      <c r="X58" s="24">
        <v>0</v>
      </c>
      <c r="Y58" s="29">
        <f>AA58+AF58</f>
        <v>0</v>
      </c>
      <c r="Z58" s="29">
        <f>AC58+AL58</f>
        <v>2683.8649999999998</v>
      </c>
      <c r="AA58" s="24">
        <v>0</v>
      </c>
      <c r="AB58" s="24">
        <v>0</v>
      </c>
      <c r="AC58" s="24">
        <v>2683.8649999999998</v>
      </c>
      <c r="AD58" s="24">
        <v>1147.335</v>
      </c>
      <c r="AE58" s="24">
        <v>0</v>
      </c>
      <c r="AF58" s="24">
        <v>0</v>
      </c>
      <c r="AG58" s="83">
        <v>627.71990000000005</v>
      </c>
      <c r="AH58" s="24">
        <v>0</v>
      </c>
      <c r="AI58" s="24">
        <v>0</v>
      </c>
      <c r="AJ58" s="24">
        <v>0</v>
      </c>
      <c r="AK58" s="29">
        <f t="shared" ref="AK58:AL62" si="98">AG58+AI58</f>
        <v>627.71990000000005</v>
      </c>
      <c r="AL58" s="29">
        <f t="shared" si="98"/>
        <v>0</v>
      </c>
      <c r="AM58" s="29">
        <f t="shared" ref="AM58:AN62" si="99">AE58+AK58</f>
        <v>627.71990000000005</v>
      </c>
      <c r="AN58" s="29">
        <f t="shared" si="99"/>
        <v>0</v>
      </c>
      <c r="AO58" s="29"/>
    </row>
    <row r="59" spans="1:41" x14ac:dyDescent="0.2">
      <c r="D59" s="7">
        <v>2</v>
      </c>
      <c r="E59" s="82" t="s">
        <v>17</v>
      </c>
      <c r="F59" s="28">
        <v>0</v>
      </c>
      <c r="G59" s="83">
        <v>574.53283999999996</v>
      </c>
      <c r="H59" s="83">
        <v>3728.7073</v>
      </c>
      <c r="I59" s="28">
        <v>0</v>
      </c>
      <c r="J59" s="29">
        <f t="shared" ref="J59:J62" si="100">F59+G59+H59+I59</f>
        <v>4303.2401399999999</v>
      </c>
      <c r="K59" s="28">
        <v>398.37</v>
      </c>
      <c r="L59" s="29">
        <f>J59+K59</f>
        <v>4701.6101399999998</v>
      </c>
      <c r="M59" s="28">
        <v>3231.37</v>
      </c>
      <c r="N59" s="28">
        <v>0</v>
      </c>
      <c r="O59" s="29">
        <f t="shared" ref="O59:O62" si="101">M59+N59</f>
        <v>3231.37</v>
      </c>
      <c r="P59" s="83">
        <v>1256.55</v>
      </c>
      <c r="Q59" s="29">
        <f>P59+O59</f>
        <v>4487.92</v>
      </c>
      <c r="R59" s="29">
        <f t="shared" ref="R59:R62" si="102">MAX(L59-Q59,0)</f>
        <v>213.6901399999997</v>
      </c>
      <c r="S59" s="24">
        <v>0</v>
      </c>
      <c r="T59" s="36">
        <v>0</v>
      </c>
      <c r="U59" s="24">
        <v>0</v>
      </c>
      <c r="V59" s="36">
        <v>0</v>
      </c>
      <c r="W59" s="24">
        <v>0</v>
      </c>
      <c r="X59" s="36">
        <v>0</v>
      </c>
      <c r="Y59" s="29">
        <f>AA59+AF59</f>
        <v>0</v>
      </c>
      <c r="Z59" s="29">
        <f>AC59+AL59</f>
        <v>627.72</v>
      </c>
      <c r="AA59" s="24">
        <v>0</v>
      </c>
      <c r="AB59" s="24">
        <v>0</v>
      </c>
      <c r="AC59" s="24">
        <v>0</v>
      </c>
      <c r="AD59" s="83">
        <v>0</v>
      </c>
      <c r="AE59" s="24">
        <v>0</v>
      </c>
      <c r="AF59" s="24">
        <v>0</v>
      </c>
      <c r="AG59" s="24">
        <v>53.187054000000003</v>
      </c>
      <c r="AH59" s="83">
        <v>627.72</v>
      </c>
      <c r="AI59" s="24">
        <v>0</v>
      </c>
      <c r="AJ59" s="24">
        <v>0</v>
      </c>
      <c r="AK59" s="29">
        <f t="shared" si="98"/>
        <v>53.187054000000003</v>
      </c>
      <c r="AL59" s="29">
        <f t="shared" si="98"/>
        <v>627.72</v>
      </c>
      <c r="AM59" s="29">
        <f t="shared" si="99"/>
        <v>53.187054000000003</v>
      </c>
      <c r="AN59" s="29">
        <f t="shared" si="99"/>
        <v>627.72</v>
      </c>
      <c r="AO59" s="29"/>
    </row>
    <row r="60" spans="1:41" x14ac:dyDescent="0.2">
      <c r="D60" s="7">
        <v>3</v>
      </c>
      <c r="E60" s="7" t="s">
        <v>18</v>
      </c>
      <c r="F60" s="28">
        <v>0</v>
      </c>
      <c r="G60" s="28">
        <v>513.84699999999998</v>
      </c>
      <c r="H60" s="28">
        <v>3379.72</v>
      </c>
      <c r="I60" s="28">
        <v>0</v>
      </c>
      <c r="J60" s="29">
        <f t="shared" si="100"/>
        <v>3893.567</v>
      </c>
      <c r="K60" s="28">
        <v>730.99</v>
      </c>
      <c r="L60" s="29">
        <f>J60+K60</f>
        <v>4624.5569999999998</v>
      </c>
      <c r="M60" s="28">
        <v>3184.36</v>
      </c>
      <c r="N60" s="28">
        <v>0</v>
      </c>
      <c r="O60" s="29">
        <f t="shared" si="101"/>
        <v>3184.36</v>
      </c>
      <c r="P60" s="28">
        <v>1253.3400000000001</v>
      </c>
      <c r="Q60" s="29">
        <f>P60+O60</f>
        <v>4437.7000000000007</v>
      </c>
      <c r="R60" s="29">
        <f t="shared" si="102"/>
        <v>186.85699999999906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9">
        <f>AA60+AF60</f>
        <v>0</v>
      </c>
      <c r="Z60" s="29">
        <f>AC60+AL60</f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9">
        <f t="shared" si="98"/>
        <v>0</v>
      </c>
      <c r="AL60" s="29">
        <f t="shared" si="98"/>
        <v>0</v>
      </c>
      <c r="AM60" s="29">
        <f t="shared" si="99"/>
        <v>0</v>
      </c>
      <c r="AN60" s="29">
        <f t="shared" si="99"/>
        <v>0</v>
      </c>
      <c r="AO60" s="29"/>
    </row>
    <row r="61" spans="1:41" x14ac:dyDescent="0.2">
      <c r="D61" s="7">
        <v>4</v>
      </c>
      <c r="E61" s="85" t="s">
        <v>19</v>
      </c>
      <c r="F61" s="28">
        <v>0</v>
      </c>
      <c r="G61" s="83">
        <v>619.11774000000003</v>
      </c>
      <c r="H61" s="28">
        <v>4351.47</v>
      </c>
      <c r="I61" s="28">
        <v>0</v>
      </c>
      <c r="J61" s="29">
        <f t="shared" si="100"/>
        <v>4970.5877399999999</v>
      </c>
      <c r="K61" s="28">
        <v>1357.75</v>
      </c>
      <c r="L61" s="29">
        <f>J61+K61</f>
        <v>6328.3377399999999</v>
      </c>
      <c r="M61" s="28">
        <v>3311.51</v>
      </c>
      <c r="N61" s="28">
        <v>0</v>
      </c>
      <c r="O61" s="29">
        <f t="shared" si="101"/>
        <v>3311.51</v>
      </c>
      <c r="P61" s="83">
        <v>2757.3058000000001</v>
      </c>
      <c r="Q61" s="29">
        <f>P61+O61</f>
        <v>6068.8158000000003</v>
      </c>
      <c r="R61" s="29">
        <f t="shared" si="102"/>
        <v>259.52193999999963</v>
      </c>
      <c r="S61" s="24">
        <v>0</v>
      </c>
      <c r="T61" s="24">
        <v>0</v>
      </c>
      <c r="U61" s="24">
        <v>0</v>
      </c>
      <c r="V61" s="36">
        <v>0</v>
      </c>
      <c r="W61" s="24">
        <v>0</v>
      </c>
      <c r="X61" s="36">
        <v>0</v>
      </c>
      <c r="Y61" s="29">
        <f>AA61+AF61</f>
        <v>0</v>
      </c>
      <c r="Z61" s="29">
        <f>AC61+AL61</f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H61" s="83">
        <v>0</v>
      </c>
      <c r="AI61" s="24">
        <v>0</v>
      </c>
      <c r="AJ61" s="24">
        <v>0</v>
      </c>
      <c r="AK61" s="29">
        <f t="shared" si="98"/>
        <v>0</v>
      </c>
      <c r="AL61" s="29">
        <f t="shared" si="98"/>
        <v>0</v>
      </c>
      <c r="AM61" s="29">
        <f t="shared" si="99"/>
        <v>0</v>
      </c>
      <c r="AN61" s="29">
        <f t="shared" si="99"/>
        <v>0</v>
      </c>
      <c r="AO61" s="29"/>
    </row>
    <row r="62" spans="1:41" x14ac:dyDescent="0.2">
      <c r="D62" s="7">
        <v>5</v>
      </c>
      <c r="E62" s="85" t="s">
        <v>20</v>
      </c>
      <c r="F62" s="28">
        <v>0</v>
      </c>
      <c r="G62" s="83">
        <v>190.68411</v>
      </c>
      <c r="H62" s="28">
        <v>620.69000000000005</v>
      </c>
      <c r="I62" s="28">
        <v>0</v>
      </c>
      <c r="J62" s="29">
        <f t="shared" si="100"/>
        <v>811.37411000000009</v>
      </c>
      <c r="K62" s="28">
        <v>2717.39</v>
      </c>
      <c r="L62" s="29">
        <f>J62+K62</f>
        <v>3528.7641100000001</v>
      </c>
      <c r="M62" s="28">
        <v>3122.9</v>
      </c>
      <c r="N62" s="28">
        <v>0</v>
      </c>
      <c r="O62" s="29">
        <f t="shared" si="101"/>
        <v>3122.9</v>
      </c>
      <c r="P62" s="83">
        <v>254.13709999999998</v>
      </c>
      <c r="Q62" s="29">
        <f>P62+O62</f>
        <v>3377.0371</v>
      </c>
      <c r="R62" s="29">
        <f t="shared" si="102"/>
        <v>151.72701000000006</v>
      </c>
      <c r="S62" s="24">
        <v>0</v>
      </c>
      <c r="T62" s="24">
        <v>0</v>
      </c>
      <c r="U62" s="24">
        <v>0</v>
      </c>
      <c r="V62" s="36">
        <v>0</v>
      </c>
      <c r="W62" s="24">
        <v>0</v>
      </c>
      <c r="X62" s="36">
        <v>0</v>
      </c>
      <c r="Y62" s="29">
        <f>AA62+AF62</f>
        <v>0</v>
      </c>
      <c r="Z62" s="29">
        <f>AC62+AL62</f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83">
        <v>0</v>
      </c>
      <c r="AI62" s="24">
        <v>0</v>
      </c>
      <c r="AJ62" s="24">
        <v>0</v>
      </c>
      <c r="AK62" s="29">
        <f t="shared" si="98"/>
        <v>0</v>
      </c>
      <c r="AL62" s="29">
        <f t="shared" si="98"/>
        <v>0</v>
      </c>
      <c r="AM62" s="29">
        <f t="shared" si="99"/>
        <v>0</v>
      </c>
      <c r="AN62" s="29">
        <f t="shared" si="99"/>
        <v>0</v>
      </c>
      <c r="AO62" s="29"/>
    </row>
    <row r="63" spans="1:41" x14ac:dyDescent="0.2">
      <c r="F63" s="25">
        <f>SUM(F58:F62)</f>
        <v>0</v>
      </c>
      <c r="G63" s="25">
        <f t="shared" ref="G63:H63" si="103">SUM(G58:G62)</f>
        <v>2806.99179</v>
      </c>
      <c r="H63" s="25">
        <f t="shared" si="103"/>
        <v>13712.317300000001</v>
      </c>
      <c r="I63" s="25">
        <f>SUM(I58:I62)</f>
        <v>0</v>
      </c>
      <c r="J63" s="25">
        <f>SUM(J58:J62)</f>
        <v>16519.309089999999</v>
      </c>
      <c r="K63" s="25">
        <f t="shared" ref="K63:L63" si="104">SUM(K58:K62)</f>
        <v>6480.9328999999998</v>
      </c>
      <c r="L63" s="25">
        <f t="shared" si="104"/>
        <v>23000.241989999999</v>
      </c>
      <c r="M63" s="25">
        <f>SUM(M58:M62)</f>
        <v>15534.004999999999</v>
      </c>
      <c r="N63" s="25">
        <f>SUM(N58:N62)</f>
        <v>0</v>
      </c>
      <c r="O63" s="25">
        <f>SUM(O58:O62)</f>
        <v>15534.004999999999</v>
      </c>
      <c r="P63" s="25">
        <f>SUM(P58:P62)</f>
        <v>6480.9328999999998</v>
      </c>
      <c r="Q63" s="25">
        <f t="shared" ref="Q63" si="105">SUM(Q58:Q62)</f>
        <v>22014.937900000004</v>
      </c>
      <c r="R63" s="25">
        <f>SUM(R58:R62)</f>
        <v>985.30408999999872</v>
      </c>
      <c r="S63" s="25">
        <f t="shared" ref="S63:Z63" si="106">SUM(S58:S62)</f>
        <v>0</v>
      </c>
      <c r="T63" s="25">
        <f t="shared" si="106"/>
        <v>0</v>
      </c>
      <c r="U63" s="25">
        <f t="shared" si="106"/>
        <v>0</v>
      </c>
      <c r="V63" s="25">
        <f t="shared" si="106"/>
        <v>0</v>
      </c>
      <c r="W63" s="25">
        <f t="shared" si="106"/>
        <v>0</v>
      </c>
      <c r="X63" s="25">
        <f t="shared" si="106"/>
        <v>0</v>
      </c>
      <c r="Y63" s="25">
        <f t="shared" si="106"/>
        <v>0</v>
      </c>
      <c r="Z63" s="25">
        <f t="shared" si="106"/>
        <v>3311.585</v>
      </c>
      <c r="AA63" s="25">
        <f>SUM(AA58:AA62)</f>
        <v>0</v>
      </c>
      <c r="AB63" s="25">
        <f>SUM(AB58:AB62)</f>
        <v>0</v>
      </c>
      <c r="AC63" s="25">
        <f t="shared" ref="AC63:AI63" si="107">SUM(AC58:AC62)</f>
        <v>2683.8649999999998</v>
      </c>
      <c r="AD63" s="25">
        <f t="shared" si="107"/>
        <v>1147.335</v>
      </c>
      <c r="AE63" s="25">
        <f t="shared" si="107"/>
        <v>0</v>
      </c>
      <c r="AF63" s="25">
        <f>SUM(AF58:AF62)</f>
        <v>0</v>
      </c>
      <c r="AG63" s="25">
        <f t="shared" si="107"/>
        <v>680.90695400000004</v>
      </c>
      <c r="AH63" s="25">
        <f>SUM(AH58:AH62)</f>
        <v>627.72</v>
      </c>
      <c r="AI63" s="25">
        <f t="shared" si="107"/>
        <v>0</v>
      </c>
      <c r="AJ63" s="25">
        <f t="shared" ref="AJ63:AL63" si="108">SUM(AJ58:AJ62)</f>
        <v>0</v>
      </c>
      <c r="AK63" s="25">
        <f t="shared" si="108"/>
        <v>680.90695400000004</v>
      </c>
      <c r="AL63" s="25">
        <f t="shared" si="108"/>
        <v>627.72</v>
      </c>
      <c r="AM63" s="25">
        <f>SUM(AM58:AM62)</f>
        <v>680.90695400000004</v>
      </c>
      <c r="AN63" s="50">
        <f>SUM(AN58:AN62)</f>
        <v>627.72</v>
      </c>
      <c r="AO63" s="50"/>
    </row>
    <row r="65" spans="1:41" x14ac:dyDescent="0.2">
      <c r="A65" s="7">
        <v>2</v>
      </c>
      <c r="B65" s="7">
        <v>3</v>
      </c>
      <c r="C65" s="59" t="s">
        <v>105</v>
      </c>
      <c r="D65" s="7">
        <v>1</v>
      </c>
      <c r="E65" s="82" t="s">
        <v>16</v>
      </c>
      <c r="F65" s="24">
        <v>0</v>
      </c>
      <c r="G65" s="24">
        <v>908.81010000000003</v>
      </c>
      <c r="H65" s="24">
        <v>1631.73</v>
      </c>
      <c r="I65" s="24">
        <v>0</v>
      </c>
      <c r="J65" s="29">
        <f>F65+G65+H65+I65</f>
        <v>2540.5401000000002</v>
      </c>
      <c r="K65" s="24">
        <v>1276.4328999999998</v>
      </c>
      <c r="L65" s="29">
        <f>J65+K65</f>
        <v>3816.973</v>
      </c>
      <c r="M65" s="24">
        <v>2683.8649999999998</v>
      </c>
      <c r="N65" s="24">
        <v>0</v>
      </c>
      <c r="O65" s="29">
        <f>M65+N65</f>
        <v>2683.8649999999998</v>
      </c>
      <c r="P65" s="24">
        <v>959.6</v>
      </c>
      <c r="Q65" s="29">
        <f>P65+O65</f>
        <v>3643.4649999999997</v>
      </c>
      <c r="R65" s="29">
        <f>MAX(L65-Q65,0)</f>
        <v>173.50800000000027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9">
        <f>AA65+AF65</f>
        <v>0</v>
      </c>
      <c r="Z65" s="29">
        <f>AC65+AL65</f>
        <v>2683.8649999999998</v>
      </c>
      <c r="AA65" s="24">
        <v>0</v>
      </c>
      <c r="AB65" s="24">
        <v>0</v>
      </c>
      <c r="AC65" s="24">
        <v>2683.8649999999998</v>
      </c>
      <c r="AD65" s="24">
        <v>1147.335</v>
      </c>
      <c r="AE65" s="24">
        <v>0</v>
      </c>
      <c r="AF65" s="24">
        <v>0</v>
      </c>
      <c r="AG65" s="24">
        <v>627.71990000000005</v>
      </c>
      <c r="AH65" s="24">
        <v>0</v>
      </c>
      <c r="AI65" s="24">
        <v>0</v>
      </c>
      <c r="AJ65" s="24">
        <v>0</v>
      </c>
      <c r="AK65" s="29">
        <f t="shared" ref="AK65:AL69" si="109">AG65+AI65</f>
        <v>627.71990000000005</v>
      </c>
      <c r="AL65" s="29">
        <f t="shared" si="109"/>
        <v>0</v>
      </c>
      <c r="AM65" s="29">
        <f t="shared" ref="AM65:AN69" si="110">AE65+AK65</f>
        <v>627.71990000000005</v>
      </c>
      <c r="AN65" s="29">
        <f t="shared" si="110"/>
        <v>0</v>
      </c>
      <c r="AO65" s="29"/>
    </row>
    <row r="66" spans="1:41" x14ac:dyDescent="0.2">
      <c r="D66" s="7">
        <v>2</v>
      </c>
      <c r="E66" s="8" t="s">
        <v>17</v>
      </c>
      <c r="F66" s="28">
        <v>0</v>
      </c>
      <c r="G66" s="24">
        <v>574.53283999999996</v>
      </c>
      <c r="H66" s="24">
        <v>3728.7073</v>
      </c>
      <c r="I66" s="24">
        <v>0</v>
      </c>
      <c r="J66" s="29">
        <f t="shared" ref="J66:J69" si="111">F66+G66+H66+I66</f>
        <v>4303.2401399999999</v>
      </c>
      <c r="K66" s="24">
        <v>398.37</v>
      </c>
      <c r="L66" s="29">
        <f>J66+K66</f>
        <v>4701.6101399999998</v>
      </c>
      <c r="M66" s="24">
        <v>3231.37</v>
      </c>
      <c r="N66" s="24">
        <v>0</v>
      </c>
      <c r="O66" s="29">
        <f t="shared" ref="O66:O69" si="112">M66+N66</f>
        <v>3231.37</v>
      </c>
      <c r="P66" s="24">
        <v>1256.55</v>
      </c>
      <c r="Q66" s="29">
        <f>P66+O66</f>
        <v>4487.92</v>
      </c>
      <c r="R66" s="29">
        <f t="shared" ref="R66:R69" si="113">MAX(L66-Q66,0)</f>
        <v>213.6901399999997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9">
        <f>AA66+AF66</f>
        <v>0</v>
      </c>
      <c r="Z66" s="29">
        <f>AC66+AL66</f>
        <v>627.72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53.187054000000003</v>
      </c>
      <c r="AH66" s="24">
        <v>627.72</v>
      </c>
      <c r="AI66" s="24">
        <v>0</v>
      </c>
      <c r="AJ66" s="24">
        <v>0</v>
      </c>
      <c r="AK66" s="29">
        <f t="shared" si="109"/>
        <v>53.187054000000003</v>
      </c>
      <c r="AL66" s="29">
        <f t="shared" si="109"/>
        <v>627.72</v>
      </c>
      <c r="AM66" s="29">
        <f t="shared" si="110"/>
        <v>53.187054000000003</v>
      </c>
      <c r="AN66" s="29">
        <f t="shared" si="110"/>
        <v>627.72</v>
      </c>
      <c r="AO66" s="29"/>
    </row>
    <row r="67" spans="1:41" x14ac:dyDescent="0.2">
      <c r="D67" s="7">
        <v>3</v>
      </c>
      <c r="E67" s="7" t="s">
        <v>18</v>
      </c>
      <c r="F67" s="28">
        <v>0</v>
      </c>
      <c r="G67" s="24">
        <v>513.84699999999998</v>
      </c>
      <c r="H67" s="24">
        <v>3379.72</v>
      </c>
      <c r="I67" s="24">
        <v>0</v>
      </c>
      <c r="J67" s="29">
        <f t="shared" si="111"/>
        <v>3893.567</v>
      </c>
      <c r="K67" s="24">
        <v>730.99</v>
      </c>
      <c r="L67" s="29">
        <f>J67+K67</f>
        <v>4624.5569999999998</v>
      </c>
      <c r="M67" s="24">
        <v>3184.36</v>
      </c>
      <c r="N67" s="24">
        <v>0</v>
      </c>
      <c r="O67" s="29">
        <f t="shared" si="112"/>
        <v>3184.36</v>
      </c>
      <c r="P67" s="24">
        <v>1253.3400000000001</v>
      </c>
      <c r="Q67" s="29">
        <f>P67+O67</f>
        <v>4437.7000000000007</v>
      </c>
      <c r="R67" s="29">
        <f t="shared" si="113"/>
        <v>186.85699999999906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9">
        <f>AA67+AF67</f>
        <v>0</v>
      </c>
      <c r="Z67" s="29">
        <f>AC67+AL67</f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  <c r="AK67" s="29">
        <f t="shared" si="109"/>
        <v>0</v>
      </c>
      <c r="AL67" s="29">
        <f t="shared" si="109"/>
        <v>0</v>
      </c>
      <c r="AM67" s="29">
        <f t="shared" si="110"/>
        <v>0</v>
      </c>
      <c r="AN67" s="29">
        <f t="shared" si="110"/>
        <v>0</v>
      </c>
      <c r="AO67" s="29"/>
    </row>
    <row r="68" spans="1:41" x14ac:dyDescent="0.2">
      <c r="D68" s="7">
        <v>4</v>
      </c>
      <c r="E68" s="8" t="s">
        <v>19</v>
      </c>
      <c r="F68" s="28">
        <v>0</v>
      </c>
      <c r="G68" s="24">
        <v>619.11774000000003</v>
      </c>
      <c r="H68" s="24">
        <v>4351.47</v>
      </c>
      <c r="I68" s="24">
        <v>0</v>
      </c>
      <c r="J68" s="29">
        <f t="shared" si="111"/>
        <v>4970.5877399999999</v>
      </c>
      <c r="K68" s="24">
        <v>1357.75</v>
      </c>
      <c r="L68" s="29">
        <f>J68+K68</f>
        <v>6328.3377399999999</v>
      </c>
      <c r="M68" s="24">
        <v>3311.51</v>
      </c>
      <c r="N68" s="24">
        <v>0</v>
      </c>
      <c r="O68" s="29">
        <f t="shared" si="112"/>
        <v>3311.51</v>
      </c>
      <c r="P68" s="24">
        <v>2757.3058000000001</v>
      </c>
      <c r="Q68" s="29">
        <f>P68+O68</f>
        <v>6068.8158000000003</v>
      </c>
      <c r="R68" s="29">
        <f t="shared" si="113"/>
        <v>259.52193999999963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9">
        <f>AA68+AF68</f>
        <v>0</v>
      </c>
      <c r="Z68" s="29">
        <f>AC68+AL68</f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  <c r="AK68" s="29">
        <f t="shared" si="109"/>
        <v>0</v>
      </c>
      <c r="AL68" s="29">
        <f t="shared" si="109"/>
        <v>0</v>
      </c>
      <c r="AM68" s="29">
        <f t="shared" si="110"/>
        <v>0</v>
      </c>
      <c r="AN68" s="29">
        <f t="shared" si="110"/>
        <v>0</v>
      </c>
      <c r="AO68" s="29"/>
    </row>
    <row r="69" spans="1:41" x14ac:dyDescent="0.2">
      <c r="D69" s="7">
        <v>5</v>
      </c>
      <c r="E69" s="8" t="s">
        <v>20</v>
      </c>
      <c r="F69" s="28">
        <v>0</v>
      </c>
      <c r="G69" s="24">
        <v>190.68411</v>
      </c>
      <c r="H69" s="24">
        <v>620.69000000000005</v>
      </c>
      <c r="I69" s="24">
        <v>0</v>
      </c>
      <c r="J69" s="29">
        <f t="shared" si="111"/>
        <v>811.37411000000009</v>
      </c>
      <c r="K69" s="24">
        <v>2717.39</v>
      </c>
      <c r="L69" s="29">
        <f>J69+K69</f>
        <v>3528.7641100000001</v>
      </c>
      <c r="M69" s="24">
        <v>3122.9</v>
      </c>
      <c r="N69" s="24">
        <v>0</v>
      </c>
      <c r="O69" s="29">
        <f t="shared" si="112"/>
        <v>3122.9</v>
      </c>
      <c r="P69" s="24">
        <v>254.13709999999998</v>
      </c>
      <c r="Q69" s="29">
        <f>P69+O69</f>
        <v>3377.0371</v>
      </c>
      <c r="R69" s="29">
        <f t="shared" si="113"/>
        <v>151.72701000000006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9">
        <f>AA69+AF69</f>
        <v>0</v>
      </c>
      <c r="Z69" s="29">
        <f>AC69+AL69</f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>
        <v>0</v>
      </c>
      <c r="AG69" s="24">
        <v>0</v>
      </c>
      <c r="AH69" s="24">
        <v>0</v>
      </c>
      <c r="AI69" s="24">
        <v>0</v>
      </c>
      <c r="AJ69" s="24">
        <v>0</v>
      </c>
      <c r="AK69" s="29">
        <f t="shared" si="109"/>
        <v>0</v>
      </c>
      <c r="AL69" s="29">
        <f t="shared" si="109"/>
        <v>0</v>
      </c>
      <c r="AM69" s="29">
        <f t="shared" si="110"/>
        <v>0</v>
      </c>
      <c r="AN69" s="29">
        <f t="shared" si="110"/>
        <v>0</v>
      </c>
      <c r="AO69" s="29"/>
    </row>
    <row r="70" spans="1:41" x14ac:dyDescent="0.2">
      <c r="F70" s="25">
        <f>SUM(F65:F69)</f>
        <v>0</v>
      </c>
      <c r="G70" s="25">
        <f t="shared" ref="G70:H70" si="114">SUM(G65:G69)</f>
        <v>2806.99179</v>
      </c>
      <c r="H70" s="25">
        <f t="shared" si="114"/>
        <v>13712.317300000001</v>
      </c>
      <c r="I70" s="25">
        <f>SUM(I65:I69)</f>
        <v>0</v>
      </c>
      <c r="J70" s="25">
        <f>SUM(J65:J69)</f>
        <v>16519.309089999999</v>
      </c>
      <c r="K70" s="25">
        <f t="shared" ref="K70:L70" si="115">SUM(K65:K69)</f>
        <v>6480.9328999999998</v>
      </c>
      <c r="L70" s="25">
        <f t="shared" si="115"/>
        <v>23000.241989999999</v>
      </c>
      <c r="M70" s="25">
        <f>SUM(M65:M69)</f>
        <v>15534.004999999999</v>
      </c>
      <c r="N70" s="25">
        <f>SUM(N65:N69)</f>
        <v>0</v>
      </c>
      <c r="O70" s="25">
        <f>SUM(O65:O69)</f>
        <v>15534.004999999999</v>
      </c>
      <c r="P70" s="25">
        <f>SUM(P65:P69)</f>
        <v>6480.9328999999998</v>
      </c>
      <c r="Q70" s="25">
        <f t="shared" ref="Q70" si="116">SUM(Q65:Q69)</f>
        <v>22014.937900000004</v>
      </c>
      <c r="R70" s="25">
        <f>SUM(R65:R69)</f>
        <v>985.30408999999872</v>
      </c>
      <c r="S70" s="25">
        <f t="shared" ref="S70:Z70" si="117">SUM(S65:S69)</f>
        <v>0</v>
      </c>
      <c r="T70" s="25">
        <f t="shared" si="117"/>
        <v>0</v>
      </c>
      <c r="U70" s="25">
        <f t="shared" si="117"/>
        <v>0</v>
      </c>
      <c r="V70" s="25">
        <f t="shared" si="117"/>
        <v>0</v>
      </c>
      <c r="W70" s="25">
        <f t="shared" si="117"/>
        <v>0</v>
      </c>
      <c r="X70" s="25">
        <f t="shared" si="117"/>
        <v>0</v>
      </c>
      <c r="Y70" s="25">
        <f t="shared" si="117"/>
        <v>0</v>
      </c>
      <c r="Z70" s="25">
        <f t="shared" si="117"/>
        <v>3311.585</v>
      </c>
      <c r="AA70" s="25">
        <f>SUM(AA65:AA69)</f>
        <v>0</v>
      </c>
      <c r="AB70" s="25">
        <f>SUM(AB65:AB69)</f>
        <v>0</v>
      </c>
      <c r="AC70" s="25">
        <f t="shared" ref="AC70:AI70" si="118">SUM(AC65:AC69)</f>
        <v>2683.8649999999998</v>
      </c>
      <c r="AD70" s="25">
        <f t="shared" si="118"/>
        <v>1147.335</v>
      </c>
      <c r="AE70" s="25">
        <f t="shared" si="118"/>
        <v>0</v>
      </c>
      <c r="AF70" s="25">
        <f>SUM(AF65:AF69)</f>
        <v>0</v>
      </c>
      <c r="AG70" s="25">
        <f t="shared" si="118"/>
        <v>680.90695400000004</v>
      </c>
      <c r="AH70" s="25">
        <f>SUM(AH65:AH69)</f>
        <v>627.72</v>
      </c>
      <c r="AI70" s="25">
        <f t="shared" si="118"/>
        <v>0</v>
      </c>
      <c r="AJ70" s="25">
        <f t="shared" ref="AJ70:AL70" si="119">SUM(AJ65:AJ69)</f>
        <v>0</v>
      </c>
      <c r="AK70" s="25">
        <f t="shared" si="119"/>
        <v>680.90695400000004</v>
      </c>
      <c r="AL70" s="25">
        <f t="shared" si="119"/>
        <v>627.72</v>
      </c>
      <c r="AM70" s="25">
        <f>SUM(AM65:AM69)</f>
        <v>680.90695400000004</v>
      </c>
      <c r="AN70" s="50">
        <f>SUM(AN65:AN69)</f>
        <v>627.72</v>
      </c>
      <c r="AO70" s="50"/>
    </row>
    <row r="72" spans="1:41" x14ac:dyDescent="0.2">
      <c r="Y72" s="29"/>
      <c r="Z72" s="29"/>
    </row>
    <row r="73" spans="1:41" x14ac:dyDescent="0.2">
      <c r="Y73" s="29"/>
      <c r="Z73" s="29"/>
    </row>
    <row r="74" spans="1:41" x14ac:dyDescent="0.2">
      <c r="Y74" s="29"/>
      <c r="Z74" s="29"/>
    </row>
    <row r="75" spans="1:41" x14ac:dyDescent="0.2">
      <c r="Y75" s="29"/>
      <c r="Z75" s="29"/>
    </row>
    <row r="76" spans="1:41" x14ac:dyDescent="0.2">
      <c r="Y76" s="29"/>
      <c r="Z76" s="29"/>
    </row>
    <row r="77" spans="1:41" x14ac:dyDescent="0.2">
      <c r="Y77" s="25"/>
      <c r="Z77" s="25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44B0-32C2-8C4B-95B7-0D4A17ADD9ED}">
  <sheetPr>
    <tabColor rgb="FFFFFF00"/>
  </sheetPr>
  <dimension ref="A1:BV35"/>
  <sheetViews>
    <sheetView zoomScale="115" zoomScaleNormal="100" workbookViewId="0">
      <pane xSplit="4" ySplit="1" topLeftCell="W2" activePane="bottomRight" state="frozen"/>
      <selection pane="topRight"/>
      <selection pane="bottomLeft"/>
      <selection pane="bottomRight" activeCell="BE33" sqref="BE33"/>
    </sheetView>
  </sheetViews>
  <sheetFormatPr baseColWidth="10" defaultRowHeight="16" x14ac:dyDescent="0.2"/>
  <cols>
    <col min="1" max="1" width="6.140625" style="7" bestFit="1" customWidth="1"/>
    <col min="2" max="2" width="2.85546875" style="6" customWidth="1"/>
    <col min="3" max="3" width="3" style="6" bestFit="1" customWidth="1"/>
    <col min="4" max="4" width="3.28515625" style="21" bestFit="1" customWidth="1"/>
    <col min="5" max="5" width="4.85546875" style="6" bestFit="1" customWidth="1"/>
    <col min="6" max="6" width="5.7109375" style="28" bestFit="1" customWidth="1"/>
    <col min="7" max="9" width="6.5703125" style="28" bestFit="1" customWidth="1"/>
    <col min="10" max="10" width="5.7109375" style="28" bestFit="1" customWidth="1"/>
    <col min="11" max="11" width="6.5703125" style="28" bestFit="1" customWidth="1"/>
    <col min="12" max="12" width="2.85546875" style="26" customWidth="1"/>
    <col min="13" max="13" width="6.5703125" style="28" bestFit="1" customWidth="1"/>
    <col min="14" max="15" width="5.7109375" style="28" bestFit="1" customWidth="1"/>
    <col min="16" max="18" width="6.5703125" style="28" bestFit="1" customWidth="1"/>
    <col min="19" max="19" width="3.42578125" style="26" customWidth="1"/>
    <col min="20" max="25" width="7.28515625" style="26" customWidth="1"/>
    <col min="26" max="26" width="3.42578125" style="26" customWidth="1"/>
    <col min="27" max="32" width="7.28515625" style="26" customWidth="1"/>
    <col min="33" max="33" width="4.140625" style="26" customWidth="1"/>
    <col min="34" max="39" width="7.28515625" style="26" customWidth="1"/>
    <col min="40" max="40" width="3.85546875" style="26" customWidth="1"/>
    <col min="41" max="46" width="7.28515625" style="26" customWidth="1"/>
    <col min="47" max="47" width="3.7109375" style="26" customWidth="1"/>
    <col min="48" max="48" width="6.5703125" style="28" customWidth="1"/>
    <col min="49" max="49" width="4" style="28" bestFit="1" customWidth="1"/>
    <col min="50" max="50" width="4.85546875" style="28" bestFit="1" customWidth="1"/>
    <col min="51" max="52" width="4" style="28" bestFit="1" customWidth="1"/>
    <col min="53" max="53" width="5.7109375" style="28" bestFit="1" customWidth="1"/>
    <col min="54" max="54" width="4.28515625" style="26" customWidth="1"/>
    <col min="55" max="55" width="7.28515625" style="28" bestFit="1" customWidth="1"/>
    <col min="56" max="56" width="5.7109375" style="28" bestFit="1" customWidth="1"/>
    <col min="57" max="59" width="4" style="28" bestFit="1" customWidth="1"/>
    <col min="60" max="60" width="6.5703125" style="28" bestFit="1" customWidth="1"/>
    <col min="61" max="61" width="3.85546875" style="26" customWidth="1"/>
    <col min="62" max="62" width="6.7109375" style="28" customWidth="1"/>
    <col min="63" max="64" width="5.7109375" style="28" bestFit="1" customWidth="1"/>
    <col min="65" max="66" width="4" style="28" bestFit="1" customWidth="1"/>
    <col min="67" max="67" width="6.5703125" style="28" bestFit="1" customWidth="1"/>
    <col min="68" max="68" width="3.5703125" style="26" customWidth="1"/>
    <col min="69" max="69" width="6.5703125" style="28" bestFit="1" customWidth="1"/>
    <col min="70" max="70" width="5.7109375" style="28" bestFit="1" customWidth="1"/>
    <col min="71" max="73" width="4" style="28" bestFit="1" customWidth="1"/>
    <col min="74" max="74" width="6.5703125" style="28" bestFit="1" customWidth="1"/>
    <col min="75" max="16384" width="10.7109375" style="7"/>
  </cols>
  <sheetData>
    <row r="1" spans="1:74" s="16" customFormat="1" ht="51" x14ac:dyDescent="0.2">
      <c r="A1" s="16" t="s">
        <v>100</v>
      </c>
      <c r="B1" s="17" t="s">
        <v>14</v>
      </c>
      <c r="C1" s="17" t="s">
        <v>42</v>
      </c>
      <c r="D1" s="48" t="s">
        <v>29</v>
      </c>
      <c r="E1" s="17"/>
      <c r="F1" s="22" t="s">
        <v>6</v>
      </c>
      <c r="G1" s="23"/>
      <c r="H1" s="23"/>
      <c r="I1" s="23"/>
      <c r="J1" s="23"/>
      <c r="K1" s="23"/>
      <c r="L1" s="22"/>
      <c r="M1" s="22" t="s">
        <v>1</v>
      </c>
      <c r="N1" s="23"/>
      <c r="O1" s="23"/>
      <c r="P1" s="23"/>
      <c r="Q1" s="23"/>
      <c r="R1" s="23"/>
      <c r="S1" s="22"/>
      <c r="T1" s="22" t="s">
        <v>102</v>
      </c>
      <c r="U1" s="22"/>
      <c r="V1" s="22"/>
      <c r="W1" s="22"/>
      <c r="X1" s="22"/>
      <c r="Y1" s="22"/>
      <c r="Z1" s="22"/>
      <c r="AA1" s="22" t="s">
        <v>101</v>
      </c>
      <c r="AB1" s="22"/>
      <c r="AC1" s="22"/>
      <c r="AD1" s="22"/>
      <c r="AE1" s="22"/>
      <c r="AF1" s="22"/>
      <c r="AG1" s="22"/>
      <c r="AH1" s="22" t="s">
        <v>103</v>
      </c>
      <c r="AI1" s="22"/>
      <c r="AJ1" s="22"/>
      <c r="AK1" s="22"/>
      <c r="AL1" s="22"/>
      <c r="AM1" s="22"/>
      <c r="AN1" s="22"/>
      <c r="AO1" s="22" t="s">
        <v>104</v>
      </c>
      <c r="AP1" s="22"/>
      <c r="AQ1" s="22"/>
      <c r="AR1" s="22"/>
      <c r="AS1" s="22"/>
      <c r="AT1" s="22"/>
      <c r="AU1" s="22"/>
      <c r="AV1" s="22" t="s">
        <v>33</v>
      </c>
      <c r="AW1" s="23"/>
      <c r="AX1" s="23"/>
      <c r="AY1" s="23"/>
      <c r="AZ1" s="23"/>
      <c r="BA1" s="23"/>
      <c r="BB1" s="22"/>
      <c r="BC1" s="23" t="s">
        <v>36</v>
      </c>
      <c r="BD1" s="23"/>
      <c r="BE1" s="23"/>
      <c r="BF1" s="23"/>
      <c r="BG1" s="23"/>
      <c r="BH1" s="23"/>
      <c r="BI1" s="22"/>
      <c r="BJ1" s="23" t="s">
        <v>35</v>
      </c>
      <c r="BK1" s="23"/>
      <c r="BL1" s="23"/>
      <c r="BM1" s="23"/>
      <c r="BN1" s="23"/>
      <c r="BO1" s="23"/>
      <c r="BP1" s="22"/>
      <c r="BQ1" s="23" t="s">
        <v>37</v>
      </c>
      <c r="BR1" s="23"/>
      <c r="BS1" s="23"/>
      <c r="BT1" s="23"/>
      <c r="BU1" s="23"/>
      <c r="BV1" s="23"/>
    </row>
    <row r="2" spans="1:74" x14ac:dyDescent="0.2">
      <c r="A2" s="7">
        <v>2</v>
      </c>
      <c r="C2" s="6">
        <v>1</v>
      </c>
      <c r="D2" s="21">
        <v>0</v>
      </c>
      <c r="F2" s="24">
        <v>0</v>
      </c>
      <c r="G2" s="24">
        <v>1728.55</v>
      </c>
      <c r="H2" s="24">
        <v>0</v>
      </c>
      <c r="I2" s="24">
        <v>134.46</v>
      </c>
      <c r="J2" s="24">
        <v>322.23</v>
      </c>
      <c r="K2" s="25">
        <f>SUM(F2:J2)</f>
        <v>2185.2399999999998</v>
      </c>
      <c r="M2" s="24">
        <v>0</v>
      </c>
      <c r="N2" s="24">
        <v>109.35</v>
      </c>
      <c r="O2" s="27">
        <v>730.99</v>
      </c>
      <c r="P2" s="24">
        <v>119.26</v>
      </c>
      <c r="Q2" s="24">
        <v>0</v>
      </c>
      <c r="R2" s="25">
        <f>SUM(M2:Q2)</f>
        <v>959.6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5">
        <f>SUM(T2:X2)</f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5">
        <f>SUM(AA2:AE2)</f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5">
        <f>SUM(AH2:AL2)</f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5">
        <f>SUM(AO2:AS2)</f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5">
        <f>SUM(AV2:AZ2)</f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5">
        <f>SUM(BC2:BG2)</f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5">
        <f>SUM(BJ2:BN2)</f>
        <v>0</v>
      </c>
      <c r="BQ2" s="29">
        <f t="shared" ref="BQ2:BU6" si="0">BJ2+BC2</f>
        <v>0</v>
      </c>
      <c r="BR2" s="29">
        <f t="shared" si="0"/>
        <v>0</v>
      </c>
      <c r="BS2" s="29">
        <f t="shared" si="0"/>
        <v>0</v>
      </c>
      <c r="BT2" s="29">
        <f t="shared" si="0"/>
        <v>0</v>
      </c>
      <c r="BU2" s="29">
        <f t="shared" si="0"/>
        <v>0</v>
      </c>
      <c r="BV2" s="25">
        <f>SUM(BQ2:BU2)</f>
        <v>0</v>
      </c>
    </row>
    <row r="3" spans="1:74" x14ac:dyDescent="0.2">
      <c r="F3" s="24">
        <v>109.35</v>
      </c>
      <c r="G3" s="24">
        <v>0</v>
      </c>
      <c r="H3" s="24">
        <v>289.02</v>
      </c>
      <c r="I3" s="24">
        <v>0</v>
      </c>
      <c r="J3" s="24">
        <v>0</v>
      </c>
      <c r="K3" s="25">
        <f>SUM(F3:J3)</f>
        <v>398.37</v>
      </c>
      <c r="M3" s="24">
        <v>1728.55</v>
      </c>
      <c r="N3" s="24">
        <v>0</v>
      </c>
      <c r="O3" s="24">
        <v>0</v>
      </c>
      <c r="P3" s="24">
        <v>115.69</v>
      </c>
      <c r="Q3" s="24">
        <v>0</v>
      </c>
      <c r="R3" s="25">
        <f t="shared" ref="R3:R6" si="1">SUM(M3:Q3)</f>
        <v>1844.24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5">
        <f t="shared" ref="Y3:Y6" si="2">SUM(T3:X3)</f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5">
        <f t="shared" ref="AF3:AF6" si="3">SUM(AA3:AE3)</f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5">
        <f t="shared" ref="AM3:AM6" si="4">SUM(AH3:AL3)</f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5">
        <f t="shared" ref="AT3:AT6" si="5">SUM(AO3:AS3)</f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5">
        <f t="shared" ref="BA3:BA6" si="6">SUM(AV3:AZ3)</f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5">
        <f>SUM(BC3:BG3)</f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5">
        <f t="shared" ref="BO3:BO6" si="7">SUM(BJ3:BN3)</f>
        <v>0</v>
      </c>
      <c r="BQ3" s="29">
        <f t="shared" si="0"/>
        <v>0</v>
      </c>
      <c r="BR3" s="29">
        <f t="shared" si="0"/>
        <v>0</v>
      </c>
      <c r="BS3" s="29">
        <f t="shared" si="0"/>
        <v>0</v>
      </c>
      <c r="BT3" s="29">
        <f t="shared" si="0"/>
        <v>0</v>
      </c>
      <c r="BU3" s="29">
        <f t="shared" si="0"/>
        <v>0</v>
      </c>
      <c r="BV3" s="25">
        <f t="shared" ref="BV3:BV6" si="8">SUM(BQ3:BU3)</f>
        <v>0</v>
      </c>
    </row>
    <row r="4" spans="1:74" x14ac:dyDescent="0.2">
      <c r="F4" s="27">
        <v>730.99</v>
      </c>
      <c r="G4" s="24">
        <v>0</v>
      </c>
      <c r="H4" s="24">
        <v>0</v>
      </c>
      <c r="I4" s="24">
        <v>0</v>
      </c>
      <c r="J4" s="24">
        <v>0</v>
      </c>
      <c r="K4" s="25">
        <f>SUM(F4:J4)</f>
        <v>730.99</v>
      </c>
      <c r="M4" s="24">
        <v>0</v>
      </c>
      <c r="N4" s="24">
        <v>289.02</v>
      </c>
      <c r="O4" s="24">
        <v>0</v>
      </c>
      <c r="P4" s="24">
        <v>964.32</v>
      </c>
      <c r="Q4" s="24">
        <v>0</v>
      </c>
      <c r="R4" s="25">
        <f t="shared" si="1"/>
        <v>1253.3400000000001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5">
        <f t="shared" si="2"/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5">
        <f t="shared" si="3"/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5">
        <f t="shared" si="4"/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5">
        <f t="shared" si="5"/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5">
        <f t="shared" si="6"/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5">
        <f>SUM(BC4:BG4)</f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5">
        <f t="shared" si="7"/>
        <v>0</v>
      </c>
      <c r="BQ4" s="29">
        <f t="shared" si="0"/>
        <v>0</v>
      </c>
      <c r="BR4" s="29">
        <f t="shared" si="0"/>
        <v>0</v>
      </c>
      <c r="BS4" s="29">
        <f t="shared" si="0"/>
        <v>0</v>
      </c>
      <c r="BT4" s="29">
        <f t="shared" si="0"/>
        <v>0</v>
      </c>
      <c r="BU4" s="29">
        <f t="shared" si="0"/>
        <v>0</v>
      </c>
      <c r="BV4" s="25">
        <f t="shared" si="8"/>
        <v>0</v>
      </c>
    </row>
    <row r="5" spans="1:74" x14ac:dyDescent="0.2">
      <c r="F5" s="24">
        <v>119.26</v>
      </c>
      <c r="G5" s="24">
        <v>115.69</v>
      </c>
      <c r="H5" s="24">
        <v>964.32</v>
      </c>
      <c r="I5" s="24">
        <v>0</v>
      </c>
      <c r="J5" s="24">
        <v>158.47999999999999</v>
      </c>
      <c r="K5" s="25">
        <f>SUM(F5:J5)</f>
        <v>1357.75</v>
      </c>
      <c r="M5" s="24">
        <v>134.46</v>
      </c>
      <c r="N5" s="24">
        <v>0</v>
      </c>
      <c r="O5" s="24">
        <v>0</v>
      </c>
      <c r="P5" s="24">
        <v>0</v>
      </c>
      <c r="Q5" s="24">
        <v>2717.39</v>
      </c>
      <c r="R5" s="25">
        <f t="shared" si="1"/>
        <v>2851.85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5">
        <f t="shared" si="2"/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5">
        <f t="shared" si="3"/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5">
        <f t="shared" si="4"/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5">
        <f t="shared" si="5"/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5">
        <f t="shared" si="6"/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5">
        <f>SUM(BC5:BG5)</f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5">
        <f t="shared" si="7"/>
        <v>0</v>
      </c>
      <c r="BQ5" s="29">
        <f t="shared" si="0"/>
        <v>0</v>
      </c>
      <c r="BR5" s="29">
        <f t="shared" si="0"/>
        <v>0</v>
      </c>
      <c r="BS5" s="29">
        <f t="shared" si="0"/>
        <v>0</v>
      </c>
      <c r="BT5" s="29">
        <f t="shared" si="0"/>
        <v>0</v>
      </c>
      <c r="BU5" s="29">
        <f t="shared" si="0"/>
        <v>0</v>
      </c>
      <c r="BV5" s="25">
        <f t="shared" si="8"/>
        <v>0</v>
      </c>
    </row>
    <row r="6" spans="1:74" x14ac:dyDescent="0.2">
      <c r="F6" s="24">
        <v>0</v>
      </c>
      <c r="G6" s="24">
        <v>0</v>
      </c>
      <c r="H6" s="24">
        <v>0</v>
      </c>
      <c r="I6" s="24">
        <v>2717.39</v>
      </c>
      <c r="J6" s="24">
        <v>0</v>
      </c>
      <c r="K6" s="25">
        <f>SUM(F6:J6)</f>
        <v>2717.39</v>
      </c>
      <c r="M6" s="24">
        <v>322.23</v>
      </c>
      <c r="N6" s="24">
        <v>0</v>
      </c>
      <c r="O6" s="24">
        <v>0</v>
      </c>
      <c r="P6" s="24">
        <v>158.47999999999999</v>
      </c>
      <c r="Q6" s="24">
        <v>0</v>
      </c>
      <c r="R6" s="25">
        <f t="shared" si="1"/>
        <v>480.71000000000004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5">
        <f t="shared" si="2"/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5">
        <f t="shared" si="3"/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5">
        <f t="shared" si="4"/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5">
        <f t="shared" si="5"/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5">
        <f t="shared" si="6"/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5">
        <f>SUM(BC6:BG6)</f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5">
        <f t="shared" si="7"/>
        <v>0</v>
      </c>
      <c r="BQ6" s="29">
        <f t="shared" si="0"/>
        <v>0</v>
      </c>
      <c r="BR6" s="29">
        <f t="shared" si="0"/>
        <v>0</v>
      </c>
      <c r="BS6" s="29">
        <f t="shared" si="0"/>
        <v>0</v>
      </c>
      <c r="BT6" s="29">
        <f t="shared" si="0"/>
        <v>0</v>
      </c>
      <c r="BU6" s="29">
        <f t="shared" si="0"/>
        <v>0</v>
      </c>
      <c r="BV6" s="25">
        <f t="shared" si="8"/>
        <v>0</v>
      </c>
    </row>
    <row r="7" spans="1:74" s="9" customFormat="1" x14ac:dyDescent="0.2">
      <c r="B7" s="12"/>
      <c r="C7" s="12"/>
      <c r="D7" s="49"/>
      <c r="E7" s="12"/>
      <c r="F7" s="25">
        <f t="shared" ref="F7:K7" si="9">SUM(F2:F6)</f>
        <v>959.6</v>
      </c>
      <c r="G7" s="25">
        <f t="shared" si="9"/>
        <v>1844.24</v>
      </c>
      <c r="H7" s="25">
        <f t="shared" si="9"/>
        <v>1253.3400000000001</v>
      </c>
      <c r="I7" s="25">
        <f t="shared" si="9"/>
        <v>2851.85</v>
      </c>
      <c r="J7" s="25">
        <f t="shared" si="9"/>
        <v>480.71000000000004</v>
      </c>
      <c r="K7" s="25">
        <f t="shared" si="9"/>
        <v>7389.74</v>
      </c>
      <c r="L7" s="30"/>
      <c r="M7" s="25">
        <f t="shared" ref="M7:R7" si="10">SUM(M2:M6)</f>
        <v>2185.2399999999998</v>
      </c>
      <c r="N7" s="25">
        <f t="shared" si="10"/>
        <v>398.37</v>
      </c>
      <c r="O7" s="25">
        <f t="shared" si="10"/>
        <v>730.99</v>
      </c>
      <c r="P7" s="25">
        <f t="shared" si="10"/>
        <v>1357.75</v>
      </c>
      <c r="Q7" s="25">
        <f t="shared" si="10"/>
        <v>2717.39</v>
      </c>
      <c r="R7" s="25">
        <f t="shared" si="10"/>
        <v>7389.7400000000007</v>
      </c>
      <c r="S7" s="30"/>
      <c r="T7" s="25">
        <f t="shared" ref="T7:Y7" si="11">SUM(T2:T6)</f>
        <v>0</v>
      </c>
      <c r="U7" s="25">
        <f t="shared" si="11"/>
        <v>0</v>
      </c>
      <c r="V7" s="25">
        <f t="shared" si="11"/>
        <v>0</v>
      </c>
      <c r="W7" s="25">
        <f t="shared" si="11"/>
        <v>0</v>
      </c>
      <c r="X7" s="25">
        <f t="shared" si="11"/>
        <v>0</v>
      </c>
      <c r="Y7" s="25">
        <f t="shared" si="11"/>
        <v>0</v>
      </c>
      <c r="Z7" s="30"/>
      <c r="AA7" s="25">
        <f t="shared" ref="AA7:AF7" si="12">SUM(AA2:AA6)</f>
        <v>0</v>
      </c>
      <c r="AB7" s="25">
        <f t="shared" si="12"/>
        <v>0</v>
      </c>
      <c r="AC7" s="25">
        <f t="shared" si="12"/>
        <v>0</v>
      </c>
      <c r="AD7" s="25">
        <f t="shared" si="12"/>
        <v>0</v>
      </c>
      <c r="AE7" s="25">
        <f t="shared" si="12"/>
        <v>0</v>
      </c>
      <c r="AF7" s="25">
        <f t="shared" si="12"/>
        <v>0</v>
      </c>
      <c r="AG7" s="30"/>
      <c r="AH7" s="25">
        <f t="shared" ref="AH7:AM7" si="13">SUM(AH2:AH6)</f>
        <v>0</v>
      </c>
      <c r="AI7" s="25">
        <f t="shared" si="13"/>
        <v>0</v>
      </c>
      <c r="AJ7" s="25">
        <f t="shared" si="13"/>
        <v>0</v>
      </c>
      <c r="AK7" s="25">
        <f t="shared" si="13"/>
        <v>0</v>
      </c>
      <c r="AL7" s="25">
        <f t="shared" si="13"/>
        <v>0</v>
      </c>
      <c r="AM7" s="25">
        <f t="shared" si="13"/>
        <v>0</v>
      </c>
      <c r="AN7" s="30"/>
      <c r="AO7" s="25">
        <f t="shared" ref="AO7:AT7" si="14">SUM(AO2:AO6)</f>
        <v>0</v>
      </c>
      <c r="AP7" s="25">
        <f t="shared" si="14"/>
        <v>0</v>
      </c>
      <c r="AQ7" s="25">
        <f t="shared" si="14"/>
        <v>0</v>
      </c>
      <c r="AR7" s="25">
        <f t="shared" si="14"/>
        <v>0</v>
      </c>
      <c r="AS7" s="25">
        <f t="shared" si="14"/>
        <v>0</v>
      </c>
      <c r="AT7" s="25">
        <f t="shared" si="14"/>
        <v>0</v>
      </c>
      <c r="AU7" s="30"/>
      <c r="AV7" s="25">
        <f t="shared" ref="AV7:BA7" si="15">SUM(AV2:AV6)</f>
        <v>0</v>
      </c>
      <c r="AW7" s="25">
        <f t="shared" si="15"/>
        <v>0</v>
      </c>
      <c r="AX7" s="25">
        <f t="shared" si="15"/>
        <v>0</v>
      </c>
      <c r="AY7" s="25">
        <f t="shared" si="15"/>
        <v>0</v>
      </c>
      <c r="AZ7" s="25">
        <f t="shared" si="15"/>
        <v>0</v>
      </c>
      <c r="BA7" s="25">
        <f t="shared" si="15"/>
        <v>0</v>
      </c>
      <c r="BB7" s="30"/>
      <c r="BC7" s="25">
        <f t="shared" ref="BC7:BH7" si="16">SUM(BC2:BC6)</f>
        <v>0</v>
      </c>
      <c r="BD7" s="25">
        <f t="shared" si="16"/>
        <v>0</v>
      </c>
      <c r="BE7" s="25">
        <f t="shared" si="16"/>
        <v>0</v>
      </c>
      <c r="BF7" s="25">
        <f t="shared" si="16"/>
        <v>0</v>
      </c>
      <c r="BG7" s="25">
        <f t="shared" si="16"/>
        <v>0</v>
      </c>
      <c r="BH7" s="25">
        <f t="shared" si="16"/>
        <v>0</v>
      </c>
      <c r="BI7" s="30"/>
      <c r="BJ7" s="25">
        <f t="shared" ref="BJ7:BO7" si="17">SUM(BJ2:BJ6)</f>
        <v>0</v>
      </c>
      <c r="BK7" s="25">
        <f t="shared" si="17"/>
        <v>0</v>
      </c>
      <c r="BL7" s="25">
        <f t="shared" si="17"/>
        <v>0</v>
      </c>
      <c r="BM7" s="25">
        <f t="shared" si="17"/>
        <v>0</v>
      </c>
      <c r="BN7" s="25">
        <f t="shared" si="17"/>
        <v>0</v>
      </c>
      <c r="BO7" s="25">
        <f t="shared" si="17"/>
        <v>0</v>
      </c>
      <c r="BP7" s="30"/>
      <c r="BQ7" s="25">
        <f>SUM(BQ2:BQ6)</f>
        <v>0</v>
      </c>
      <c r="BR7" s="25">
        <f t="shared" ref="BR7:BV7" si="18">SUM(BR2:BR6)</f>
        <v>0</v>
      </c>
      <c r="BS7" s="25">
        <f t="shared" si="18"/>
        <v>0</v>
      </c>
      <c r="BT7" s="25">
        <f t="shared" si="18"/>
        <v>0</v>
      </c>
      <c r="BU7" s="25">
        <f t="shared" si="18"/>
        <v>0</v>
      </c>
      <c r="BV7" s="25">
        <f t="shared" si="18"/>
        <v>0</v>
      </c>
    </row>
    <row r="8" spans="1:74" s="12" customFormat="1" x14ac:dyDescent="0.2">
      <c r="D8" s="4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</row>
    <row r="9" spans="1:74" x14ac:dyDescent="0.2">
      <c r="A9" s="7">
        <v>2</v>
      </c>
      <c r="C9" s="6">
        <v>2</v>
      </c>
      <c r="D9" s="21" t="s">
        <v>105</v>
      </c>
      <c r="F9" s="24">
        <v>0</v>
      </c>
      <c r="G9" s="24">
        <v>1728.55</v>
      </c>
      <c r="H9" s="24">
        <v>0</v>
      </c>
      <c r="I9" s="24">
        <v>134.46</v>
      </c>
      <c r="J9" s="24">
        <v>322.23</v>
      </c>
      <c r="K9" s="25">
        <f>SUM(F9:J9)</f>
        <v>2185.2399999999998</v>
      </c>
      <c r="M9" s="24">
        <v>0</v>
      </c>
      <c r="N9" s="24">
        <v>109.35</v>
      </c>
      <c r="O9" s="27">
        <v>730.99</v>
      </c>
      <c r="P9" s="24">
        <v>119.26</v>
      </c>
      <c r="Q9" s="24">
        <v>0</v>
      </c>
      <c r="R9" s="25">
        <f>SUM(M9:Q9)</f>
        <v>959.6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5">
        <f>SUM(T9:X9)</f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5">
        <f>SUM(AA9:AE9)</f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5">
        <f>SUM(AH9:AL9)</f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5">
        <f>SUM(AO9:AS9)</f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5">
        <f>SUM(AV9:AZ9)</f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5">
        <f>SUM(BC9:BG9)</f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5">
        <f>SUM(BJ9:BN9)</f>
        <v>0</v>
      </c>
      <c r="BQ9" s="29">
        <f t="shared" ref="BQ9:BQ13" si="19">BJ9+BC9</f>
        <v>0</v>
      </c>
      <c r="BR9" s="29">
        <f t="shared" ref="BR9:BR13" si="20">BK9+BD9</f>
        <v>0</v>
      </c>
      <c r="BS9" s="29">
        <f t="shared" ref="BS9:BS13" si="21">BL9+BE9</f>
        <v>0</v>
      </c>
      <c r="BT9" s="29">
        <f t="shared" ref="BT9:BT13" si="22">BM9+BF9</f>
        <v>0</v>
      </c>
      <c r="BU9" s="29">
        <f t="shared" ref="BU9:BU13" si="23">BN9+BG9</f>
        <v>0</v>
      </c>
      <c r="BV9" s="25">
        <f>SUM(BQ9:BU9)</f>
        <v>0</v>
      </c>
    </row>
    <row r="10" spans="1:74" x14ac:dyDescent="0.2">
      <c r="F10" s="24">
        <v>109.35</v>
      </c>
      <c r="G10" s="24">
        <v>0</v>
      </c>
      <c r="H10" s="24">
        <v>289.02</v>
      </c>
      <c r="I10" s="24">
        <v>0</v>
      </c>
      <c r="J10" s="24">
        <v>0</v>
      </c>
      <c r="K10" s="25">
        <f>SUM(F10:J10)</f>
        <v>398.37</v>
      </c>
      <c r="M10" s="24">
        <v>1728.55</v>
      </c>
      <c r="N10" s="24">
        <v>0</v>
      </c>
      <c r="O10" s="24">
        <v>0</v>
      </c>
      <c r="P10" s="24">
        <v>115.69</v>
      </c>
      <c r="Q10" s="24">
        <v>0</v>
      </c>
      <c r="R10" s="25">
        <f t="shared" ref="R10:R13" si="24">SUM(M10:Q10)</f>
        <v>1844.24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5">
        <f t="shared" ref="Y10:Y13" si="25">SUM(T10:X10)</f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5">
        <f t="shared" ref="AF10:AF13" si="26">SUM(AA10:AE10)</f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5">
        <f t="shared" ref="AM10:AM13" si="27">SUM(AH10:AL10)</f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5">
        <f t="shared" ref="AT10:AT13" si="28">SUM(AO10:AS10)</f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5">
        <f t="shared" ref="BA10:BA13" si="29">SUM(AV10:AZ10)</f>
        <v>0</v>
      </c>
      <c r="BC10" s="83">
        <v>1215.4100000000001</v>
      </c>
      <c r="BD10" s="28">
        <v>0</v>
      </c>
      <c r="BE10" s="28">
        <v>0</v>
      </c>
      <c r="BF10" s="28">
        <v>0</v>
      </c>
      <c r="BG10" s="28">
        <v>0</v>
      </c>
      <c r="BH10" s="25">
        <f>SUM(BC10:BG10)</f>
        <v>1215.4100000000001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5">
        <f t="shared" ref="BO10:BO13" si="30">SUM(BJ10:BN10)</f>
        <v>0</v>
      </c>
      <c r="BQ10" s="29">
        <f t="shared" si="19"/>
        <v>1215.4100000000001</v>
      </c>
      <c r="BR10" s="29">
        <f t="shared" si="20"/>
        <v>0</v>
      </c>
      <c r="BS10" s="29">
        <f t="shared" si="21"/>
        <v>0</v>
      </c>
      <c r="BT10" s="29">
        <f t="shared" si="22"/>
        <v>0</v>
      </c>
      <c r="BU10" s="29">
        <f t="shared" si="23"/>
        <v>0</v>
      </c>
      <c r="BV10" s="25">
        <f t="shared" ref="BV10:BV13" si="31">SUM(BQ10:BU10)</f>
        <v>1215.4100000000001</v>
      </c>
    </row>
    <row r="11" spans="1:74" x14ac:dyDescent="0.2">
      <c r="F11" s="27">
        <v>730.99</v>
      </c>
      <c r="G11" s="24">
        <v>0</v>
      </c>
      <c r="H11" s="24">
        <v>0</v>
      </c>
      <c r="I11" s="24">
        <v>0</v>
      </c>
      <c r="J11" s="24">
        <v>0</v>
      </c>
      <c r="K11" s="25">
        <f>SUM(F11:J11)</f>
        <v>730.99</v>
      </c>
      <c r="M11" s="24">
        <v>0</v>
      </c>
      <c r="N11" s="24">
        <v>289.02</v>
      </c>
      <c r="O11" s="24">
        <v>0</v>
      </c>
      <c r="P11" s="24">
        <v>964.32</v>
      </c>
      <c r="Q11" s="24">
        <v>0</v>
      </c>
      <c r="R11" s="25">
        <f t="shared" si="24"/>
        <v>1253.3400000000001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5">
        <f t="shared" si="25"/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5">
        <f t="shared" si="26"/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5">
        <f t="shared" si="27"/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5">
        <f t="shared" si="28"/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5">
        <f t="shared" si="29"/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5">
        <f>SUM(BC11:BG11)</f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5">
        <f t="shared" si="30"/>
        <v>0</v>
      </c>
      <c r="BQ11" s="29">
        <f t="shared" si="19"/>
        <v>0</v>
      </c>
      <c r="BR11" s="29">
        <f t="shared" si="20"/>
        <v>0</v>
      </c>
      <c r="BS11" s="29">
        <f t="shared" si="21"/>
        <v>0</v>
      </c>
      <c r="BT11" s="29">
        <f t="shared" si="22"/>
        <v>0</v>
      </c>
      <c r="BU11" s="29">
        <f t="shared" si="23"/>
        <v>0</v>
      </c>
      <c r="BV11" s="25">
        <f t="shared" si="31"/>
        <v>0</v>
      </c>
    </row>
    <row r="12" spans="1:74" x14ac:dyDescent="0.2">
      <c r="F12" s="24">
        <v>119.26</v>
      </c>
      <c r="G12" s="24">
        <v>115.69</v>
      </c>
      <c r="H12" s="24">
        <v>964.32</v>
      </c>
      <c r="I12" s="24">
        <v>0</v>
      </c>
      <c r="J12" s="24">
        <v>158.47999999999999</v>
      </c>
      <c r="K12" s="25">
        <f>SUM(F12:J12)</f>
        <v>1357.75</v>
      </c>
      <c r="M12" s="24">
        <v>134.46</v>
      </c>
      <c r="N12" s="24">
        <v>0</v>
      </c>
      <c r="O12" s="24">
        <v>0</v>
      </c>
      <c r="P12" s="24">
        <v>0</v>
      </c>
      <c r="Q12" s="24">
        <v>2717.39</v>
      </c>
      <c r="R12" s="25">
        <f t="shared" si="24"/>
        <v>2851.85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5">
        <f t="shared" si="25"/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5">
        <f t="shared" si="26"/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5">
        <f t="shared" si="27"/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5">
        <f t="shared" si="28"/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5">
        <f t="shared" si="29"/>
        <v>0</v>
      </c>
      <c r="BC12" s="83">
        <v>94.544200000000004</v>
      </c>
      <c r="BD12" s="28">
        <v>0</v>
      </c>
      <c r="BE12" s="28">
        <v>0</v>
      </c>
      <c r="BF12" s="28">
        <v>0</v>
      </c>
      <c r="BG12" s="28">
        <v>0</v>
      </c>
      <c r="BH12" s="25">
        <f>SUM(BC12:BG12)</f>
        <v>94.544200000000004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5">
        <f t="shared" si="30"/>
        <v>0</v>
      </c>
      <c r="BQ12" s="29">
        <f t="shared" si="19"/>
        <v>94.544200000000004</v>
      </c>
      <c r="BR12" s="29">
        <f t="shared" si="20"/>
        <v>0</v>
      </c>
      <c r="BS12" s="29">
        <f t="shared" si="21"/>
        <v>0</v>
      </c>
      <c r="BT12" s="29">
        <f t="shared" si="22"/>
        <v>0</v>
      </c>
      <c r="BU12" s="29">
        <f t="shared" si="23"/>
        <v>0</v>
      </c>
      <c r="BV12" s="25">
        <f t="shared" si="31"/>
        <v>94.544200000000004</v>
      </c>
    </row>
    <row r="13" spans="1:74" x14ac:dyDescent="0.2">
      <c r="F13" s="24">
        <v>0</v>
      </c>
      <c r="G13" s="24">
        <v>0</v>
      </c>
      <c r="H13" s="24">
        <v>0</v>
      </c>
      <c r="I13" s="24">
        <v>2717.39</v>
      </c>
      <c r="J13" s="24">
        <v>0</v>
      </c>
      <c r="K13" s="25">
        <f>SUM(F13:J13)</f>
        <v>2717.39</v>
      </c>
      <c r="M13" s="24">
        <v>322.23</v>
      </c>
      <c r="N13" s="24">
        <v>0</v>
      </c>
      <c r="O13" s="24">
        <v>0</v>
      </c>
      <c r="P13" s="24">
        <v>158.47999999999999</v>
      </c>
      <c r="Q13" s="24">
        <v>0</v>
      </c>
      <c r="R13" s="25">
        <f t="shared" si="24"/>
        <v>480.71000000000004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5">
        <f t="shared" si="25"/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5">
        <f t="shared" si="26"/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5">
        <f t="shared" si="27"/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5">
        <f t="shared" si="28"/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5">
        <f t="shared" si="29"/>
        <v>0</v>
      </c>
      <c r="BC13" s="83">
        <v>226.57300000000001</v>
      </c>
      <c r="BD13" s="28">
        <v>0</v>
      </c>
      <c r="BE13" s="28">
        <v>0</v>
      </c>
      <c r="BF13" s="28">
        <v>0</v>
      </c>
      <c r="BG13" s="28">
        <v>0</v>
      </c>
      <c r="BH13" s="25">
        <f>SUM(BC13:BG13)</f>
        <v>226.57300000000001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5">
        <f t="shared" si="30"/>
        <v>0</v>
      </c>
      <c r="BQ13" s="29">
        <f t="shared" si="19"/>
        <v>226.57300000000001</v>
      </c>
      <c r="BR13" s="29">
        <f t="shared" si="20"/>
        <v>0</v>
      </c>
      <c r="BS13" s="29">
        <f t="shared" si="21"/>
        <v>0</v>
      </c>
      <c r="BT13" s="29">
        <f t="shared" si="22"/>
        <v>0</v>
      </c>
      <c r="BU13" s="29">
        <f t="shared" si="23"/>
        <v>0</v>
      </c>
      <c r="BV13" s="25">
        <f t="shared" si="31"/>
        <v>226.57300000000001</v>
      </c>
    </row>
    <row r="14" spans="1:74" s="9" customFormat="1" x14ac:dyDescent="0.2">
      <c r="B14" s="12"/>
      <c r="C14" s="12"/>
      <c r="D14" s="49"/>
      <c r="E14" s="12"/>
      <c r="F14" s="25">
        <f t="shared" ref="F14:K14" si="32">SUM(F9:F13)</f>
        <v>959.6</v>
      </c>
      <c r="G14" s="25">
        <f t="shared" si="32"/>
        <v>1844.24</v>
      </c>
      <c r="H14" s="25">
        <f t="shared" si="32"/>
        <v>1253.3400000000001</v>
      </c>
      <c r="I14" s="25">
        <f t="shared" si="32"/>
        <v>2851.85</v>
      </c>
      <c r="J14" s="25">
        <f t="shared" si="32"/>
        <v>480.71000000000004</v>
      </c>
      <c r="K14" s="25">
        <f t="shared" si="32"/>
        <v>7389.74</v>
      </c>
      <c r="L14" s="30"/>
      <c r="M14" s="25">
        <f t="shared" ref="M14:R14" si="33">SUM(M9:M13)</f>
        <v>2185.2399999999998</v>
      </c>
      <c r="N14" s="25">
        <f t="shared" si="33"/>
        <v>398.37</v>
      </c>
      <c r="O14" s="25">
        <f t="shared" si="33"/>
        <v>730.99</v>
      </c>
      <c r="P14" s="25">
        <f t="shared" si="33"/>
        <v>1357.75</v>
      </c>
      <c r="Q14" s="25">
        <f t="shared" si="33"/>
        <v>2717.39</v>
      </c>
      <c r="R14" s="25">
        <f t="shared" si="33"/>
        <v>7389.7400000000007</v>
      </c>
      <c r="S14" s="30"/>
      <c r="T14" s="25">
        <f t="shared" ref="T14:Y14" si="34">SUM(T9:T13)</f>
        <v>0</v>
      </c>
      <c r="U14" s="25">
        <f t="shared" si="34"/>
        <v>0</v>
      </c>
      <c r="V14" s="25">
        <f t="shared" si="34"/>
        <v>0</v>
      </c>
      <c r="W14" s="25">
        <f t="shared" si="34"/>
        <v>0</v>
      </c>
      <c r="X14" s="25">
        <f t="shared" si="34"/>
        <v>0</v>
      </c>
      <c r="Y14" s="25">
        <f t="shared" si="34"/>
        <v>0</v>
      </c>
      <c r="Z14" s="30"/>
      <c r="AA14" s="25">
        <f t="shared" ref="AA14:AF14" si="35">SUM(AA9:AA13)</f>
        <v>0</v>
      </c>
      <c r="AB14" s="25">
        <f t="shared" si="35"/>
        <v>0</v>
      </c>
      <c r="AC14" s="25">
        <f t="shared" si="35"/>
        <v>0</v>
      </c>
      <c r="AD14" s="25">
        <f t="shared" si="35"/>
        <v>0</v>
      </c>
      <c r="AE14" s="25">
        <f t="shared" si="35"/>
        <v>0</v>
      </c>
      <c r="AF14" s="25">
        <f t="shared" si="35"/>
        <v>0</v>
      </c>
      <c r="AG14" s="30"/>
      <c r="AH14" s="25">
        <f t="shared" ref="AH14:AM14" si="36">SUM(AH9:AH13)</f>
        <v>0</v>
      </c>
      <c r="AI14" s="25">
        <f t="shared" si="36"/>
        <v>0</v>
      </c>
      <c r="AJ14" s="25">
        <f t="shared" si="36"/>
        <v>0</v>
      </c>
      <c r="AK14" s="25">
        <f t="shared" si="36"/>
        <v>0</v>
      </c>
      <c r="AL14" s="25">
        <f t="shared" si="36"/>
        <v>0</v>
      </c>
      <c r="AM14" s="25">
        <f t="shared" si="36"/>
        <v>0</v>
      </c>
      <c r="AN14" s="30"/>
      <c r="AO14" s="25">
        <f t="shared" ref="AO14:AT14" si="37">SUM(AO9:AO13)</f>
        <v>0</v>
      </c>
      <c r="AP14" s="25">
        <f t="shared" si="37"/>
        <v>0</v>
      </c>
      <c r="AQ14" s="25">
        <f t="shared" si="37"/>
        <v>0</v>
      </c>
      <c r="AR14" s="25">
        <f t="shared" si="37"/>
        <v>0</v>
      </c>
      <c r="AS14" s="25">
        <f t="shared" si="37"/>
        <v>0</v>
      </c>
      <c r="AT14" s="25">
        <f t="shared" si="37"/>
        <v>0</v>
      </c>
      <c r="AU14" s="30"/>
      <c r="AV14" s="25">
        <f t="shared" ref="AV14:BA14" si="38">SUM(AV9:AV13)</f>
        <v>0</v>
      </c>
      <c r="AW14" s="25">
        <f t="shared" si="38"/>
        <v>0</v>
      </c>
      <c r="AX14" s="25">
        <f t="shared" si="38"/>
        <v>0</v>
      </c>
      <c r="AY14" s="25">
        <f t="shared" si="38"/>
        <v>0</v>
      </c>
      <c r="AZ14" s="25">
        <f t="shared" si="38"/>
        <v>0</v>
      </c>
      <c r="BA14" s="25">
        <f t="shared" si="38"/>
        <v>0</v>
      </c>
      <c r="BB14" s="30"/>
      <c r="BC14" s="25">
        <f t="shared" ref="BC14:BH14" si="39">SUM(BC9:BC13)</f>
        <v>1536.5272000000002</v>
      </c>
      <c r="BD14" s="25">
        <f t="shared" si="39"/>
        <v>0</v>
      </c>
      <c r="BE14" s="25">
        <f t="shared" si="39"/>
        <v>0</v>
      </c>
      <c r="BF14" s="25">
        <f t="shared" si="39"/>
        <v>0</v>
      </c>
      <c r="BG14" s="25">
        <f t="shared" si="39"/>
        <v>0</v>
      </c>
      <c r="BH14" s="25">
        <f t="shared" si="39"/>
        <v>1536.5272000000002</v>
      </c>
      <c r="BI14" s="30"/>
      <c r="BJ14" s="25">
        <f t="shared" ref="BJ14:BO14" si="40">SUM(BJ9:BJ13)</f>
        <v>0</v>
      </c>
      <c r="BK14" s="25">
        <f t="shared" si="40"/>
        <v>0</v>
      </c>
      <c r="BL14" s="25">
        <f t="shared" si="40"/>
        <v>0</v>
      </c>
      <c r="BM14" s="25">
        <f t="shared" si="40"/>
        <v>0</v>
      </c>
      <c r="BN14" s="25">
        <f t="shared" si="40"/>
        <v>0</v>
      </c>
      <c r="BO14" s="25">
        <f t="shared" si="40"/>
        <v>0</v>
      </c>
      <c r="BP14" s="30"/>
      <c r="BQ14" s="25">
        <f>SUM(BQ9:BQ13)</f>
        <v>1536.5272000000002</v>
      </c>
      <c r="BR14" s="25">
        <f t="shared" ref="BR14:BV14" si="41">SUM(BR9:BR13)</f>
        <v>0</v>
      </c>
      <c r="BS14" s="25">
        <f t="shared" si="41"/>
        <v>0</v>
      </c>
      <c r="BT14" s="25">
        <f t="shared" si="41"/>
        <v>0</v>
      </c>
      <c r="BU14" s="25">
        <f t="shared" si="41"/>
        <v>0</v>
      </c>
      <c r="BV14" s="25">
        <f t="shared" si="41"/>
        <v>1536.5272000000002</v>
      </c>
    </row>
    <row r="15" spans="1:74" s="12" customFormat="1" x14ac:dyDescent="0.2">
      <c r="D15" s="4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</row>
    <row r="16" spans="1:74" x14ac:dyDescent="0.2">
      <c r="A16" s="7">
        <v>2</v>
      </c>
      <c r="C16" s="6">
        <v>2</v>
      </c>
      <c r="D16" s="21" t="s">
        <v>106</v>
      </c>
      <c r="F16" s="24">
        <v>0</v>
      </c>
      <c r="G16" s="24">
        <v>1728.55</v>
      </c>
      <c r="H16" s="24">
        <v>0</v>
      </c>
      <c r="I16" s="24">
        <v>134.46</v>
      </c>
      <c r="J16" s="24">
        <v>322.23</v>
      </c>
      <c r="K16" s="25">
        <f>SUM(F16:J16)</f>
        <v>2185.2399999999998</v>
      </c>
      <c r="M16" s="24">
        <v>0</v>
      </c>
      <c r="N16" s="24">
        <v>109.35</v>
      </c>
      <c r="O16" s="27">
        <v>730.99</v>
      </c>
      <c r="P16" s="24">
        <v>119.26</v>
      </c>
      <c r="Q16" s="24">
        <v>0</v>
      </c>
      <c r="R16" s="25">
        <f>SUM(M16:Q16)</f>
        <v>959.6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5">
        <f>SUM(T16:X16)</f>
        <v>0</v>
      </c>
      <c r="AA16" s="28">
        <v>0</v>
      </c>
      <c r="AB16" s="83">
        <v>587.69299999999998</v>
      </c>
      <c r="AC16" s="28">
        <v>0</v>
      </c>
      <c r="AD16" s="83">
        <v>94.544200000000004</v>
      </c>
      <c r="AE16" s="83">
        <v>226.57300000000001</v>
      </c>
      <c r="AF16" s="25">
        <f>SUM(AA16:AE16)</f>
        <v>908.81020000000001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5">
        <f>SUM(AH16:AL16)</f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5">
        <f>SUM(AO16:AS16)</f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5">
        <f>SUM(AV16:AZ16)</f>
        <v>0</v>
      </c>
      <c r="BC16" s="24">
        <v>0</v>
      </c>
      <c r="BD16" s="28">
        <v>0</v>
      </c>
      <c r="BE16" s="28">
        <v>0</v>
      </c>
      <c r="BF16" s="28">
        <v>0</v>
      </c>
      <c r="BG16" s="28">
        <v>0</v>
      </c>
      <c r="BH16" s="25">
        <f>SUM(BC16:BG16)</f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5">
        <f>SUM(BJ16:BN16)</f>
        <v>0</v>
      </c>
      <c r="BQ16" s="29">
        <f t="shared" ref="BQ16:BQ20" si="42">BJ16+BC16</f>
        <v>0</v>
      </c>
      <c r="BR16" s="29">
        <f t="shared" ref="BR16:BR20" si="43">BK16+BD16</f>
        <v>0</v>
      </c>
      <c r="BS16" s="29">
        <f t="shared" ref="BS16:BS20" si="44">BL16+BE16</f>
        <v>0</v>
      </c>
      <c r="BT16" s="29">
        <f t="shared" ref="BT16:BT20" si="45">BM16+BF16</f>
        <v>0</v>
      </c>
      <c r="BU16" s="29">
        <f t="shared" ref="BU16:BU20" si="46">BN16+BG16</f>
        <v>0</v>
      </c>
      <c r="BV16" s="25">
        <f>SUM(BQ16:BU16)</f>
        <v>0</v>
      </c>
    </row>
    <row r="17" spans="1:74" x14ac:dyDescent="0.2">
      <c r="F17" s="24">
        <v>109.35</v>
      </c>
      <c r="G17" s="24">
        <v>0</v>
      </c>
      <c r="H17" s="24">
        <v>289.02</v>
      </c>
      <c r="I17" s="24">
        <v>0</v>
      </c>
      <c r="J17" s="24">
        <v>0</v>
      </c>
      <c r="K17" s="25">
        <f>SUM(F17:J17)</f>
        <v>398.37</v>
      </c>
      <c r="M17" s="24">
        <v>1728.55</v>
      </c>
      <c r="N17" s="24">
        <v>0</v>
      </c>
      <c r="O17" s="24">
        <v>0</v>
      </c>
      <c r="P17" s="24">
        <v>115.69</v>
      </c>
      <c r="Q17" s="24">
        <v>0</v>
      </c>
      <c r="R17" s="25">
        <f t="shared" ref="R17:R20" si="47">SUM(M17:Q17)</f>
        <v>1844.24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5">
        <f t="shared" ref="Y17:Y20" si="48">SUM(T17:X17)</f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5">
        <f t="shared" ref="AF17:AF20" si="49">SUM(AA17:AE17)</f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5">
        <f t="shared" ref="AM17:AM20" si="50">SUM(AH17:AL17)</f>
        <v>0</v>
      </c>
      <c r="AO17" s="83">
        <v>587.69299999999998</v>
      </c>
      <c r="AP17" s="28">
        <v>0</v>
      </c>
      <c r="AQ17" s="28">
        <v>0</v>
      </c>
      <c r="AR17" s="28">
        <v>0</v>
      </c>
      <c r="AS17" s="28">
        <v>0</v>
      </c>
      <c r="AT17" s="25">
        <f t="shared" ref="AT17:AT20" si="51">SUM(AO17:AS17)</f>
        <v>587.69299999999998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5">
        <f t="shared" ref="BA17:BA20" si="52">SUM(AV17:AZ17)</f>
        <v>0</v>
      </c>
      <c r="BC17" s="24">
        <v>1215.4100000000001</v>
      </c>
      <c r="BD17" s="28">
        <v>0</v>
      </c>
      <c r="BE17" s="28">
        <v>0</v>
      </c>
      <c r="BF17" s="28">
        <v>0</v>
      </c>
      <c r="BG17" s="28">
        <v>0</v>
      </c>
      <c r="BH17" s="25">
        <f>SUM(BC17:BG17)</f>
        <v>1215.4100000000001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5">
        <f t="shared" ref="BO17:BO20" si="53">SUM(BJ17:BN17)</f>
        <v>0</v>
      </c>
      <c r="BQ17" s="29">
        <f t="shared" si="42"/>
        <v>1215.4100000000001</v>
      </c>
      <c r="BR17" s="29">
        <f t="shared" si="43"/>
        <v>0</v>
      </c>
      <c r="BS17" s="29">
        <f t="shared" si="44"/>
        <v>0</v>
      </c>
      <c r="BT17" s="29">
        <f t="shared" si="45"/>
        <v>0</v>
      </c>
      <c r="BU17" s="29">
        <f t="shared" si="46"/>
        <v>0</v>
      </c>
      <c r="BV17" s="25">
        <f t="shared" ref="BV17:BV20" si="54">SUM(BQ17:BU17)</f>
        <v>1215.4100000000001</v>
      </c>
    </row>
    <row r="18" spans="1:74" x14ac:dyDescent="0.2">
      <c r="F18" s="27">
        <v>730.99</v>
      </c>
      <c r="G18" s="24">
        <v>0</v>
      </c>
      <c r="H18" s="24">
        <v>0</v>
      </c>
      <c r="I18" s="24">
        <v>0</v>
      </c>
      <c r="J18" s="24">
        <v>0</v>
      </c>
      <c r="K18" s="25">
        <f>SUM(F18:J18)</f>
        <v>730.99</v>
      </c>
      <c r="M18" s="24">
        <v>0</v>
      </c>
      <c r="N18" s="24">
        <v>289.02</v>
      </c>
      <c r="O18" s="24">
        <v>0</v>
      </c>
      <c r="P18" s="24">
        <v>964.32</v>
      </c>
      <c r="Q18" s="24">
        <v>0</v>
      </c>
      <c r="R18" s="25">
        <f t="shared" si="47"/>
        <v>1253.3400000000001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5">
        <f t="shared" si="48"/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5">
        <f t="shared" si="49"/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5">
        <f t="shared" si="50"/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5">
        <f t="shared" si="51"/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5">
        <f t="shared" si="52"/>
        <v>0</v>
      </c>
      <c r="BC18" s="24">
        <v>0</v>
      </c>
      <c r="BD18" s="28">
        <v>0</v>
      </c>
      <c r="BE18" s="28">
        <v>0</v>
      </c>
      <c r="BF18" s="28">
        <v>0</v>
      </c>
      <c r="BG18" s="28">
        <v>0</v>
      </c>
      <c r="BH18" s="25">
        <f>SUM(BC18:BG18)</f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5">
        <f t="shared" si="53"/>
        <v>0</v>
      </c>
      <c r="BQ18" s="29">
        <f t="shared" si="42"/>
        <v>0</v>
      </c>
      <c r="BR18" s="29">
        <f t="shared" si="43"/>
        <v>0</v>
      </c>
      <c r="BS18" s="29">
        <f t="shared" si="44"/>
        <v>0</v>
      </c>
      <c r="BT18" s="29">
        <f t="shared" si="45"/>
        <v>0</v>
      </c>
      <c r="BU18" s="29">
        <f t="shared" si="46"/>
        <v>0</v>
      </c>
      <c r="BV18" s="25">
        <f t="shared" si="54"/>
        <v>0</v>
      </c>
    </row>
    <row r="19" spans="1:74" x14ac:dyDescent="0.2">
      <c r="F19" s="24">
        <v>119.26</v>
      </c>
      <c r="G19" s="24">
        <v>115.69</v>
      </c>
      <c r="H19" s="24">
        <v>964.32</v>
      </c>
      <c r="I19" s="24">
        <v>0</v>
      </c>
      <c r="J19" s="24">
        <v>158.47999999999999</v>
      </c>
      <c r="K19" s="25">
        <f>SUM(F19:J19)</f>
        <v>1357.75</v>
      </c>
      <c r="M19" s="24">
        <v>134.46</v>
      </c>
      <c r="N19" s="24">
        <v>0</v>
      </c>
      <c r="O19" s="24">
        <v>0</v>
      </c>
      <c r="P19" s="24">
        <v>0</v>
      </c>
      <c r="Q19" s="24">
        <v>2717.39</v>
      </c>
      <c r="R19" s="25">
        <f t="shared" si="47"/>
        <v>2851.85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5">
        <f t="shared" si="48"/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5">
        <f t="shared" si="49"/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5">
        <f t="shared" si="50"/>
        <v>0</v>
      </c>
      <c r="AO19" s="83">
        <v>94.544200000000004</v>
      </c>
      <c r="AP19" s="28">
        <v>0</v>
      </c>
      <c r="AQ19" s="28">
        <v>0</v>
      </c>
      <c r="AR19" s="28">
        <v>0</v>
      </c>
      <c r="AS19" s="28">
        <v>0</v>
      </c>
      <c r="AT19" s="25">
        <f t="shared" si="51"/>
        <v>94.544200000000004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5">
        <f t="shared" si="52"/>
        <v>0</v>
      </c>
      <c r="BC19" s="24">
        <v>94.544200000000004</v>
      </c>
      <c r="BD19" s="28">
        <v>0</v>
      </c>
      <c r="BE19" s="28">
        <v>0</v>
      </c>
      <c r="BF19" s="28">
        <v>0</v>
      </c>
      <c r="BG19" s="28">
        <v>0</v>
      </c>
      <c r="BH19" s="25">
        <f>SUM(BC19:BG19)</f>
        <v>94.544200000000004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5">
        <f t="shared" si="53"/>
        <v>0</v>
      </c>
      <c r="BQ19" s="29">
        <f t="shared" si="42"/>
        <v>94.544200000000004</v>
      </c>
      <c r="BR19" s="29">
        <f t="shared" si="43"/>
        <v>0</v>
      </c>
      <c r="BS19" s="29">
        <f t="shared" si="44"/>
        <v>0</v>
      </c>
      <c r="BT19" s="29">
        <f t="shared" si="45"/>
        <v>0</v>
      </c>
      <c r="BU19" s="29">
        <f t="shared" si="46"/>
        <v>0</v>
      </c>
      <c r="BV19" s="25">
        <f t="shared" si="54"/>
        <v>94.544200000000004</v>
      </c>
    </row>
    <row r="20" spans="1:74" x14ac:dyDescent="0.2">
      <c r="F20" s="24">
        <v>0</v>
      </c>
      <c r="G20" s="24">
        <v>0</v>
      </c>
      <c r="H20" s="24">
        <v>0</v>
      </c>
      <c r="I20" s="24">
        <v>2717.39</v>
      </c>
      <c r="J20" s="24">
        <v>0</v>
      </c>
      <c r="K20" s="25">
        <f>SUM(F20:J20)</f>
        <v>2717.39</v>
      </c>
      <c r="M20" s="24">
        <v>322.23</v>
      </c>
      <c r="N20" s="24">
        <v>0</v>
      </c>
      <c r="O20" s="24">
        <v>0</v>
      </c>
      <c r="P20" s="24">
        <v>158.47999999999999</v>
      </c>
      <c r="Q20" s="24">
        <v>0</v>
      </c>
      <c r="R20" s="25">
        <f t="shared" si="47"/>
        <v>480.71000000000004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5">
        <f t="shared" si="48"/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5">
        <f t="shared" si="49"/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5">
        <f t="shared" si="50"/>
        <v>0</v>
      </c>
      <c r="AO20" s="83">
        <v>226.57300000000001</v>
      </c>
      <c r="AP20" s="28">
        <v>0</v>
      </c>
      <c r="AQ20" s="28">
        <v>0</v>
      </c>
      <c r="AR20" s="28">
        <v>0</v>
      </c>
      <c r="AS20" s="28">
        <v>0</v>
      </c>
      <c r="AT20" s="25">
        <f t="shared" si="51"/>
        <v>226.57300000000001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5">
        <f t="shared" si="52"/>
        <v>0</v>
      </c>
      <c r="BC20" s="24">
        <v>226.57300000000001</v>
      </c>
      <c r="BD20" s="28">
        <v>0</v>
      </c>
      <c r="BE20" s="28">
        <v>0</v>
      </c>
      <c r="BF20" s="28">
        <v>0</v>
      </c>
      <c r="BG20" s="28">
        <v>0</v>
      </c>
      <c r="BH20" s="25">
        <f>SUM(BC20:BG20)</f>
        <v>226.57300000000001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5">
        <f t="shared" si="53"/>
        <v>0</v>
      </c>
      <c r="BQ20" s="29">
        <f t="shared" si="42"/>
        <v>226.57300000000001</v>
      </c>
      <c r="BR20" s="29">
        <f t="shared" si="43"/>
        <v>0</v>
      </c>
      <c r="BS20" s="29">
        <f t="shared" si="44"/>
        <v>0</v>
      </c>
      <c r="BT20" s="29">
        <f t="shared" si="45"/>
        <v>0</v>
      </c>
      <c r="BU20" s="29">
        <f t="shared" si="46"/>
        <v>0</v>
      </c>
      <c r="BV20" s="25">
        <f t="shared" si="54"/>
        <v>226.57300000000001</v>
      </c>
    </row>
    <row r="21" spans="1:74" s="9" customFormat="1" x14ac:dyDescent="0.2">
      <c r="B21" s="12"/>
      <c r="C21" s="12"/>
      <c r="D21" s="49"/>
      <c r="E21" s="12"/>
      <c r="F21" s="25">
        <f t="shared" ref="F21:K21" si="55">SUM(F16:F20)</f>
        <v>959.6</v>
      </c>
      <c r="G21" s="25">
        <f t="shared" si="55"/>
        <v>1844.24</v>
      </c>
      <c r="H21" s="25">
        <f t="shared" si="55"/>
        <v>1253.3400000000001</v>
      </c>
      <c r="I21" s="25">
        <f t="shared" si="55"/>
        <v>2851.85</v>
      </c>
      <c r="J21" s="25">
        <f t="shared" si="55"/>
        <v>480.71000000000004</v>
      </c>
      <c r="K21" s="25">
        <f t="shared" si="55"/>
        <v>7389.74</v>
      </c>
      <c r="L21" s="30"/>
      <c r="M21" s="25">
        <f t="shared" ref="M21:R21" si="56">SUM(M16:M20)</f>
        <v>2185.2399999999998</v>
      </c>
      <c r="N21" s="25">
        <f t="shared" si="56"/>
        <v>398.37</v>
      </c>
      <c r="O21" s="25">
        <f t="shared" si="56"/>
        <v>730.99</v>
      </c>
      <c r="P21" s="25">
        <f t="shared" si="56"/>
        <v>1357.75</v>
      </c>
      <c r="Q21" s="25">
        <f t="shared" si="56"/>
        <v>2717.39</v>
      </c>
      <c r="R21" s="25">
        <f t="shared" si="56"/>
        <v>7389.7400000000007</v>
      </c>
      <c r="S21" s="30"/>
      <c r="T21" s="25">
        <f t="shared" ref="T21:Y21" si="57">SUM(T16:T20)</f>
        <v>0</v>
      </c>
      <c r="U21" s="25">
        <f t="shared" si="57"/>
        <v>0</v>
      </c>
      <c r="V21" s="25">
        <f t="shared" si="57"/>
        <v>0</v>
      </c>
      <c r="W21" s="25">
        <f t="shared" si="57"/>
        <v>0</v>
      </c>
      <c r="X21" s="25">
        <f t="shared" si="57"/>
        <v>0</v>
      </c>
      <c r="Y21" s="25">
        <f t="shared" si="57"/>
        <v>0</v>
      </c>
      <c r="Z21" s="30"/>
      <c r="AA21" s="25">
        <f t="shared" ref="AA21:AF21" si="58">SUM(AA16:AA20)</f>
        <v>0</v>
      </c>
      <c r="AB21" s="25">
        <f t="shared" si="58"/>
        <v>587.69299999999998</v>
      </c>
      <c r="AC21" s="25">
        <f t="shared" si="58"/>
        <v>0</v>
      </c>
      <c r="AD21" s="25">
        <f t="shared" si="58"/>
        <v>94.544200000000004</v>
      </c>
      <c r="AE21" s="25">
        <f t="shared" si="58"/>
        <v>226.57300000000001</v>
      </c>
      <c r="AF21" s="25">
        <f t="shared" si="58"/>
        <v>908.81020000000001</v>
      </c>
      <c r="AG21" s="30"/>
      <c r="AH21" s="25">
        <f t="shared" ref="AH21:AM21" si="59">SUM(AH16:AH20)</f>
        <v>0</v>
      </c>
      <c r="AI21" s="25">
        <f t="shared" si="59"/>
        <v>0</v>
      </c>
      <c r="AJ21" s="25">
        <f t="shared" si="59"/>
        <v>0</v>
      </c>
      <c r="AK21" s="25">
        <f t="shared" si="59"/>
        <v>0</v>
      </c>
      <c r="AL21" s="25">
        <f t="shared" si="59"/>
        <v>0</v>
      </c>
      <c r="AM21" s="25">
        <f t="shared" si="59"/>
        <v>0</v>
      </c>
      <c r="AN21" s="30"/>
      <c r="AO21" s="25">
        <f t="shared" ref="AO21:AT21" si="60">SUM(AO16:AO20)</f>
        <v>908.81020000000001</v>
      </c>
      <c r="AP21" s="25">
        <f t="shared" si="60"/>
        <v>0</v>
      </c>
      <c r="AQ21" s="25">
        <f t="shared" si="60"/>
        <v>0</v>
      </c>
      <c r="AR21" s="25">
        <f t="shared" si="60"/>
        <v>0</v>
      </c>
      <c r="AS21" s="25">
        <f t="shared" si="60"/>
        <v>0</v>
      </c>
      <c r="AT21" s="25">
        <f t="shared" si="60"/>
        <v>908.81020000000001</v>
      </c>
      <c r="AU21" s="30"/>
      <c r="AV21" s="25">
        <f t="shared" ref="AV21:BA21" si="61">SUM(AV16:AV20)</f>
        <v>0</v>
      </c>
      <c r="AW21" s="25">
        <f t="shared" si="61"/>
        <v>0</v>
      </c>
      <c r="AX21" s="25">
        <f t="shared" si="61"/>
        <v>0</v>
      </c>
      <c r="AY21" s="25">
        <f t="shared" si="61"/>
        <v>0</v>
      </c>
      <c r="AZ21" s="25">
        <f t="shared" si="61"/>
        <v>0</v>
      </c>
      <c r="BA21" s="25">
        <f t="shared" si="61"/>
        <v>0</v>
      </c>
      <c r="BB21" s="30"/>
      <c r="BC21" s="25">
        <f t="shared" ref="BC21:BH21" si="62">SUM(BC16:BC20)</f>
        <v>1536.5272000000002</v>
      </c>
      <c r="BD21" s="25">
        <f t="shared" si="62"/>
        <v>0</v>
      </c>
      <c r="BE21" s="25">
        <f t="shared" si="62"/>
        <v>0</v>
      </c>
      <c r="BF21" s="25">
        <f t="shared" si="62"/>
        <v>0</v>
      </c>
      <c r="BG21" s="25">
        <f t="shared" si="62"/>
        <v>0</v>
      </c>
      <c r="BH21" s="25">
        <f t="shared" si="62"/>
        <v>1536.5272000000002</v>
      </c>
      <c r="BI21" s="30"/>
      <c r="BJ21" s="25">
        <f t="shared" ref="BJ21:BO21" si="63">SUM(BJ16:BJ20)</f>
        <v>0</v>
      </c>
      <c r="BK21" s="25">
        <f t="shared" si="63"/>
        <v>0</v>
      </c>
      <c r="BL21" s="25">
        <f t="shared" si="63"/>
        <v>0</v>
      </c>
      <c r="BM21" s="25">
        <f t="shared" si="63"/>
        <v>0</v>
      </c>
      <c r="BN21" s="25">
        <f t="shared" si="63"/>
        <v>0</v>
      </c>
      <c r="BO21" s="25">
        <f t="shared" si="63"/>
        <v>0</v>
      </c>
      <c r="BP21" s="30"/>
      <c r="BQ21" s="25">
        <f>SUM(BQ16:BQ20)</f>
        <v>1536.5272000000002</v>
      </c>
      <c r="BR21" s="25">
        <f t="shared" ref="BR21:BV21" si="64">SUM(BR16:BR20)</f>
        <v>0</v>
      </c>
      <c r="BS21" s="25">
        <f t="shared" si="64"/>
        <v>0</v>
      </c>
      <c r="BT21" s="25">
        <f t="shared" si="64"/>
        <v>0</v>
      </c>
      <c r="BU21" s="25">
        <f t="shared" si="64"/>
        <v>0</v>
      </c>
      <c r="BV21" s="25">
        <f t="shared" si="64"/>
        <v>1536.5272000000002</v>
      </c>
    </row>
    <row r="22" spans="1:74" s="12" customFormat="1" x14ac:dyDescent="0.2">
      <c r="D22" s="4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</row>
    <row r="23" spans="1:74" x14ac:dyDescent="0.2">
      <c r="A23" s="7">
        <v>2</v>
      </c>
      <c r="C23" s="6">
        <v>2</v>
      </c>
      <c r="D23" s="21" t="s">
        <v>73</v>
      </c>
      <c r="F23" s="24">
        <v>0</v>
      </c>
      <c r="G23" s="83">
        <v>1140.8599999999999</v>
      </c>
      <c r="H23" s="24">
        <v>0</v>
      </c>
      <c r="I23" s="83">
        <v>39.915799999999997</v>
      </c>
      <c r="J23" s="83">
        <v>95.6571</v>
      </c>
      <c r="K23" s="25">
        <f>SUM(F23:J23)</f>
        <v>1276.4328999999998</v>
      </c>
      <c r="M23" s="24">
        <v>0</v>
      </c>
      <c r="N23" s="24">
        <v>109.35</v>
      </c>
      <c r="O23" s="27">
        <v>730.99</v>
      </c>
      <c r="P23" s="24">
        <v>119.26</v>
      </c>
      <c r="Q23" s="24">
        <v>0</v>
      </c>
      <c r="R23" s="25">
        <f>SUM(M23:Q23)</f>
        <v>959.6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5">
        <f>SUM(T23:X23)</f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f>SUM(AA23:AE23)</f>
        <v>0</v>
      </c>
      <c r="AG23" s="30"/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5">
        <f>SUM(AH23:AL23)</f>
        <v>0</v>
      </c>
      <c r="AN23" s="30"/>
      <c r="AO23" s="24">
        <v>0</v>
      </c>
      <c r="AP23" s="24">
        <v>0</v>
      </c>
      <c r="AQ23" s="24">
        <v>0</v>
      </c>
      <c r="AR23" s="28">
        <v>0</v>
      </c>
      <c r="AS23" s="28">
        <v>0</v>
      </c>
      <c r="AT23" s="25">
        <f>SUM(AO23:AS23)</f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5">
        <f>SUM(AV23:AZ23)</f>
        <v>0</v>
      </c>
      <c r="BC23" s="24">
        <v>0</v>
      </c>
      <c r="BD23" s="28">
        <v>0</v>
      </c>
      <c r="BE23" s="28">
        <v>0</v>
      </c>
      <c r="BF23" s="28">
        <v>0</v>
      </c>
      <c r="BG23" s="28">
        <v>0</v>
      </c>
      <c r="BH23" s="25">
        <f>SUM(BC23:BG23)</f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5">
        <f>SUM(BJ23:BN23)</f>
        <v>0</v>
      </c>
      <c r="BQ23" s="29">
        <f t="shared" ref="BQ23:BQ27" si="65">BJ23+BC23</f>
        <v>0</v>
      </c>
      <c r="BR23" s="29">
        <f t="shared" ref="BR23:BR27" si="66">BK23+BD23</f>
        <v>0</v>
      </c>
      <c r="BS23" s="29">
        <f t="shared" ref="BS23:BS27" si="67">BL23+BE23</f>
        <v>0</v>
      </c>
      <c r="BT23" s="29">
        <f t="shared" ref="BT23:BT27" si="68">BM23+BF23</f>
        <v>0</v>
      </c>
      <c r="BU23" s="29">
        <f t="shared" ref="BU23:BU27" si="69">BN23+BG23</f>
        <v>0</v>
      </c>
      <c r="BV23" s="25">
        <f>SUM(BQ23:BU23)</f>
        <v>0</v>
      </c>
    </row>
    <row r="24" spans="1:74" x14ac:dyDescent="0.2">
      <c r="F24" s="24">
        <v>109.35</v>
      </c>
      <c r="G24" s="24">
        <v>0</v>
      </c>
      <c r="H24" s="24">
        <v>289.02</v>
      </c>
      <c r="I24" s="24">
        <v>0</v>
      </c>
      <c r="J24" s="24">
        <v>0</v>
      </c>
      <c r="K24" s="25">
        <f>SUM(F24:J24)</f>
        <v>398.37</v>
      </c>
      <c r="M24" s="83">
        <v>1140.8599999999999</v>
      </c>
      <c r="N24" s="24">
        <v>0</v>
      </c>
      <c r="O24" s="24">
        <v>0</v>
      </c>
      <c r="P24" s="24">
        <v>115.69</v>
      </c>
      <c r="Q24" s="24">
        <v>0</v>
      </c>
      <c r="R24" s="25">
        <f t="shared" ref="R24:R27" si="70">SUM(M24:Q24)</f>
        <v>1256.55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5">
        <f t="shared" ref="Y24:Y27" si="71">SUM(T24:X24)</f>
        <v>0</v>
      </c>
      <c r="AA24" s="24">
        <v>587.69299999999998</v>
      </c>
      <c r="AB24" s="24">
        <v>0</v>
      </c>
      <c r="AC24" s="24">
        <v>0</v>
      </c>
      <c r="AD24" s="24">
        <v>0</v>
      </c>
      <c r="AE24" s="24">
        <v>0</v>
      </c>
      <c r="AF24" s="25">
        <f t="shared" ref="AF24:AF27" si="72">SUM(AA24:AE24)</f>
        <v>587.69299999999998</v>
      </c>
      <c r="AG24" s="30"/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5">
        <f t="shared" ref="AM24:AM27" si="73">SUM(AH24:AL24)</f>
        <v>0</v>
      </c>
      <c r="AN24" s="30"/>
      <c r="AO24" s="24">
        <v>587.69299999999998</v>
      </c>
      <c r="AP24" s="24">
        <v>0</v>
      </c>
      <c r="AQ24" s="24">
        <v>0</v>
      </c>
      <c r="AR24" s="28">
        <v>0</v>
      </c>
      <c r="AS24" s="28">
        <v>0</v>
      </c>
      <c r="AT24" s="25">
        <f t="shared" ref="AT24:AT27" si="74">SUM(AO24:AS24)</f>
        <v>587.69299999999998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5">
        <f t="shared" ref="BA24:BA27" si="75">SUM(AV24:AZ24)</f>
        <v>0</v>
      </c>
      <c r="BC24" s="83">
        <v>627.72</v>
      </c>
      <c r="BD24" s="28">
        <v>0</v>
      </c>
      <c r="BE24" s="28">
        <v>0</v>
      </c>
      <c r="BF24" s="28">
        <v>0</v>
      </c>
      <c r="BG24" s="28">
        <v>0</v>
      </c>
      <c r="BH24" s="25">
        <f>SUM(BC24:BG24)</f>
        <v>627.72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5">
        <f t="shared" ref="BO24:BO27" si="76">SUM(BJ24:BN24)</f>
        <v>0</v>
      </c>
      <c r="BQ24" s="29">
        <f t="shared" si="65"/>
        <v>627.72</v>
      </c>
      <c r="BR24" s="29">
        <f t="shared" si="66"/>
        <v>0</v>
      </c>
      <c r="BS24" s="29">
        <f t="shared" si="67"/>
        <v>0</v>
      </c>
      <c r="BT24" s="29">
        <f t="shared" si="68"/>
        <v>0</v>
      </c>
      <c r="BU24" s="29">
        <f t="shared" si="69"/>
        <v>0</v>
      </c>
      <c r="BV24" s="25">
        <f t="shared" ref="BV24:BV27" si="77">SUM(BQ24:BU24)</f>
        <v>627.72</v>
      </c>
    </row>
    <row r="25" spans="1:74" x14ac:dyDescent="0.2">
      <c r="F25" s="27">
        <v>730.99</v>
      </c>
      <c r="G25" s="24">
        <v>0</v>
      </c>
      <c r="H25" s="24">
        <v>0</v>
      </c>
      <c r="I25" s="24">
        <v>0</v>
      </c>
      <c r="J25" s="24">
        <v>0</v>
      </c>
      <c r="K25" s="25">
        <f>SUM(F25:J25)</f>
        <v>730.99</v>
      </c>
      <c r="M25" s="24">
        <v>0</v>
      </c>
      <c r="N25" s="24">
        <v>289.02</v>
      </c>
      <c r="O25" s="24">
        <v>0</v>
      </c>
      <c r="P25" s="24">
        <v>964.32</v>
      </c>
      <c r="Q25" s="24">
        <v>0</v>
      </c>
      <c r="R25" s="25">
        <f t="shared" si="70"/>
        <v>1253.3400000000001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5">
        <f t="shared" si="71"/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5">
        <f t="shared" si="72"/>
        <v>0</v>
      </c>
      <c r="AG25" s="30"/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5">
        <f t="shared" si="73"/>
        <v>0</v>
      </c>
      <c r="AN25" s="30"/>
      <c r="AO25" s="24">
        <v>0</v>
      </c>
      <c r="AP25" s="24">
        <v>0</v>
      </c>
      <c r="AQ25" s="24">
        <v>0</v>
      </c>
      <c r="AR25" s="28">
        <v>0</v>
      </c>
      <c r="AS25" s="28">
        <v>0</v>
      </c>
      <c r="AT25" s="25">
        <f t="shared" si="74"/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5">
        <f t="shared" si="75"/>
        <v>0</v>
      </c>
      <c r="BC25" s="24">
        <v>0</v>
      </c>
      <c r="BD25" s="28">
        <v>0</v>
      </c>
      <c r="BE25" s="28">
        <v>0</v>
      </c>
      <c r="BF25" s="28">
        <v>0</v>
      </c>
      <c r="BG25" s="28">
        <v>0</v>
      </c>
      <c r="BH25" s="25">
        <f>SUM(BC25:BG25)</f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5">
        <f t="shared" si="76"/>
        <v>0</v>
      </c>
      <c r="BQ25" s="29">
        <f t="shared" si="65"/>
        <v>0</v>
      </c>
      <c r="BR25" s="29">
        <f t="shared" si="66"/>
        <v>0</v>
      </c>
      <c r="BS25" s="29">
        <f t="shared" si="67"/>
        <v>0</v>
      </c>
      <c r="BT25" s="29">
        <f t="shared" si="68"/>
        <v>0</v>
      </c>
      <c r="BU25" s="29">
        <f t="shared" si="69"/>
        <v>0</v>
      </c>
      <c r="BV25" s="25">
        <f t="shared" si="77"/>
        <v>0</v>
      </c>
    </row>
    <row r="26" spans="1:74" x14ac:dyDescent="0.2">
      <c r="F26" s="24">
        <v>119.26</v>
      </c>
      <c r="G26" s="24">
        <v>115.69</v>
      </c>
      <c r="H26" s="24">
        <v>964.32</v>
      </c>
      <c r="I26" s="24">
        <v>0</v>
      </c>
      <c r="J26" s="24">
        <v>158.47999999999999</v>
      </c>
      <c r="K26" s="25">
        <f>SUM(F26:J26)</f>
        <v>1357.75</v>
      </c>
      <c r="M26" s="83">
        <v>39.915799999999997</v>
      </c>
      <c r="N26" s="24">
        <v>0</v>
      </c>
      <c r="O26" s="24">
        <v>0</v>
      </c>
      <c r="P26" s="24">
        <v>0</v>
      </c>
      <c r="Q26" s="24">
        <v>2717.39</v>
      </c>
      <c r="R26" s="25">
        <f t="shared" si="70"/>
        <v>2757.3058000000001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5">
        <f t="shared" si="71"/>
        <v>0</v>
      </c>
      <c r="AA26" s="24">
        <v>94.544200000000004</v>
      </c>
      <c r="AB26" s="24">
        <v>0</v>
      </c>
      <c r="AC26" s="24">
        <v>0</v>
      </c>
      <c r="AD26" s="24">
        <v>0</v>
      </c>
      <c r="AE26" s="24">
        <v>0</v>
      </c>
      <c r="AF26" s="25">
        <f t="shared" si="72"/>
        <v>94.544200000000004</v>
      </c>
      <c r="AG26" s="30"/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5">
        <f t="shared" si="73"/>
        <v>0</v>
      </c>
      <c r="AN26" s="30"/>
      <c r="AO26" s="24">
        <v>94.544200000000004</v>
      </c>
      <c r="AP26" s="24">
        <v>0</v>
      </c>
      <c r="AQ26" s="24">
        <v>0</v>
      </c>
      <c r="AR26" s="28">
        <v>0</v>
      </c>
      <c r="AS26" s="28">
        <v>0</v>
      </c>
      <c r="AT26" s="25">
        <f t="shared" si="74"/>
        <v>94.544200000000004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5">
        <f t="shared" si="75"/>
        <v>0</v>
      </c>
      <c r="BC26" s="83">
        <v>0</v>
      </c>
      <c r="BD26" s="28">
        <v>0</v>
      </c>
      <c r="BE26" s="28">
        <v>0</v>
      </c>
      <c r="BF26" s="28">
        <v>0</v>
      </c>
      <c r="BG26" s="28">
        <v>0</v>
      </c>
      <c r="BH26" s="25">
        <f>SUM(BC26:BG26)</f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5">
        <f t="shared" si="76"/>
        <v>0</v>
      </c>
      <c r="BQ26" s="29">
        <f t="shared" si="65"/>
        <v>0</v>
      </c>
      <c r="BR26" s="29">
        <f t="shared" si="66"/>
        <v>0</v>
      </c>
      <c r="BS26" s="29">
        <f t="shared" si="67"/>
        <v>0</v>
      </c>
      <c r="BT26" s="29">
        <f t="shared" si="68"/>
        <v>0</v>
      </c>
      <c r="BU26" s="29">
        <f t="shared" si="69"/>
        <v>0</v>
      </c>
      <c r="BV26" s="25">
        <f t="shared" si="77"/>
        <v>0</v>
      </c>
    </row>
    <row r="27" spans="1:74" x14ac:dyDescent="0.2">
      <c r="F27" s="24">
        <v>0</v>
      </c>
      <c r="G27" s="24">
        <v>0</v>
      </c>
      <c r="H27" s="24">
        <v>0</v>
      </c>
      <c r="I27" s="24">
        <v>2717.39</v>
      </c>
      <c r="J27" s="24">
        <v>0</v>
      </c>
      <c r="K27" s="25">
        <f>SUM(F27:J27)</f>
        <v>2717.39</v>
      </c>
      <c r="M27" s="83">
        <v>95.6571</v>
      </c>
      <c r="N27" s="24">
        <v>0</v>
      </c>
      <c r="O27" s="24">
        <v>0</v>
      </c>
      <c r="P27" s="24">
        <v>158.47999999999999</v>
      </c>
      <c r="Q27" s="24">
        <v>0</v>
      </c>
      <c r="R27" s="25">
        <f t="shared" si="70"/>
        <v>254.13709999999998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5">
        <f t="shared" si="71"/>
        <v>0</v>
      </c>
      <c r="AA27" s="24">
        <v>226.57300000000001</v>
      </c>
      <c r="AB27" s="24">
        <v>0</v>
      </c>
      <c r="AC27" s="24">
        <v>0</v>
      </c>
      <c r="AD27" s="24">
        <v>0</v>
      </c>
      <c r="AE27" s="24">
        <v>0</v>
      </c>
      <c r="AF27" s="25">
        <f t="shared" si="72"/>
        <v>226.57300000000001</v>
      </c>
      <c r="AG27" s="30"/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5">
        <f t="shared" si="73"/>
        <v>0</v>
      </c>
      <c r="AN27" s="30"/>
      <c r="AO27" s="24">
        <v>226.57300000000001</v>
      </c>
      <c r="AP27" s="24">
        <v>0</v>
      </c>
      <c r="AQ27" s="24">
        <v>0</v>
      </c>
      <c r="AR27" s="28">
        <v>0</v>
      </c>
      <c r="AS27" s="28">
        <v>0</v>
      </c>
      <c r="AT27" s="25">
        <f t="shared" si="74"/>
        <v>226.57300000000001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5">
        <f t="shared" si="75"/>
        <v>0</v>
      </c>
      <c r="BC27" s="83">
        <v>0</v>
      </c>
      <c r="BD27" s="28">
        <v>0</v>
      </c>
      <c r="BE27" s="28">
        <v>0</v>
      </c>
      <c r="BF27" s="28">
        <v>0</v>
      </c>
      <c r="BG27" s="28">
        <v>0</v>
      </c>
      <c r="BH27" s="25">
        <f>SUM(BC27:BG27)</f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5">
        <f t="shared" si="76"/>
        <v>0</v>
      </c>
      <c r="BQ27" s="29">
        <f t="shared" si="65"/>
        <v>0</v>
      </c>
      <c r="BR27" s="29">
        <f t="shared" si="66"/>
        <v>0</v>
      </c>
      <c r="BS27" s="29">
        <f t="shared" si="67"/>
        <v>0</v>
      </c>
      <c r="BT27" s="29">
        <f t="shared" si="68"/>
        <v>0</v>
      </c>
      <c r="BU27" s="29">
        <f t="shared" si="69"/>
        <v>0</v>
      </c>
      <c r="BV27" s="25">
        <f t="shared" si="77"/>
        <v>0</v>
      </c>
    </row>
    <row r="28" spans="1:74" s="9" customFormat="1" x14ac:dyDescent="0.2">
      <c r="B28" s="12"/>
      <c r="C28" s="12"/>
      <c r="D28" s="49"/>
      <c r="E28" s="12"/>
      <c r="F28" s="25">
        <f t="shared" ref="F28:K28" si="78">SUM(F23:F27)</f>
        <v>959.6</v>
      </c>
      <c r="G28" s="25">
        <f t="shared" si="78"/>
        <v>1256.55</v>
      </c>
      <c r="H28" s="25">
        <f t="shared" si="78"/>
        <v>1253.3400000000001</v>
      </c>
      <c r="I28" s="25">
        <f t="shared" si="78"/>
        <v>2757.3058000000001</v>
      </c>
      <c r="J28" s="25">
        <f t="shared" si="78"/>
        <v>254.13709999999998</v>
      </c>
      <c r="K28" s="25">
        <f t="shared" si="78"/>
        <v>6480.9328999999998</v>
      </c>
      <c r="L28" s="30"/>
      <c r="M28" s="25">
        <f t="shared" ref="M28:R28" si="79">SUM(M23:M27)</f>
        <v>1276.4328999999998</v>
      </c>
      <c r="N28" s="25">
        <f t="shared" si="79"/>
        <v>398.37</v>
      </c>
      <c r="O28" s="25">
        <f t="shared" si="79"/>
        <v>730.99</v>
      </c>
      <c r="P28" s="25">
        <f t="shared" si="79"/>
        <v>1357.75</v>
      </c>
      <c r="Q28" s="25">
        <f t="shared" si="79"/>
        <v>2717.39</v>
      </c>
      <c r="R28" s="25">
        <f t="shared" si="79"/>
        <v>6480.9328999999998</v>
      </c>
      <c r="S28" s="30"/>
      <c r="T28" s="25">
        <f t="shared" ref="T28:Y28" si="80">SUM(T23:T27)</f>
        <v>0</v>
      </c>
      <c r="U28" s="25">
        <f t="shared" si="80"/>
        <v>0</v>
      </c>
      <c r="V28" s="25">
        <f t="shared" si="80"/>
        <v>0</v>
      </c>
      <c r="W28" s="25">
        <f t="shared" si="80"/>
        <v>0</v>
      </c>
      <c r="X28" s="25">
        <f t="shared" si="80"/>
        <v>0</v>
      </c>
      <c r="Y28" s="25">
        <f t="shared" si="80"/>
        <v>0</v>
      </c>
      <c r="Z28" s="30"/>
      <c r="AA28" s="25">
        <f t="shared" ref="AA28:AF28" si="81">SUM(AA23:AA27)</f>
        <v>908.81020000000001</v>
      </c>
      <c r="AB28" s="25">
        <f t="shared" si="81"/>
        <v>0</v>
      </c>
      <c r="AC28" s="25">
        <f t="shared" si="81"/>
        <v>0</v>
      </c>
      <c r="AD28" s="25">
        <f t="shared" si="81"/>
        <v>0</v>
      </c>
      <c r="AE28" s="25">
        <f t="shared" si="81"/>
        <v>0</v>
      </c>
      <c r="AF28" s="25">
        <f t="shared" si="81"/>
        <v>908.81020000000001</v>
      </c>
      <c r="AG28" s="30"/>
      <c r="AH28" s="25">
        <f t="shared" ref="AH28:AM28" si="82">SUM(AH23:AH27)</f>
        <v>0</v>
      </c>
      <c r="AI28" s="25">
        <f t="shared" si="82"/>
        <v>0</v>
      </c>
      <c r="AJ28" s="25">
        <f t="shared" si="82"/>
        <v>0</v>
      </c>
      <c r="AK28" s="25">
        <f t="shared" si="82"/>
        <v>0</v>
      </c>
      <c r="AL28" s="25">
        <f t="shared" si="82"/>
        <v>0</v>
      </c>
      <c r="AM28" s="25">
        <f t="shared" si="82"/>
        <v>0</v>
      </c>
      <c r="AN28" s="30"/>
      <c r="AO28" s="25">
        <f t="shared" ref="AO28:AT28" si="83">SUM(AO23:AO27)</f>
        <v>908.81020000000001</v>
      </c>
      <c r="AP28" s="25">
        <f t="shared" si="83"/>
        <v>0</v>
      </c>
      <c r="AQ28" s="25">
        <f t="shared" si="83"/>
        <v>0</v>
      </c>
      <c r="AR28" s="25">
        <f t="shared" si="83"/>
        <v>0</v>
      </c>
      <c r="AS28" s="25">
        <f t="shared" si="83"/>
        <v>0</v>
      </c>
      <c r="AT28" s="25">
        <f t="shared" si="83"/>
        <v>908.81020000000001</v>
      </c>
      <c r="AU28" s="30"/>
      <c r="AV28" s="25">
        <f t="shared" ref="AV28:BA28" si="84">SUM(AV23:AV27)</f>
        <v>0</v>
      </c>
      <c r="AW28" s="25">
        <f t="shared" si="84"/>
        <v>0</v>
      </c>
      <c r="AX28" s="25">
        <f t="shared" si="84"/>
        <v>0</v>
      </c>
      <c r="AY28" s="25">
        <f t="shared" si="84"/>
        <v>0</v>
      </c>
      <c r="AZ28" s="25">
        <f t="shared" si="84"/>
        <v>0</v>
      </c>
      <c r="BA28" s="25">
        <f t="shared" si="84"/>
        <v>0</v>
      </c>
      <c r="BB28" s="30"/>
      <c r="BC28" s="25">
        <f t="shared" ref="BC28:BH28" si="85">SUM(BC23:BC27)</f>
        <v>627.72</v>
      </c>
      <c r="BD28" s="25">
        <f t="shared" si="85"/>
        <v>0</v>
      </c>
      <c r="BE28" s="25">
        <f t="shared" si="85"/>
        <v>0</v>
      </c>
      <c r="BF28" s="25">
        <f t="shared" si="85"/>
        <v>0</v>
      </c>
      <c r="BG28" s="25">
        <f t="shared" si="85"/>
        <v>0</v>
      </c>
      <c r="BH28" s="25">
        <f t="shared" si="85"/>
        <v>627.72</v>
      </c>
      <c r="BI28" s="30"/>
      <c r="BJ28" s="25">
        <f t="shared" ref="BJ28:BO28" si="86">SUM(BJ23:BJ27)</f>
        <v>0</v>
      </c>
      <c r="BK28" s="25">
        <f t="shared" si="86"/>
        <v>0</v>
      </c>
      <c r="BL28" s="25">
        <f t="shared" si="86"/>
        <v>0</v>
      </c>
      <c r="BM28" s="25">
        <f t="shared" si="86"/>
        <v>0</v>
      </c>
      <c r="BN28" s="25">
        <f t="shared" si="86"/>
        <v>0</v>
      </c>
      <c r="BO28" s="25">
        <f t="shared" si="86"/>
        <v>0</v>
      </c>
      <c r="BP28" s="30"/>
      <c r="BQ28" s="25">
        <f>SUM(BQ23:BQ27)</f>
        <v>627.72</v>
      </c>
      <c r="BR28" s="25">
        <f t="shared" ref="BR28:BV28" si="87">SUM(BR23:BR27)</f>
        <v>0</v>
      </c>
      <c r="BS28" s="25">
        <f t="shared" si="87"/>
        <v>0</v>
      </c>
      <c r="BT28" s="25">
        <f t="shared" si="87"/>
        <v>0</v>
      </c>
      <c r="BU28" s="25">
        <f t="shared" si="87"/>
        <v>0</v>
      </c>
      <c r="BV28" s="25">
        <f t="shared" si="87"/>
        <v>627.72</v>
      </c>
    </row>
    <row r="30" spans="1:74" x14ac:dyDescent="0.2">
      <c r="A30" s="7">
        <v>2</v>
      </c>
      <c r="C30" s="6">
        <v>3</v>
      </c>
      <c r="D30" s="21" t="s">
        <v>105</v>
      </c>
      <c r="F30" s="24">
        <v>0</v>
      </c>
      <c r="G30" s="24">
        <v>1140.8599999999999</v>
      </c>
      <c r="H30" s="24">
        <v>0</v>
      </c>
      <c r="I30" s="24">
        <v>39.915799999999997</v>
      </c>
      <c r="J30" s="24">
        <v>95.6571</v>
      </c>
      <c r="K30" s="25">
        <f>SUM(F30:J30)</f>
        <v>1276.4328999999998</v>
      </c>
      <c r="L30" s="30"/>
      <c r="M30" s="24">
        <v>0</v>
      </c>
      <c r="N30" s="24">
        <v>109.35</v>
      </c>
      <c r="O30" s="27">
        <v>730.99</v>
      </c>
      <c r="P30" s="24">
        <v>119.26</v>
      </c>
      <c r="Q30" s="24">
        <v>0</v>
      </c>
      <c r="R30" s="25">
        <f>SUM(M30:Q30)</f>
        <v>959.6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5">
        <f>SUM(T30:X30)</f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5">
        <f>SUM(AA30:AE30)</f>
        <v>0</v>
      </c>
      <c r="AG30" s="30"/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5">
        <f>SUM(AH30:AL30)</f>
        <v>0</v>
      </c>
      <c r="AN30" s="30"/>
      <c r="AO30" s="24">
        <v>0</v>
      </c>
      <c r="AP30" s="24">
        <v>0</v>
      </c>
      <c r="AQ30" s="24">
        <v>0</v>
      </c>
      <c r="AR30" s="28">
        <v>0</v>
      </c>
      <c r="AS30" s="28">
        <v>0</v>
      </c>
      <c r="AT30" s="25">
        <f>SUM(AO30:AS30)</f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5">
        <f>SUM(AV30:AZ30)</f>
        <v>0</v>
      </c>
      <c r="BC30" s="100">
        <v>0</v>
      </c>
      <c r="BD30" s="88">
        <v>14.599500000000001</v>
      </c>
      <c r="BE30" s="28">
        <v>0</v>
      </c>
      <c r="BF30" s="28">
        <v>0</v>
      </c>
      <c r="BG30" s="28">
        <v>0</v>
      </c>
      <c r="BH30" s="25">
        <f>SUM(BC30:BG30)</f>
        <v>14.599500000000001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5">
        <f>SUM(BJ30:BN30)</f>
        <v>0</v>
      </c>
      <c r="BQ30" s="29">
        <f t="shared" ref="BQ30:BQ34" si="88">BJ30+BC30</f>
        <v>0</v>
      </c>
      <c r="BR30" s="29">
        <f t="shared" ref="BR30:BR34" si="89">BK30+BD30</f>
        <v>14.599500000000001</v>
      </c>
      <c r="BS30" s="29">
        <f t="shared" ref="BS30:BS34" si="90">BL30+BE30</f>
        <v>0</v>
      </c>
      <c r="BT30" s="29">
        <f t="shared" ref="BT30:BT34" si="91">BM30+BF30</f>
        <v>0</v>
      </c>
      <c r="BU30" s="29">
        <f t="shared" ref="BU30:BU34" si="92">BN30+BG30</f>
        <v>0</v>
      </c>
      <c r="BV30" s="25">
        <f>SUM(BQ30:BU30)</f>
        <v>14.599500000000001</v>
      </c>
    </row>
    <row r="31" spans="1:74" x14ac:dyDescent="0.2">
      <c r="F31" s="24">
        <v>109.35</v>
      </c>
      <c r="G31" s="24">
        <v>0</v>
      </c>
      <c r="H31" s="24">
        <v>289.02</v>
      </c>
      <c r="I31" s="24">
        <v>0</v>
      </c>
      <c r="J31" s="24">
        <v>0</v>
      </c>
      <c r="K31" s="25">
        <f>SUM(F31:J31)</f>
        <v>398.37</v>
      </c>
      <c r="L31" s="30"/>
      <c r="M31" s="24">
        <v>1140.8599999999999</v>
      </c>
      <c r="N31" s="24">
        <v>0</v>
      </c>
      <c r="O31" s="24">
        <v>0</v>
      </c>
      <c r="P31" s="24">
        <v>115.69</v>
      </c>
      <c r="Q31" s="24">
        <v>0</v>
      </c>
      <c r="R31" s="25">
        <f t="shared" ref="R31:R34" si="93">SUM(M31:Q31)</f>
        <v>1256.55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5">
        <f t="shared" ref="Y31:Y34" si="94">SUM(T31:X31)</f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5">
        <f t="shared" ref="AF31:AF34" si="95">SUM(AA31:AE31)</f>
        <v>0</v>
      </c>
      <c r="AG31" s="30"/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5">
        <f t="shared" ref="AM31:AM34" si="96">SUM(AH31:AL31)</f>
        <v>0</v>
      </c>
      <c r="AN31" s="30"/>
      <c r="AO31" s="24">
        <v>0</v>
      </c>
      <c r="AP31" s="24">
        <v>0</v>
      </c>
      <c r="AQ31" s="24">
        <v>0</v>
      </c>
      <c r="AR31" s="28">
        <v>0</v>
      </c>
      <c r="AS31" s="28">
        <v>0</v>
      </c>
      <c r="AT31" s="25">
        <f t="shared" ref="AT31:AT34" si="97">SUM(AO31:AS31)</f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5">
        <f t="shared" ref="BA31:BA34" si="98">SUM(AV31:AZ31)</f>
        <v>0</v>
      </c>
      <c r="BC31" s="88">
        <v>406.70600000000002</v>
      </c>
      <c r="BD31" s="101">
        <v>0</v>
      </c>
      <c r="BE31" s="28">
        <v>0</v>
      </c>
      <c r="BF31" s="28">
        <v>0</v>
      </c>
      <c r="BG31" s="28">
        <v>0</v>
      </c>
      <c r="BH31" s="25">
        <f>SUM(BC31:BG31)</f>
        <v>406.70600000000002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5">
        <f t="shared" ref="BO31:BO34" si="99">SUM(BJ31:BN31)</f>
        <v>0</v>
      </c>
      <c r="BQ31" s="29">
        <f t="shared" si="88"/>
        <v>406.70600000000002</v>
      </c>
      <c r="BR31" s="29">
        <f t="shared" si="89"/>
        <v>0</v>
      </c>
      <c r="BS31" s="29">
        <f t="shared" si="90"/>
        <v>0</v>
      </c>
      <c r="BT31" s="29">
        <f t="shared" si="91"/>
        <v>0</v>
      </c>
      <c r="BU31" s="29">
        <f t="shared" si="92"/>
        <v>0</v>
      </c>
      <c r="BV31" s="25">
        <f t="shared" ref="BV31:BV34" si="100">SUM(BQ31:BU31)</f>
        <v>406.70600000000002</v>
      </c>
    </row>
    <row r="32" spans="1:74" x14ac:dyDescent="0.2">
      <c r="F32" s="27">
        <v>730.99</v>
      </c>
      <c r="G32" s="24">
        <v>0</v>
      </c>
      <c r="H32" s="24">
        <v>0</v>
      </c>
      <c r="I32" s="24">
        <v>0</v>
      </c>
      <c r="J32" s="24">
        <v>0</v>
      </c>
      <c r="K32" s="25">
        <f>SUM(F32:J32)</f>
        <v>730.99</v>
      </c>
      <c r="L32" s="30"/>
      <c r="M32" s="24">
        <v>0</v>
      </c>
      <c r="N32" s="24">
        <v>289.02</v>
      </c>
      <c r="O32" s="24">
        <v>0</v>
      </c>
      <c r="P32" s="24">
        <v>964.32</v>
      </c>
      <c r="Q32" s="24">
        <v>0</v>
      </c>
      <c r="R32" s="25">
        <f t="shared" si="93"/>
        <v>1253.3400000000001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5">
        <f t="shared" si="94"/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5">
        <f t="shared" si="95"/>
        <v>0</v>
      </c>
      <c r="AG32" s="30"/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5">
        <f t="shared" si="96"/>
        <v>0</v>
      </c>
      <c r="AN32" s="30"/>
      <c r="AO32" s="24">
        <v>0</v>
      </c>
      <c r="AP32" s="24">
        <v>0</v>
      </c>
      <c r="AQ32" s="24">
        <v>0</v>
      </c>
      <c r="AR32" s="28">
        <v>0</v>
      </c>
      <c r="AS32" s="28">
        <v>0</v>
      </c>
      <c r="AT32" s="25">
        <f t="shared" si="97"/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5">
        <f t="shared" si="98"/>
        <v>0</v>
      </c>
      <c r="BC32" s="100">
        <v>0</v>
      </c>
      <c r="BD32" s="88">
        <v>38.587600000000002</v>
      </c>
      <c r="BE32" s="28">
        <v>0</v>
      </c>
      <c r="BF32" s="28">
        <v>0</v>
      </c>
      <c r="BG32" s="28">
        <v>0</v>
      </c>
      <c r="BH32" s="25">
        <f>SUM(BC32:BG32)</f>
        <v>38.587600000000002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5">
        <f t="shared" si="99"/>
        <v>0</v>
      </c>
      <c r="BQ32" s="29">
        <f t="shared" si="88"/>
        <v>0</v>
      </c>
      <c r="BR32" s="29">
        <f t="shared" si="89"/>
        <v>38.587600000000002</v>
      </c>
      <c r="BS32" s="29">
        <f t="shared" si="90"/>
        <v>0</v>
      </c>
      <c r="BT32" s="29">
        <f t="shared" si="91"/>
        <v>0</v>
      </c>
      <c r="BU32" s="29">
        <f t="shared" si="92"/>
        <v>0</v>
      </c>
      <c r="BV32" s="25">
        <f t="shared" si="100"/>
        <v>38.587600000000002</v>
      </c>
    </row>
    <row r="33" spans="2:74" x14ac:dyDescent="0.2">
      <c r="F33" s="24">
        <v>119.26</v>
      </c>
      <c r="G33" s="24">
        <v>115.69</v>
      </c>
      <c r="H33" s="24">
        <v>964.32</v>
      </c>
      <c r="I33" s="24">
        <v>0</v>
      </c>
      <c r="J33" s="24">
        <v>158.47999999999999</v>
      </c>
      <c r="K33" s="25">
        <f>SUM(F33:J33)</f>
        <v>1357.75</v>
      </c>
      <c r="L33" s="30"/>
      <c r="M33" s="24">
        <v>39.915799999999997</v>
      </c>
      <c r="N33" s="24">
        <v>0</v>
      </c>
      <c r="O33" s="24">
        <v>0</v>
      </c>
      <c r="P33" s="24">
        <v>0</v>
      </c>
      <c r="Q33" s="24">
        <v>2717.39</v>
      </c>
      <c r="R33" s="25">
        <f t="shared" si="93"/>
        <v>2757.3058000000001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5">
        <f t="shared" si="94"/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5">
        <f t="shared" si="95"/>
        <v>0</v>
      </c>
      <c r="AG33" s="30"/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5">
        <f t="shared" si="96"/>
        <v>0</v>
      </c>
      <c r="AN33" s="30"/>
      <c r="AO33" s="24">
        <v>0</v>
      </c>
      <c r="AP33" s="24">
        <v>0</v>
      </c>
      <c r="AQ33" s="24">
        <v>0</v>
      </c>
      <c r="AR33" s="28">
        <v>0</v>
      </c>
      <c r="AS33" s="28">
        <v>0</v>
      </c>
      <c r="AT33" s="25">
        <f t="shared" si="97"/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5">
        <f t="shared" si="98"/>
        <v>0</v>
      </c>
      <c r="BC33" s="88">
        <v>14.229799999999999</v>
      </c>
      <c r="BD33" s="101">
        <v>0</v>
      </c>
      <c r="BE33" s="28">
        <v>0</v>
      </c>
      <c r="BF33" s="28">
        <v>0</v>
      </c>
      <c r="BG33" s="28">
        <v>0</v>
      </c>
      <c r="BH33" s="25">
        <f>SUM(BC33:BG33)</f>
        <v>14.229799999999999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5">
        <f t="shared" si="99"/>
        <v>0</v>
      </c>
      <c r="BQ33" s="29">
        <f t="shared" si="88"/>
        <v>14.229799999999999</v>
      </c>
      <c r="BR33" s="29">
        <f t="shared" si="89"/>
        <v>0</v>
      </c>
      <c r="BS33" s="29">
        <f t="shared" si="90"/>
        <v>0</v>
      </c>
      <c r="BT33" s="29">
        <f t="shared" si="91"/>
        <v>0</v>
      </c>
      <c r="BU33" s="29">
        <f t="shared" si="92"/>
        <v>0</v>
      </c>
      <c r="BV33" s="25">
        <f t="shared" si="100"/>
        <v>14.229799999999999</v>
      </c>
    </row>
    <row r="34" spans="2:74" x14ac:dyDescent="0.2">
      <c r="F34" s="24">
        <v>0</v>
      </c>
      <c r="G34" s="24">
        <v>0</v>
      </c>
      <c r="H34" s="24">
        <v>0</v>
      </c>
      <c r="I34" s="24">
        <v>2717.39</v>
      </c>
      <c r="J34" s="24">
        <v>0</v>
      </c>
      <c r="K34" s="25">
        <f>SUM(F34:J34)</f>
        <v>2717.39</v>
      </c>
      <c r="L34" s="30"/>
      <c r="M34" s="24">
        <v>95.6571</v>
      </c>
      <c r="N34" s="24">
        <v>0</v>
      </c>
      <c r="O34" s="24">
        <v>0</v>
      </c>
      <c r="P34" s="24">
        <v>158.47999999999999</v>
      </c>
      <c r="Q34" s="24">
        <v>0</v>
      </c>
      <c r="R34" s="25">
        <f t="shared" si="93"/>
        <v>254.13709999999998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5">
        <f t="shared" si="94"/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5">
        <f t="shared" si="95"/>
        <v>0</v>
      </c>
      <c r="AG34" s="30"/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5">
        <f t="shared" si="96"/>
        <v>0</v>
      </c>
      <c r="AN34" s="30"/>
      <c r="AO34" s="24">
        <v>0</v>
      </c>
      <c r="AP34" s="24">
        <v>0</v>
      </c>
      <c r="AQ34" s="24">
        <v>0</v>
      </c>
      <c r="AR34" s="28">
        <v>0</v>
      </c>
      <c r="AS34" s="28">
        <v>0</v>
      </c>
      <c r="AT34" s="25">
        <f t="shared" si="97"/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5">
        <f t="shared" si="98"/>
        <v>0</v>
      </c>
      <c r="BC34" s="88">
        <v>34.100999999999999</v>
      </c>
      <c r="BD34" s="101">
        <v>0</v>
      </c>
      <c r="BE34" s="28">
        <v>0</v>
      </c>
      <c r="BF34" s="28">
        <v>0</v>
      </c>
      <c r="BG34" s="28">
        <v>0</v>
      </c>
      <c r="BH34" s="25">
        <f>SUM(BC34:BG34)</f>
        <v>34.100999999999999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5">
        <f t="shared" si="99"/>
        <v>0</v>
      </c>
      <c r="BQ34" s="29">
        <f t="shared" si="88"/>
        <v>34.100999999999999</v>
      </c>
      <c r="BR34" s="29">
        <f t="shared" si="89"/>
        <v>0</v>
      </c>
      <c r="BS34" s="29">
        <f t="shared" si="90"/>
        <v>0</v>
      </c>
      <c r="BT34" s="29">
        <f t="shared" si="91"/>
        <v>0</v>
      </c>
      <c r="BU34" s="29">
        <f t="shared" si="92"/>
        <v>0</v>
      </c>
      <c r="BV34" s="25">
        <f t="shared" si="100"/>
        <v>34.100999999999999</v>
      </c>
    </row>
    <row r="35" spans="2:74" s="9" customFormat="1" x14ac:dyDescent="0.2">
      <c r="B35" s="12"/>
      <c r="C35" s="12"/>
      <c r="D35" s="49"/>
      <c r="E35" s="12"/>
      <c r="F35" s="25">
        <f t="shared" ref="F35:K35" si="101">SUM(F30:F34)</f>
        <v>959.6</v>
      </c>
      <c r="G35" s="25">
        <f t="shared" si="101"/>
        <v>1256.55</v>
      </c>
      <c r="H35" s="25">
        <f t="shared" si="101"/>
        <v>1253.3400000000001</v>
      </c>
      <c r="I35" s="25">
        <f t="shared" si="101"/>
        <v>2757.3058000000001</v>
      </c>
      <c r="J35" s="25">
        <f t="shared" si="101"/>
        <v>254.13709999999998</v>
      </c>
      <c r="K35" s="25">
        <f t="shared" si="101"/>
        <v>6480.9328999999998</v>
      </c>
      <c r="L35" s="30"/>
      <c r="M35" s="25">
        <f t="shared" ref="M35:R35" si="102">SUM(M30:M34)</f>
        <v>1276.4328999999998</v>
      </c>
      <c r="N35" s="25">
        <f t="shared" si="102"/>
        <v>398.37</v>
      </c>
      <c r="O35" s="25">
        <f t="shared" si="102"/>
        <v>730.99</v>
      </c>
      <c r="P35" s="25">
        <f t="shared" si="102"/>
        <v>1357.75</v>
      </c>
      <c r="Q35" s="25">
        <f t="shared" si="102"/>
        <v>2717.39</v>
      </c>
      <c r="R35" s="25">
        <f t="shared" si="102"/>
        <v>6480.9328999999998</v>
      </c>
      <c r="S35" s="30"/>
      <c r="T35" s="25">
        <f t="shared" ref="T35:Y35" si="103">SUM(T30:T34)</f>
        <v>0</v>
      </c>
      <c r="U35" s="25">
        <f t="shared" si="103"/>
        <v>0</v>
      </c>
      <c r="V35" s="25">
        <f t="shared" si="103"/>
        <v>0</v>
      </c>
      <c r="W35" s="25">
        <f t="shared" si="103"/>
        <v>0</v>
      </c>
      <c r="X35" s="25">
        <f t="shared" si="103"/>
        <v>0</v>
      </c>
      <c r="Y35" s="25">
        <f t="shared" si="103"/>
        <v>0</v>
      </c>
      <c r="Z35" s="30"/>
      <c r="AA35" s="25">
        <f t="shared" ref="AA35:AF35" si="104">SUM(AA30:AA34)</f>
        <v>0</v>
      </c>
      <c r="AB35" s="25">
        <f t="shared" si="104"/>
        <v>0</v>
      </c>
      <c r="AC35" s="25">
        <f t="shared" si="104"/>
        <v>0</v>
      </c>
      <c r="AD35" s="25">
        <f t="shared" si="104"/>
        <v>0</v>
      </c>
      <c r="AE35" s="25">
        <f t="shared" si="104"/>
        <v>0</v>
      </c>
      <c r="AF35" s="25">
        <f t="shared" si="104"/>
        <v>0</v>
      </c>
      <c r="AG35" s="30"/>
      <c r="AH35" s="25">
        <f t="shared" ref="AH35:AM35" si="105">SUM(AH30:AH34)</f>
        <v>0</v>
      </c>
      <c r="AI35" s="25">
        <f t="shared" si="105"/>
        <v>0</v>
      </c>
      <c r="AJ35" s="25">
        <f t="shared" si="105"/>
        <v>0</v>
      </c>
      <c r="AK35" s="25">
        <f t="shared" si="105"/>
        <v>0</v>
      </c>
      <c r="AL35" s="25">
        <f t="shared" si="105"/>
        <v>0</v>
      </c>
      <c r="AM35" s="25">
        <f t="shared" si="105"/>
        <v>0</v>
      </c>
      <c r="AN35" s="30"/>
      <c r="AO35" s="25">
        <f t="shared" ref="AO35:AT35" si="106">SUM(AO30:AO34)</f>
        <v>0</v>
      </c>
      <c r="AP35" s="25">
        <f t="shared" si="106"/>
        <v>0</v>
      </c>
      <c r="AQ35" s="25">
        <f t="shared" si="106"/>
        <v>0</v>
      </c>
      <c r="AR35" s="25">
        <f t="shared" si="106"/>
        <v>0</v>
      </c>
      <c r="AS35" s="25">
        <f t="shared" si="106"/>
        <v>0</v>
      </c>
      <c r="AT35" s="25">
        <f t="shared" si="106"/>
        <v>0</v>
      </c>
      <c r="AU35" s="30"/>
      <c r="AV35" s="25">
        <f t="shared" ref="AV35:BA35" si="107">SUM(AV30:AV34)</f>
        <v>0</v>
      </c>
      <c r="AW35" s="25">
        <f t="shared" si="107"/>
        <v>0</v>
      </c>
      <c r="AX35" s="25">
        <f t="shared" si="107"/>
        <v>0</v>
      </c>
      <c r="AY35" s="25">
        <f t="shared" si="107"/>
        <v>0</v>
      </c>
      <c r="AZ35" s="25">
        <f t="shared" si="107"/>
        <v>0</v>
      </c>
      <c r="BA35" s="25">
        <f t="shared" si="107"/>
        <v>0</v>
      </c>
      <c r="BB35" s="30"/>
      <c r="BC35" s="25">
        <f t="shared" ref="BC35:BH35" si="108">SUM(BC30:BC34)</f>
        <v>455.03680000000003</v>
      </c>
      <c r="BD35" s="25">
        <f t="shared" si="108"/>
        <v>53.187100000000001</v>
      </c>
      <c r="BE35" s="25">
        <f t="shared" si="108"/>
        <v>0</v>
      </c>
      <c r="BF35" s="25">
        <f t="shared" si="108"/>
        <v>0</v>
      </c>
      <c r="BG35" s="25">
        <f t="shared" si="108"/>
        <v>0</v>
      </c>
      <c r="BH35" s="25">
        <f t="shared" si="108"/>
        <v>508.22390000000001</v>
      </c>
      <c r="BI35" s="30"/>
      <c r="BJ35" s="25">
        <f t="shared" ref="BJ35:BO35" si="109">SUM(BJ30:BJ34)</f>
        <v>0</v>
      </c>
      <c r="BK35" s="25">
        <f t="shared" si="109"/>
        <v>0</v>
      </c>
      <c r="BL35" s="25">
        <f t="shared" si="109"/>
        <v>0</v>
      </c>
      <c r="BM35" s="25">
        <f t="shared" si="109"/>
        <v>0</v>
      </c>
      <c r="BN35" s="25">
        <f t="shared" si="109"/>
        <v>0</v>
      </c>
      <c r="BO35" s="25">
        <f t="shared" si="109"/>
        <v>0</v>
      </c>
      <c r="BP35" s="30"/>
      <c r="BQ35" s="25">
        <f>SUM(BQ30:BQ34)</f>
        <v>455.03680000000003</v>
      </c>
      <c r="BR35" s="25">
        <f t="shared" ref="BR35:BV35" si="110">SUM(BR30:BR34)</f>
        <v>53.187100000000001</v>
      </c>
      <c r="BS35" s="25">
        <f t="shared" si="110"/>
        <v>0</v>
      </c>
      <c r="BT35" s="25">
        <f t="shared" si="110"/>
        <v>0</v>
      </c>
      <c r="BU35" s="25">
        <f t="shared" si="110"/>
        <v>0</v>
      </c>
      <c r="BV35" s="25">
        <f t="shared" si="110"/>
        <v>508.22390000000001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B90F-2C03-9645-92CD-686775F8075F}">
  <sheetPr>
    <tabColor rgb="FF92D050"/>
  </sheetPr>
  <dimension ref="A1:BI49"/>
  <sheetViews>
    <sheetView zoomScale="150" zoomScaleNormal="150" workbookViewId="0">
      <pane xSplit="4" ySplit="1" topLeftCell="E2" activePane="bottomRight" state="frozen"/>
      <selection activeCell="P37" sqref="P37"/>
      <selection pane="topRight" activeCell="P37" sqref="P37"/>
      <selection pane="bottomLeft" activeCell="P37" sqref="P37"/>
      <selection pane="bottomRight" activeCell="U4" sqref="U4"/>
    </sheetView>
  </sheetViews>
  <sheetFormatPr baseColWidth="10" defaultRowHeight="16" x14ac:dyDescent="0.2"/>
  <cols>
    <col min="1" max="1" width="3" style="7" customWidth="1"/>
    <col min="2" max="2" width="3" style="7" bestFit="1" customWidth="1"/>
    <col min="3" max="3" width="3.28515625" style="20" bestFit="1" customWidth="1"/>
    <col min="4" max="4" width="2.5703125" style="7" customWidth="1"/>
    <col min="5" max="5" width="4.5703125" style="7" bestFit="1" customWidth="1"/>
    <col min="6" max="6" width="4.28515625" style="28" bestFit="1" customWidth="1"/>
    <col min="7" max="7" width="6.7109375" style="28" bestFit="1" customWidth="1"/>
    <col min="8" max="8" width="7.7109375" style="28" bestFit="1" customWidth="1"/>
    <col min="9" max="9" width="6.5703125" style="28" bestFit="1" customWidth="1"/>
    <col min="10" max="10" width="7.7109375" style="28" bestFit="1" customWidth="1"/>
    <col min="11" max="11" width="7.5703125" style="28" customWidth="1"/>
    <col min="12" max="13" width="7.7109375" style="28" bestFit="1" customWidth="1"/>
    <col min="14" max="14" width="5.7109375" style="28" bestFit="1" customWidth="1"/>
    <col min="15" max="15" width="7.7109375" style="28" bestFit="1" customWidth="1"/>
    <col min="16" max="16" width="7" style="28" bestFit="1" customWidth="1"/>
    <col min="17" max="17" width="7.7109375" style="28" bestFit="1" customWidth="1"/>
    <col min="18" max="18" width="6.7109375" style="28" bestFit="1" customWidth="1"/>
    <col min="19" max="19" width="6.5703125" style="24" bestFit="1" customWidth="1"/>
    <col min="20" max="20" width="6.7109375" style="24" bestFit="1" customWidth="1"/>
    <col min="21" max="23" width="8.140625" style="28" bestFit="1" customWidth="1"/>
    <col min="24" max="24" width="10.140625" style="28" bestFit="1" customWidth="1"/>
    <col min="25" max="25" width="9.7109375" style="28" bestFit="1" customWidth="1"/>
    <col min="26" max="26" width="8" style="28" bestFit="1" customWidth="1"/>
    <col min="27" max="27" width="10.140625" style="28" bestFit="1" customWidth="1"/>
    <col min="28" max="28" width="9.5703125" style="28" bestFit="1" customWidth="1"/>
    <col min="29" max="29" width="8.28515625" style="28" bestFit="1" customWidth="1"/>
    <col min="30" max="30" width="8.140625" style="28" bestFit="1" customWidth="1"/>
    <col min="31" max="31" width="7.140625" style="28" bestFit="1" customWidth="1"/>
    <col min="32" max="33" width="7.85546875" style="7" customWidth="1"/>
    <col min="34" max="34" width="5.7109375" style="7" bestFit="1" customWidth="1"/>
    <col min="35" max="35" width="4" style="7" bestFit="1" customWidth="1"/>
    <col min="36" max="36" width="6.5703125" style="7" bestFit="1" customWidth="1"/>
    <col min="37" max="37" width="7.42578125" style="7" bestFit="1" customWidth="1"/>
    <col min="38" max="38" width="4" style="7" bestFit="1" customWidth="1"/>
    <col min="39" max="39" width="7.42578125" style="7" bestFit="1" customWidth="1"/>
    <col min="40" max="40" width="6.5703125" style="7" bestFit="1" customWidth="1"/>
    <col min="41" max="42" width="7.42578125" style="7" bestFit="1" customWidth="1"/>
    <col min="43" max="43" width="4" style="7" bestFit="1" customWidth="1"/>
    <col min="44" max="44" width="7.42578125" style="7" bestFit="1" customWidth="1"/>
    <col min="45" max="45" width="6.5703125" style="7" bestFit="1" customWidth="1"/>
    <col min="46" max="46" width="7.42578125" style="7" bestFit="1" customWidth="1"/>
    <col min="47" max="48" width="5.7109375" style="7" bestFit="1" customWidth="1"/>
    <col min="49" max="50" width="6.5703125" style="7" bestFit="1" customWidth="1"/>
    <col min="51" max="51" width="4.85546875" style="7" bestFit="1" customWidth="1"/>
    <col min="52" max="53" width="5.7109375" style="7" bestFit="1" customWidth="1"/>
    <col min="54" max="54" width="6.5703125" style="7" bestFit="1" customWidth="1"/>
    <col min="55" max="55" width="5.7109375" style="7" bestFit="1" customWidth="1"/>
    <col min="56" max="56" width="4" style="7" bestFit="1" customWidth="1"/>
    <col min="57" max="61" width="6.5703125" style="7" bestFit="1" customWidth="1"/>
    <col min="62" max="16384" width="10.7109375" style="7"/>
  </cols>
  <sheetData>
    <row r="1" spans="1:61" s="16" customFormat="1" ht="48" customHeight="1" x14ac:dyDescent="0.2">
      <c r="A1" s="16" t="s">
        <v>100</v>
      </c>
      <c r="B1" s="16" t="s">
        <v>42</v>
      </c>
      <c r="C1" s="19" t="s">
        <v>29</v>
      </c>
      <c r="D1" s="16" t="s">
        <v>14</v>
      </c>
      <c r="E1" s="16" t="s">
        <v>15</v>
      </c>
      <c r="F1" s="23" t="s">
        <v>27</v>
      </c>
      <c r="G1" s="23" t="s">
        <v>0</v>
      </c>
      <c r="H1" s="23" t="s">
        <v>4</v>
      </c>
      <c r="I1" s="23" t="s">
        <v>81</v>
      </c>
      <c r="J1" s="38" t="s">
        <v>26</v>
      </c>
      <c r="K1" s="23" t="s">
        <v>30</v>
      </c>
      <c r="L1" s="38" t="s">
        <v>3</v>
      </c>
      <c r="M1" s="23" t="s">
        <v>5</v>
      </c>
      <c r="N1" s="23" t="s">
        <v>82</v>
      </c>
      <c r="O1" s="38" t="s">
        <v>28</v>
      </c>
      <c r="P1" s="23" t="s">
        <v>31</v>
      </c>
      <c r="Q1" s="38" t="s">
        <v>21</v>
      </c>
      <c r="R1" s="38" t="s">
        <v>2</v>
      </c>
      <c r="S1" s="38" t="s">
        <v>45</v>
      </c>
      <c r="T1" s="38" t="s">
        <v>46</v>
      </c>
      <c r="U1" s="38" t="s">
        <v>114</v>
      </c>
      <c r="V1" s="38" t="s">
        <v>84</v>
      </c>
      <c r="W1" s="38" t="s">
        <v>32</v>
      </c>
      <c r="X1" s="38" t="s">
        <v>38</v>
      </c>
      <c r="Y1" s="38" t="s">
        <v>34</v>
      </c>
      <c r="Z1" s="38" t="s">
        <v>39</v>
      </c>
      <c r="AA1" s="38" t="s">
        <v>40</v>
      </c>
      <c r="AB1" s="38" t="s">
        <v>41</v>
      </c>
      <c r="AC1" s="38" t="s">
        <v>43</v>
      </c>
      <c r="AD1" s="38" t="s">
        <v>44</v>
      </c>
      <c r="AE1" s="23" t="s">
        <v>65</v>
      </c>
      <c r="AF1" s="16" t="s">
        <v>72</v>
      </c>
      <c r="AH1" s="16" t="s">
        <v>15</v>
      </c>
      <c r="AI1" s="23" t="s">
        <v>27</v>
      </c>
      <c r="AJ1" s="23" t="s">
        <v>0</v>
      </c>
      <c r="AK1" s="23" t="s">
        <v>4</v>
      </c>
      <c r="AL1" s="23" t="s">
        <v>81</v>
      </c>
      <c r="AM1" s="38" t="s">
        <v>26</v>
      </c>
      <c r="AN1" s="23" t="s">
        <v>30</v>
      </c>
      <c r="AO1" s="38" t="s">
        <v>3</v>
      </c>
      <c r="AP1" s="23" t="s">
        <v>5</v>
      </c>
      <c r="AQ1" s="23" t="s">
        <v>82</v>
      </c>
      <c r="AR1" s="38" t="s">
        <v>28</v>
      </c>
      <c r="AS1" s="23" t="s">
        <v>31</v>
      </c>
      <c r="AT1" s="38" t="s">
        <v>21</v>
      </c>
      <c r="AU1" s="38" t="s">
        <v>2</v>
      </c>
      <c r="AV1" s="38" t="s">
        <v>45</v>
      </c>
      <c r="AW1" s="38" t="s">
        <v>46</v>
      </c>
      <c r="AX1" s="38" t="s">
        <v>83</v>
      </c>
      <c r="AY1" s="38" t="s">
        <v>84</v>
      </c>
      <c r="AZ1" s="38" t="s">
        <v>32</v>
      </c>
      <c r="BA1" s="38" t="s">
        <v>38</v>
      </c>
      <c r="BB1" s="38" t="s">
        <v>34</v>
      </c>
      <c r="BC1" s="38" t="s">
        <v>39</v>
      </c>
      <c r="BD1" s="38" t="s">
        <v>40</v>
      </c>
      <c r="BE1" s="38" t="s">
        <v>41</v>
      </c>
      <c r="BF1" s="38" t="s">
        <v>43</v>
      </c>
      <c r="BG1" s="38" t="s">
        <v>44</v>
      </c>
      <c r="BH1" s="23" t="s">
        <v>65</v>
      </c>
      <c r="BI1" s="16" t="s">
        <v>72</v>
      </c>
    </row>
    <row r="2" spans="1:61" x14ac:dyDescent="0.2">
      <c r="A2" s="7">
        <v>2</v>
      </c>
      <c r="B2" s="7">
        <v>1</v>
      </c>
      <c r="C2" s="20" t="s">
        <v>67</v>
      </c>
      <c r="D2" s="7">
        <v>1</v>
      </c>
      <c r="E2" s="8" t="s">
        <v>16</v>
      </c>
      <c r="F2" s="28">
        <v>0</v>
      </c>
      <c r="G2" s="28">
        <v>477.125</v>
      </c>
      <c r="H2" s="28">
        <v>1631.73</v>
      </c>
      <c r="I2" s="28">
        <v>0</v>
      </c>
      <c r="J2" s="29">
        <f>F2+G2+H2+I2</f>
        <v>2108.855</v>
      </c>
      <c r="K2" s="28">
        <v>2185.2399999999998</v>
      </c>
      <c r="L2" s="29">
        <f>J2+K2</f>
        <v>4294.0949999999993</v>
      </c>
      <c r="M2" s="28">
        <v>3160.99</v>
      </c>
      <c r="N2" s="28">
        <v>0</v>
      </c>
      <c r="O2" s="29">
        <f>M2+N2</f>
        <v>3160.99</v>
      </c>
      <c r="P2" s="28">
        <v>959.6</v>
      </c>
      <c r="Q2" s="29">
        <f>P2+O2</f>
        <v>4120.59</v>
      </c>
      <c r="R2" s="29">
        <f>MAX(L2-Q2,0)</f>
        <v>173.5049999999992</v>
      </c>
      <c r="S2" s="24">
        <v>0</v>
      </c>
      <c r="T2" s="24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9">
        <f>X2+Y2</f>
        <v>0</v>
      </c>
      <c r="AD2" s="29">
        <f>AA2+AB2</f>
        <v>0</v>
      </c>
      <c r="AE2" s="29">
        <f>W2+AC2</f>
        <v>0</v>
      </c>
      <c r="AF2" s="29">
        <f>Z2+AD2</f>
        <v>0</v>
      </c>
      <c r="AG2" s="29"/>
    </row>
    <row r="3" spans="1:61" x14ac:dyDescent="0.2">
      <c r="D3" s="7">
        <v>2</v>
      </c>
      <c r="E3" s="7" t="s">
        <v>17</v>
      </c>
      <c r="F3" s="28">
        <v>0</v>
      </c>
      <c r="G3" s="28">
        <v>587.69299999999998</v>
      </c>
      <c r="H3" s="28">
        <v>4303.24</v>
      </c>
      <c r="I3" s="28">
        <v>0</v>
      </c>
      <c r="J3" s="29">
        <f t="shared" ref="J3:J6" si="0">F3+G3+H3+I3</f>
        <v>4890.933</v>
      </c>
      <c r="K3" s="28">
        <v>398.37</v>
      </c>
      <c r="L3" s="29">
        <f>J3+K3</f>
        <v>5289.3029999999999</v>
      </c>
      <c r="M3" s="28">
        <v>3231.37</v>
      </c>
      <c r="N3" s="28">
        <v>0</v>
      </c>
      <c r="O3" s="29">
        <f t="shared" ref="O3:O6" si="1">M3+N3</f>
        <v>3231.37</v>
      </c>
      <c r="P3" s="28">
        <v>1844.24</v>
      </c>
      <c r="Q3" s="29">
        <f>P3+O3</f>
        <v>5075.6099999999997</v>
      </c>
      <c r="R3" s="29">
        <f t="shared" ref="R3:R6" si="2">MAX(L3-Q3,0)</f>
        <v>213.69300000000021</v>
      </c>
      <c r="S3" s="24">
        <v>0</v>
      </c>
      <c r="T3" s="24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9">
        <f>X3+Y3</f>
        <v>0</v>
      </c>
      <c r="AD3" s="29">
        <f>AA3+AB3</f>
        <v>0</v>
      </c>
      <c r="AE3" s="29">
        <f>W3+AC3</f>
        <v>0</v>
      </c>
      <c r="AF3" s="29">
        <f t="shared" ref="AF3:AF6" si="3">Z3+AD3</f>
        <v>0</v>
      </c>
      <c r="AG3" s="29"/>
    </row>
    <row r="4" spans="1:61" x14ac:dyDescent="0.2">
      <c r="D4" s="7">
        <v>3</v>
      </c>
      <c r="E4" s="7" t="s">
        <v>18</v>
      </c>
      <c r="F4" s="28">
        <v>0</v>
      </c>
      <c r="G4" s="28">
        <v>513.84699999999998</v>
      </c>
      <c r="H4" s="28">
        <v>3379.72</v>
      </c>
      <c r="I4" s="28">
        <v>0</v>
      </c>
      <c r="J4" s="29">
        <f t="shared" si="0"/>
        <v>3893.567</v>
      </c>
      <c r="K4" s="28">
        <v>730.99</v>
      </c>
      <c r="L4" s="29">
        <f>J4+K4</f>
        <v>4624.5569999999998</v>
      </c>
      <c r="M4" s="28">
        <v>3184.36</v>
      </c>
      <c r="N4" s="28">
        <v>0</v>
      </c>
      <c r="O4" s="29">
        <f t="shared" si="1"/>
        <v>3184.36</v>
      </c>
      <c r="P4" s="28">
        <v>1253.3399999999999</v>
      </c>
      <c r="Q4" s="29">
        <f>P4+O4</f>
        <v>4437.7</v>
      </c>
      <c r="R4" s="29">
        <f t="shared" si="2"/>
        <v>186.85699999999997</v>
      </c>
      <c r="S4" s="24">
        <v>0</v>
      </c>
      <c r="T4" s="24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9">
        <f>X4+Y4</f>
        <v>0</v>
      </c>
      <c r="AD4" s="29">
        <f>AA4+AB4</f>
        <v>0</v>
      </c>
      <c r="AE4" s="29">
        <f>W4+AC4</f>
        <v>0</v>
      </c>
      <c r="AF4" s="29">
        <f t="shared" si="3"/>
        <v>0</v>
      </c>
      <c r="AG4" s="29"/>
    </row>
    <row r="5" spans="1:61" x14ac:dyDescent="0.2">
      <c r="D5" s="7">
        <v>4</v>
      </c>
      <c r="E5" s="7" t="s">
        <v>19</v>
      </c>
      <c r="F5" s="28">
        <v>0</v>
      </c>
      <c r="G5" s="28">
        <v>713.66200000000003</v>
      </c>
      <c r="H5" s="28">
        <v>4351.47</v>
      </c>
      <c r="I5" s="28">
        <v>0</v>
      </c>
      <c r="J5" s="29">
        <f t="shared" si="0"/>
        <v>5065.1320000000005</v>
      </c>
      <c r="K5" s="28">
        <v>1357.75</v>
      </c>
      <c r="L5" s="29">
        <f>J5+K5</f>
        <v>6422.8820000000005</v>
      </c>
      <c r="M5" s="28">
        <v>3311.51</v>
      </c>
      <c r="N5" s="28">
        <v>0</v>
      </c>
      <c r="O5" s="29">
        <f t="shared" si="1"/>
        <v>3311.51</v>
      </c>
      <c r="P5" s="28">
        <v>2851.85</v>
      </c>
      <c r="Q5" s="29">
        <f>P5+O5</f>
        <v>6163.3600000000006</v>
      </c>
      <c r="R5" s="29">
        <f t="shared" si="2"/>
        <v>259.52199999999993</v>
      </c>
      <c r="S5" s="24">
        <v>0</v>
      </c>
      <c r="T5" s="24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9">
        <f>X5+Y5</f>
        <v>0</v>
      </c>
      <c r="AD5" s="29">
        <f>AA5+AB5</f>
        <v>0</v>
      </c>
      <c r="AE5" s="29">
        <f>W5+AC5</f>
        <v>0</v>
      </c>
      <c r="AF5" s="29">
        <f t="shared" si="3"/>
        <v>0</v>
      </c>
      <c r="AG5" s="29"/>
    </row>
    <row r="6" spans="1:61" x14ac:dyDescent="0.2">
      <c r="D6" s="7">
        <v>5</v>
      </c>
      <c r="E6" s="7" t="s">
        <v>20</v>
      </c>
      <c r="F6" s="28">
        <v>0</v>
      </c>
      <c r="G6" s="28">
        <v>417.25700000000001</v>
      </c>
      <c r="H6" s="28">
        <v>620.69000000000005</v>
      </c>
      <c r="I6" s="28">
        <v>0</v>
      </c>
      <c r="J6" s="29">
        <f t="shared" si="0"/>
        <v>1037.9470000000001</v>
      </c>
      <c r="K6" s="28">
        <v>2717.39</v>
      </c>
      <c r="L6" s="29">
        <f>J6+K6</f>
        <v>3755.337</v>
      </c>
      <c r="M6" s="28">
        <v>3122.9</v>
      </c>
      <c r="N6" s="28">
        <v>0</v>
      </c>
      <c r="O6" s="29">
        <f t="shared" si="1"/>
        <v>3122.9</v>
      </c>
      <c r="P6" s="28">
        <v>480.71</v>
      </c>
      <c r="Q6" s="29">
        <f>P6+O6</f>
        <v>3603.61</v>
      </c>
      <c r="R6" s="29">
        <f t="shared" si="2"/>
        <v>151.72699999999986</v>
      </c>
      <c r="S6" s="24">
        <v>0</v>
      </c>
      <c r="T6" s="24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9">
        <f>X6+Y6</f>
        <v>0</v>
      </c>
      <c r="AD6" s="29">
        <f>AA6+AB6</f>
        <v>0</v>
      </c>
      <c r="AE6" s="29">
        <f>W6+AC6</f>
        <v>0</v>
      </c>
      <c r="AF6" s="29">
        <f t="shared" si="3"/>
        <v>0</v>
      </c>
      <c r="AG6" s="29"/>
    </row>
    <row r="7" spans="1:61" x14ac:dyDescent="0.2">
      <c r="F7" s="25">
        <f>SUM(F2:F6)</f>
        <v>0</v>
      </c>
      <c r="G7" s="25">
        <f t="shared" ref="G7:H7" si="4">SUM(G2:G6)</f>
        <v>2709.5840000000003</v>
      </c>
      <c r="H7" s="25">
        <f t="shared" si="4"/>
        <v>14286.85</v>
      </c>
      <c r="I7" s="25">
        <f>SUM(I2:I6)</f>
        <v>0</v>
      </c>
      <c r="J7" s="25">
        <f>SUM(J2:J6)</f>
        <v>16996.434000000001</v>
      </c>
      <c r="K7" s="25">
        <f t="shared" ref="K7:L7" si="5">SUM(K2:K6)</f>
        <v>7389.74</v>
      </c>
      <c r="L7" s="25">
        <f t="shared" si="5"/>
        <v>24386.173999999999</v>
      </c>
      <c r="M7" s="25">
        <f>SUM(M2:M6)</f>
        <v>16011.13</v>
      </c>
      <c r="N7" s="25">
        <f>SUM(N2:N6)</f>
        <v>0</v>
      </c>
      <c r="O7" s="25">
        <f>SUM(O2:O6)</f>
        <v>16011.13</v>
      </c>
      <c r="P7" s="25">
        <f>SUM(P2:P6)</f>
        <v>7389.7400000000007</v>
      </c>
      <c r="Q7" s="25">
        <f t="shared" ref="Q7" si="6">SUM(Q2:Q6)</f>
        <v>23400.870000000003</v>
      </c>
      <c r="R7" s="25">
        <f>SUM(R2:R6)</f>
        <v>985.30399999999918</v>
      </c>
      <c r="S7" s="25">
        <f t="shared" ref="S7:Y7" si="7">SUM(S2:S6)</f>
        <v>0</v>
      </c>
      <c r="T7" s="25">
        <f t="shared" si="7"/>
        <v>0</v>
      </c>
      <c r="U7" s="25">
        <f t="shared" si="7"/>
        <v>0</v>
      </c>
      <c r="V7" s="25">
        <f t="shared" si="7"/>
        <v>0</v>
      </c>
      <c r="W7" s="25">
        <f t="shared" si="7"/>
        <v>0</v>
      </c>
      <c r="X7" s="25">
        <f t="shared" si="7"/>
        <v>0</v>
      </c>
      <c r="Y7" s="25">
        <f t="shared" si="7"/>
        <v>0</v>
      </c>
      <c r="Z7" s="25">
        <f>SUM(Z2:Z6)</f>
        <v>0</v>
      </c>
      <c r="AA7" s="25">
        <f>SUM(AA2:AA6)</f>
        <v>0</v>
      </c>
      <c r="AB7" s="25">
        <f t="shared" ref="AB7:AD7" si="8">SUM(AB2:AB6)</f>
        <v>0</v>
      </c>
      <c r="AC7" s="25">
        <f t="shared" si="8"/>
        <v>0</v>
      </c>
      <c r="AD7" s="25">
        <f t="shared" si="8"/>
        <v>0</v>
      </c>
      <c r="AE7" s="25">
        <f>SUM(AE2:AE6)</f>
        <v>0</v>
      </c>
      <c r="AF7" s="50">
        <f>SUM(AF2:AF6)</f>
        <v>0</v>
      </c>
      <c r="AG7" s="50"/>
    </row>
    <row r="8" spans="1:61" x14ac:dyDescent="0.2"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50"/>
      <c r="AG8" s="50"/>
    </row>
    <row r="9" spans="1:61" x14ac:dyDescent="0.2">
      <c r="B9" s="7">
        <v>1</v>
      </c>
      <c r="C9" s="20" t="s">
        <v>69</v>
      </c>
      <c r="D9" s="7">
        <v>1</v>
      </c>
      <c r="E9" s="8" t="s">
        <v>16</v>
      </c>
      <c r="F9" s="28">
        <v>0</v>
      </c>
      <c r="G9" s="28">
        <v>477.125</v>
      </c>
      <c r="H9" s="28">
        <v>1631.73</v>
      </c>
      <c r="I9" s="28">
        <v>0</v>
      </c>
      <c r="J9" s="29">
        <f>F9+G9+H9+I9</f>
        <v>2108.855</v>
      </c>
      <c r="K9" s="28">
        <v>2185.2399999999998</v>
      </c>
      <c r="L9" s="29">
        <f>J9+K9</f>
        <v>4294.0949999999993</v>
      </c>
      <c r="M9" s="28">
        <v>3160.99</v>
      </c>
      <c r="N9" s="28">
        <v>0</v>
      </c>
      <c r="O9" s="29">
        <f>M9+N9</f>
        <v>3160.99</v>
      </c>
      <c r="P9" s="28">
        <v>959.6</v>
      </c>
      <c r="Q9" s="29">
        <f>P9+O9</f>
        <v>4120.59</v>
      </c>
      <c r="R9" s="29">
        <f>MAX(L9-Q9,0)</f>
        <v>173.5049999999992</v>
      </c>
      <c r="S9" s="24">
        <v>0</v>
      </c>
      <c r="T9" s="81">
        <v>3160.99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9">
        <f>X9+Y9</f>
        <v>0</v>
      </c>
      <c r="AD9" s="29">
        <f>AA9+AB9</f>
        <v>0</v>
      </c>
      <c r="AE9" s="29">
        <f>W9+AC9</f>
        <v>0</v>
      </c>
      <c r="AF9" s="29">
        <f>Z9+AD9</f>
        <v>0</v>
      </c>
      <c r="AG9" s="29"/>
    </row>
    <row r="10" spans="1:61" x14ac:dyDescent="0.2">
      <c r="D10" s="7">
        <v>2</v>
      </c>
      <c r="E10" s="7" t="s">
        <v>17</v>
      </c>
      <c r="F10" s="28">
        <v>0</v>
      </c>
      <c r="G10" s="28">
        <v>587.69299999999998</v>
      </c>
      <c r="H10" s="28">
        <v>4303.24</v>
      </c>
      <c r="I10" s="28">
        <v>0</v>
      </c>
      <c r="J10" s="29">
        <f t="shared" ref="J10:J13" si="9">F10+G10+H10+I10</f>
        <v>4890.933</v>
      </c>
      <c r="K10" s="28">
        <v>398.37</v>
      </c>
      <c r="L10" s="29">
        <f>J10+K10</f>
        <v>5289.3029999999999</v>
      </c>
      <c r="M10" s="28">
        <v>3231.37</v>
      </c>
      <c r="N10" s="28">
        <v>0</v>
      </c>
      <c r="O10" s="29">
        <f t="shared" ref="O10:O13" si="10">M10+N10</f>
        <v>3231.37</v>
      </c>
      <c r="P10" s="28">
        <v>1844.24</v>
      </c>
      <c r="Q10" s="29">
        <f>P10+O10</f>
        <v>5075.6099999999997</v>
      </c>
      <c r="R10" s="29">
        <f t="shared" ref="R10:R13" si="11">MAX(L10-Q10,0)</f>
        <v>213.69300000000021</v>
      </c>
      <c r="S10" s="24">
        <v>0</v>
      </c>
      <c r="T10" s="24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9">
        <f>X10+Y10</f>
        <v>0</v>
      </c>
      <c r="AD10" s="29">
        <f>AA10+AB10</f>
        <v>0</v>
      </c>
      <c r="AE10" s="29">
        <f>W10+AC10</f>
        <v>0</v>
      </c>
      <c r="AF10" s="29">
        <f t="shared" ref="AF10:AF13" si="12">Z10+AD10</f>
        <v>0</v>
      </c>
      <c r="AG10" s="29"/>
    </row>
    <row r="11" spans="1:61" x14ac:dyDescent="0.2">
      <c r="D11" s="7">
        <v>3</v>
      </c>
      <c r="E11" s="7" t="s">
        <v>18</v>
      </c>
      <c r="F11" s="28">
        <v>0</v>
      </c>
      <c r="G11" s="28">
        <v>513.84699999999998</v>
      </c>
      <c r="H11" s="28">
        <v>3379.72</v>
      </c>
      <c r="I11" s="28">
        <v>0</v>
      </c>
      <c r="J11" s="29">
        <f t="shared" si="9"/>
        <v>3893.567</v>
      </c>
      <c r="K11" s="28">
        <v>730.99</v>
      </c>
      <c r="L11" s="29">
        <f>J11+K11</f>
        <v>4624.5569999999998</v>
      </c>
      <c r="M11" s="28">
        <v>3184.36</v>
      </c>
      <c r="N11" s="28">
        <v>0</v>
      </c>
      <c r="O11" s="29">
        <f t="shared" si="10"/>
        <v>3184.36</v>
      </c>
      <c r="P11" s="28">
        <v>1253.3399999999999</v>
      </c>
      <c r="Q11" s="29">
        <f>P11+O11</f>
        <v>4437.7</v>
      </c>
      <c r="R11" s="29">
        <f t="shared" si="11"/>
        <v>186.85699999999997</v>
      </c>
      <c r="S11" s="24">
        <v>0</v>
      </c>
      <c r="T11" s="24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9">
        <f>X11+Y11</f>
        <v>0</v>
      </c>
      <c r="AD11" s="29">
        <f>AA11+AB11</f>
        <v>0</v>
      </c>
      <c r="AE11" s="29">
        <f>W11+AC11</f>
        <v>0</v>
      </c>
      <c r="AF11" s="29">
        <f t="shared" si="12"/>
        <v>0</v>
      </c>
      <c r="AG11" s="29"/>
    </row>
    <row r="12" spans="1:61" x14ac:dyDescent="0.2">
      <c r="D12" s="7">
        <v>4</v>
      </c>
      <c r="E12" s="7" t="s">
        <v>19</v>
      </c>
      <c r="F12" s="28">
        <v>0</v>
      </c>
      <c r="G12" s="28">
        <v>713.66200000000003</v>
      </c>
      <c r="H12" s="28">
        <v>4351.47</v>
      </c>
      <c r="I12" s="28">
        <v>0</v>
      </c>
      <c r="J12" s="29">
        <f t="shared" si="9"/>
        <v>5065.1320000000005</v>
      </c>
      <c r="K12" s="28">
        <v>1357.75</v>
      </c>
      <c r="L12" s="29">
        <f>J12+K12</f>
        <v>6422.8820000000005</v>
      </c>
      <c r="M12" s="28">
        <v>3311.51</v>
      </c>
      <c r="N12" s="28">
        <v>0</v>
      </c>
      <c r="O12" s="29">
        <f t="shared" si="10"/>
        <v>3311.51</v>
      </c>
      <c r="P12" s="28">
        <v>2851.85</v>
      </c>
      <c r="Q12" s="29">
        <f>P12+O12</f>
        <v>6163.3600000000006</v>
      </c>
      <c r="R12" s="29">
        <f t="shared" si="11"/>
        <v>259.52199999999993</v>
      </c>
      <c r="S12" s="24">
        <v>0</v>
      </c>
      <c r="T12" s="24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9">
        <f>X12+Y12</f>
        <v>0</v>
      </c>
      <c r="AD12" s="29">
        <f>AA12+AB12</f>
        <v>0</v>
      </c>
      <c r="AE12" s="29">
        <f>W12+AC12</f>
        <v>0</v>
      </c>
      <c r="AF12" s="29">
        <f t="shared" si="12"/>
        <v>0</v>
      </c>
      <c r="AG12" s="29"/>
    </row>
    <row r="13" spans="1:61" x14ac:dyDescent="0.2">
      <c r="D13" s="7">
        <v>5</v>
      </c>
      <c r="E13" s="7" t="s">
        <v>20</v>
      </c>
      <c r="F13" s="28">
        <v>0</v>
      </c>
      <c r="G13" s="28">
        <v>417.25700000000001</v>
      </c>
      <c r="H13" s="28">
        <v>620.69000000000005</v>
      </c>
      <c r="I13" s="28">
        <v>0</v>
      </c>
      <c r="J13" s="29">
        <f t="shared" si="9"/>
        <v>1037.9470000000001</v>
      </c>
      <c r="K13" s="28">
        <v>2717.39</v>
      </c>
      <c r="L13" s="29">
        <f>J13+K13</f>
        <v>3755.337</v>
      </c>
      <c r="M13" s="28">
        <v>3122.9</v>
      </c>
      <c r="N13" s="28">
        <v>0</v>
      </c>
      <c r="O13" s="29">
        <f t="shared" si="10"/>
        <v>3122.9</v>
      </c>
      <c r="P13" s="28">
        <v>480.71</v>
      </c>
      <c r="Q13" s="29">
        <f>P13+O13</f>
        <v>3603.61</v>
      </c>
      <c r="R13" s="29">
        <f t="shared" si="11"/>
        <v>151.72699999999986</v>
      </c>
      <c r="S13" s="24">
        <v>0</v>
      </c>
      <c r="T13" s="24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9">
        <f>X13+Y13</f>
        <v>0</v>
      </c>
      <c r="AD13" s="29">
        <f>AA13+AB13</f>
        <v>0</v>
      </c>
      <c r="AE13" s="29">
        <f>W13+AC13</f>
        <v>0</v>
      </c>
      <c r="AF13" s="29">
        <f t="shared" si="12"/>
        <v>0</v>
      </c>
      <c r="AG13" s="29"/>
    </row>
    <row r="14" spans="1:61" x14ac:dyDescent="0.2">
      <c r="F14" s="25">
        <f>SUM(F9:F13)</f>
        <v>0</v>
      </c>
      <c r="G14" s="25">
        <f t="shared" ref="G14:H14" si="13">SUM(G9:G13)</f>
        <v>2709.5840000000003</v>
      </c>
      <c r="H14" s="25">
        <f t="shared" si="13"/>
        <v>14286.85</v>
      </c>
      <c r="I14" s="25">
        <f>SUM(I9:I13)</f>
        <v>0</v>
      </c>
      <c r="J14" s="25">
        <f>SUM(J9:J13)</f>
        <v>16996.434000000001</v>
      </c>
      <c r="K14" s="25">
        <f t="shared" ref="K14:L14" si="14">SUM(K9:K13)</f>
        <v>7389.74</v>
      </c>
      <c r="L14" s="25">
        <f t="shared" si="14"/>
        <v>24386.173999999999</v>
      </c>
      <c r="M14" s="25">
        <f>SUM(M9:M13)</f>
        <v>16011.13</v>
      </c>
      <c r="N14" s="25">
        <f>SUM(N9:N13)</f>
        <v>0</v>
      </c>
      <c r="O14" s="25">
        <f>SUM(O9:O13)</f>
        <v>16011.13</v>
      </c>
      <c r="P14" s="25">
        <f>SUM(P9:P13)</f>
        <v>7389.7400000000007</v>
      </c>
      <c r="Q14" s="25">
        <f t="shared" ref="Q14" si="15">SUM(Q9:Q13)</f>
        <v>23400.870000000003</v>
      </c>
      <c r="R14" s="25">
        <f>SUM(R9:R13)</f>
        <v>985.30399999999918</v>
      </c>
      <c r="S14" s="25">
        <f t="shared" ref="S14:Y14" si="16">SUM(S9:S13)</f>
        <v>0</v>
      </c>
      <c r="T14" s="25">
        <f t="shared" si="16"/>
        <v>3160.99</v>
      </c>
      <c r="U14" s="25">
        <f t="shared" si="16"/>
        <v>0</v>
      </c>
      <c r="V14" s="25">
        <f t="shared" si="16"/>
        <v>0</v>
      </c>
      <c r="W14" s="25">
        <f t="shared" si="16"/>
        <v>0</v>
      </c>
      <c r="X14" s="25">
        <f t="shared" si="16"/>
        <v>0</v>
      </c>
      <c r="Y14" s="25">
        <f t="shared" si="16"/>
        <v>0</v>
      </c>
      <c r="Z14" s="25">
        <f>SUM(Z9:Z13)</f>
        <v>0</v>
      </c>
      <c r="AA14" s="25">
        <f>SUM(AA9:AA13)</f>
        <v>0</v>
      </c>
      <c r="AB14" s="25">
        <f t="shared" ref="AB14:AD14" si="17">SUM(AB9:AB13)</f>
        <v>0</v>
      </c>
      <c r="AC14" s="25">
        <f t="shared" si="17"/>
        <v>0</v>
      </c>
      <c r="AD14" s="25">
        <f t="shared" si="17"/>
        <v>0</v>
      </c>
      <c r="AE14" s="25">
        <f>SUM(AE9:AE13)</f>
        <v>0</v>
      </c>
      <c r="AF14" s="50">
        <f>SUM(AF9:AF13)</f>
        <v>0</v>
      </c>
      <c r="AG14" s="50"/>
    </row>
    <row r="16" spans="1:61" x14ac:dyDescent="0.2">
      <c r="B16" s="7">
        <v>1</v>
      </c>
      <c r="C16" s="20" t="s">
        <v>66</v>
      </c>
      <c r="D16" s="7">
        <v>1</v>
      </c>
      <c r="E16" s="82" t="s">
        <v>16</v>
      </c>
      <c r="F16" s="28">
        <v>0</v>
      </c>
      <c r="G16" s="81">
        <v>0</v>
      </c>
      <c r="H16" s="81">
        <v>484.39501999999999</v>
      </c>
      <c r="I16" s="28">
        <v>0</v>
      </c>
      <c r="J16" s="29">
        <f>F16+G16+H16+I16</f>
        <v>484.39501999999999</v>
      </c>
      <c r="K16" s="81">
        <v>648.70996000000002</v>
      </c>
      <c r="L16" s="29">
        <f>J16+K16</f>
        <v>1133.1049800000001</v>
      </c>
      <c r="M16" s="81">
        <v>0</v>
      </c>
      <c r="N16" s="28">
        <v>0</v>
      </c>
      <c r="O16" s="29">
        <f>M16+N16</f>
        <v>0</v>
      </c>
      <c r="P16" s="28">
        <v>959.6</v>
      </c>
      <c r="Q16" s="29">
        <f>P16+O16</f>
        <v>959.6</v>
      </c>
      <c r="R16" s="29">
        <f>MAX(L16-Q16,0)</f>
        <v>173.50498000000005</v>
      </c>
      <c r="S16" s="24">
        <v>0</v>
      </c>
      <c r="T16" s="24">
        <v>3160.99</v>
      </c>
      <c r="U16" s="28">
        <v>0</v>
      </c>
      <c r="V16" s="28">
        <v>0</v>
      </c>
      <c r="W16" s="28">
        <v>0</v>
      </c>
      <c r="X16" s="81">
        <v>1536.53</v>
      </c>
      <c r="Y16" s="28">
        <v>0</v>
      </c>
      <c r="Z16" s="28">
        <v>0</v>
      </c>
      <c r="AA16" s="28">
        <v>0</v>
      </c>
      <c r="AB16" s="28">
        <v>0</v>
      </c>
      <c r="AC16" s="29">
        <f>X16+Y16</f>
        <v>1536.53</v>
      </c>
      <c r="AD16" s="29">
        <f>AA16+AB16</f>
        <v>0</v>
      </c>
      <c r="AE16" s="29">
        <f>W16+AC16</f>
        <v>1536.53</v>
      </c>
      <c r="AF16" s="29">
        <f>Z16+AD16</f>
        <v>0</v>
      </c>
      <c r="AG16" s="29"/>
    </row>
    <row r="17" spans="2:33" x14ac:dyDescent="0.2">
      <c r="D17" s="7">
        <v>2</v>
      </c>
      <c r="E17" s="7" t="s">
        <v>17</v>
      </c>
      <c r="F17" s="28">
        <v>0</v>
      </c>
      <c r="G17" s="28">
        <v>587.69299999999998</v>
      </c>
      <c r="H17" s="28">
        <v>4303.24</v>
      </c>
      <c r="I17" s="28">
        <v>0</v>
      </c>
      <c r="J17" s="29">
        <f t="shared" ref="J17:J20" si="18">F17+G17+H17+I17</f>
        <v>4890.933</v>
      </c>
      <c r="K17" s="28">
        <v>398.37</v>
      </c>
      <c r="L17" s="29">
        <f>J17+K17</f>
        <v>5289.3029999999999</v>
      </c>
      <c r="M17" s="28">
        <v>3231.37</v>
      </c>
      <c r="N17" s="28">
        <v>0</v>
      </c>
      <c r="O17" s="29">
        <f t="shared" ref="O17:O20" si="19">M17+N17</f>
        <v>3231.37</v>
      </c>
      <c r="P17" s="28">
        <v>1844.24</v>
      </c>
      <c r="Q17" s="29">
        <f>P17+O17</f>
        <v>5075.6099999999997</v>
      </c>
      <c r="R17" s="29">
        <f t="shared" ref="R17:R20" si="20">MAX(L17-Q17,0)</f>
        <v>213.69300000000021</v>
      </c>
      <c r="S17" s="24">
        <v>0</v>
      </c>
      <c r="T17" s="24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9">
        <f>X17+Y17</f>
        <v>0</v>
      </c>
      <c r="AD17" s="29">
        <f>AA17+AB17</f>
        <v>0</v>
      </c>
      <c r="AE17" s="29">
        <f>W17+AC17</f>
        <v>0</v>
      </c>
      <c r="AF17" s="29">
        <f t="shared" ref="AF17:AF20" si="21">Z17+AD17</f>
        <v>0</v>
      </c>
      <c r="AG17" s="29"/>
    </row>
    <row r="18" spans="2:33" x14ac:dyDescent="0.2">
      <c r="D18" s="7">
        <v>3</v>
      </c>
      <c r="E18" s="7" t="s">
        <v>18</v>
      </c>
      <c r="F18" s="28">
        <v>0</v>
      </c>
      <c r="G18" s="28">
        <v>513.84699999999998</v>
      </c>
      <c r="H18" s="28">
        <v>3379.72</v>
      </c>
      <c r="I18" s="28">
        <v>0</v>
      </c>
      <c r="J18" s="29">
        <f t="shared" si="18"/>
        <v>3893.567</v>
      </c>
      <c r="K18" s="28">
        <v>730.99</v>
      </c>
      <c r="L18" s="29">
        <f>J18+K18</f>
        <v>4624.5569999999998</v>
      </c>
      <c r="M18" s="28">
        <v>3184.36</v>
      </c>
      <c r="N18" s="28">
        <v>0</v>
      </c>
      <c r="O18" s="29">
        <f t="shared" si="19"/>
        <v>3184.36</v>
      </c>
      <c r="P18" s="28">
        <v>1253.3399999999999</v>
      </c>
      <c r="Q18" s="29">
        <f>P18+O18</f>
        <v>4437.7</v>
      </c>
      <c r="R18" s="29">
        <f t="shared" si="20"/>
        <v>186.85699999999997</v>
      </c>
      <c r="S18" s="24">
        <v>0</v>
      </c>
      <c r="T18" s="24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9">
        <f>X18+Y18</f>
        <v>0</v>
      </c>
      <c r="AD18" s="29">
        <f>AA18+AB18</f>
        <v>0</v>
      </c>
      <c r="AE18" s="29">
        <f>W18+AC18</f>
        <v>0</v>
      </c>
      <c r="AF18" s="29">
        <f t="shared" si="21"/>
        <v>0</v>
      </c>
      <c r="AG18" s="29"/>
    </row>
    <row r="19" spans="2:33" x14ac:dyDescent="0.2">
      <c r="D19" s="7">
        <v>4</v>
      </c>
      <c r="E19" s="7" t="s">
        <v>19</v>
      </c>
      <c r="F19" s="28">
        <v>0</v>
      </c>
      <c r="G19" s="28">
        <v>713.66200000000003</v>
      </c>
      <c r="H19" s="28">
        <v>4351.47</v>
      </c>
      <c r="I19" s="28">
        <v>0</v>
      </c>
      <c r="J19" s="29">
        <f t="shared" si="18"/>
        <v>5065.1320000000005</v>
      </c>
      <c r="K19" s="28">
        <v>1357.75</v>
      </c>
      <c r="L19" s="29">
        <f>J19+K19</f>
        <v>6422.8820000000005</v>
      </c>
      <c r="M19" s="28">
        <v>3311.51</v>
      </c>
      <c r="N19" s="28">
        <v>0</v>
      </c>
      <c r="O19" s="29">
        <f t="shared" si="19"/>
        <v>3311.51</v>
      </c>
      <c r="P19" s="28">
        <v>2851.85</v>
      </c>
      <c r="Q19" s="29">
        <f>P19+O19</f>
        <v>6163.3600000000006</v>
      </c>
      <c r="R19" s="29">
        <f t="shared" si="20"/>
        <v>259.52199999999993</v>
      </c>
      <c r="S19" s="24">
        <v>0</v>
      </c>
      <c r="T19" s="24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9">
        <f>X19+Y19</f>
        <v>0</v>
      </c>
      <c r="AD19" s="29">
        <f>AA19+AB19</f>
        <v>0</v>
      </c>
      <c r="AE19" s="29">
        <f>W19+AC19</f>
        <v>0</v>
      </c>
      <c r="AF19" s="29">
        <f t="shared" si="21"/>
        <v>0</v>
      </c>
      <c r="AG19" s="29"/>
    </row>
    <row r="20" spans="2:33" x14ac:dyDescent="0.2">
      <c r="D20" s="7">
        <v>5</v>
      </c>
      <c r="E20" s="7" t="s">
        <v>20</v>
      </c>
      <c r="F20" s="28">
        <v>0</v>
      </c>
      <c r="G20" s="28">
        <v>417.25700000000001</v>
      </c>
      <c r="H20" s="28">
        <v>620.69000000000005</v>
      </c>
      <c r="I20" s="28">
        <v>0</v>
      </c>
      <c r="J20" s="29">
        <f t="shared" si="18"/>
        <v>1037.9470000000001</v>
      </c>
      <c r="K20" s="28">
        <v>2717.39</v>
      </c>
      <c r="L20" s="29">
        <f>J20+K20</f>
        <v>3755.337</v>
      </c>
      <c r="M20" s="28">
        <v>3122.9</v>
      </c>
      <c r="N20" s="28">
        <v>0</v>
      </c>
      <c r="O20" s="29">
        <f t="shared" si="19"/>
        <v>3122.9</v>
      </c>
      <c r="P20" s="28">
        <v>480.71</v>
      </c>
      <c r="Q20" s="29">
        <f>P20+O20</f>
        <v>3603.61</v>
      </c>
      <c r="R20" s="29">
        <f t="shared" si="20"/>
        <v>151.72699999999986</v>
      </c>
      <c r="S20" s="24">
        <v>0</v>
      </c>
      <c r="T20" s="24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9">
        <f>X20+Y20</f>
        <v>0</v>
      </c>
      <c r="AD20" s="29">
        <f>AA20+AB20</f>
        <v>0</v>
      </c>
      <c r="AE20" s="29">
        <f>W20+AC20</f>
        <v>0</v>
      </c>
      <c r="AF20" s="29">
        <f t="shared" si="21"/>
        <v>0</v>
      </c>
      <c r="AG20" s="29"/>
    </row>
    <row r="21" spans="2:33" x14ac:dyDescent="0.2">
      <c r="F21" s="25">
        <f>SUM(F16:F20)</f>
        <v>0</v>
      </c>
      <c r="G21" s="25">
        <f t="shared" ref="G21:H21" si="22">SUM(G16:G20)</f>
        <v>2232.4589999999998</v>
      </c>
      <c r="H21" s="25">
        <f t="shared" si="22"/>
        <v>13139.515020000001</v>
      </c>
      <c r="I21" s="25">
        <f>SUM(I16:I20)</f>
        <v>0</v>
      </c>
      <c r="J21" s="25">
        <f>SUM(J16:J20)</f>
        <v>15371.974020000001</v>
      </c>
      <c r="K21" s="25">
        <f t="shared" ref="K21:L21" si="23">SUM(K16:K20)</f>
        <v>5853.2099600000001</v>
      </c>
      <c r="L21" s="25">
        <f t="shared" si="23"/>
        <v>21225.183980000002</v>
      </c>
      <c r="M21" s="25">
        <f>SUM(M16:M20)</f>
        <v>12850.14</v>
      </c>
      <c r="N21" s="25">
        <f>SUM(N16:N20)</f>
        <v>0</v>
      </c>
      <c r="O21" s="25">
        <f>SUM(O16:O20)</f>
        <v>12850.14</v>
      </c>
      <c r="P21" s="25">
        <f>SUM(P16:P20)</f>
        <v>7389.7400000000007</v>
      </c>
      <c r="Q21" s="25">
        <f t="shared" ref="Q21" si="24">SUM(Q16:Q20)</f>
        <v>20239.88</v>
      </c>
      <c r="R21" s="25">
        <f>SUM(R16:R20)</f>
        <v>985.30398000000002</v>
      </c>
      <c r="S21" s="25">
        <f t="shared" ref="S21:Y21" si="25">SUM(S16:S20)</f>
        <v>0</v>
      </c>
      <c r="T21" s="25">
        <f t="shared" si="25"/>
        <v>3160.99</v>
      </c>
      <c r="U21" s="25">
        <f t="shared" si="25"/>
        <v>0</v>
      </c>
      <c r="V21" s="25">
        <f t="shared" si="25"/>
        <v>0</v>
      </c>
      <c r="W21" s="25">
        <f t="shared" si="25"/>
        <v>0</v>
      </c>
      <c r="X21" s="25">
        <f t="shared" si="25"/>
        <v>1536.53</v>
      </c>
      <c r="Y21" s="25">
        <f t="shared" si="25"/>
        <v>0</v>
      </c>
      <c r="Z21" s="25">
        <f>SUM(Z16:Z20)</f>
        <v>0</v>
      </c>
      <c r="AA21" s="25">
        <f>SUM(AA16:AA20)</f>
        <v>0</v>
      </c>
      <c r="AB21" s="25">
        <f t="shared" ref="AB21:AD21" si="26">SUM(AB16:AB20)</f>
        <v>0</v>
      </c>
      <c r="AC21" s="25">
        <f t="shared" si="26"/>
        <v>1536.53</v>
      </c>
      <c r="AD21" s="25">
        <f t="shared" si="26"/>
        <v>0</v>
      </c>
      <c r="AE21" s="25">
        <f>SUM(AE16:AE20)</f>
        <v>1536.53</v>
      </c>
      <c r="AF21" s="50">
        <f>SUM(AF16:AF20)</f>
        <v>0</v>
      </c>
      <c r="AG21" s="50"/>
    </row>
    <row r="23" spans="2:33" x14ac:dyDescent="0.2">
      <c r="B23" s="7">
        <v>2</v>
      </c>
      <c r="C23" s="20" t="s">
        <v>69</v>
      </c>
      <c r="D23" s="7">
        <v>1</v>
      </c>
      <c r="E23" s="82" t="s">
        <v>16</v>
      </c>
      <c r="F23" s="28">
        <v>0</v>
      </c>
      <c r="G23" s="24">
        <v>0</v>
      </c>
      <c r="H23" s="24">
        <v>484.39501999999999</v>
      </c>
      <c r="I23" s="24">
        <v>0</v>
      </c>
      <c r="J23" s="29">
        <f>F23+G23+H23+I23</f>
        <v>484.39501999999999</v>
      </c>
      <c r="K23" s="24">
        <v>648.70996000000002</v>
      </c>
      <c r="L23" s="29">
        <f>J23+K23</f>
        <v>1133.1049800000001</v>
      </c>
      <c r="M23" s="24">
        <v>0</v>
      </c>
      <c r="N23" s="24">
        <v>0</v>
      </c>
      <c r="O23" s="29">
        <f>M23+N23</f>
        <v>0</v>
      </c>
      <c r="P23" s="24">
        <v>959.6</v>
      </c>
      <c r="Q23" s="29">
        <f>P23+O23</f>
        <v>959.6</v>
      </c>
      <c r="R23" s="29">
        <f>MAX(L23-Q23,0)</f>
        <v>173.50498000000005</v>
      </c>
      <c r="S23" s="24">
        <v>0</v>
      </c>
      <c r="T23" s="28">
        <v>0</v>
      </c>
      <c r="U23" s="28">
        <v>0</v>
      </c>
      <c r="V23" s="28">
        <v>0</v>
      </c>
      <c r="W23" s="28">
        <v>0</v>
      </c>
      <c r="X23" s="24">
        <v>1536.53</v>
      </c>
      <c r="Y23" s="28">
        <v>0</v>
      </c>
      <c r="Z23" s="28">
        <v>0</v>
      </c>
      <c r="AA23" s="28">
        <v>0</v>
      </c>
      <c r="AB23" s="28">
        <v>0</v>
      </c>
      <c r="AC23" s="29">
        <f>X23+Y23</f>
        <v>1536.53</v>
      </c>
      <c r="AD23" s="29">
        <f>AA23+AB23</f>
        <v>0</v>
      </c>
      <c r="AE23" s="29">
        <f>W23+AC23</f>
        <v>1536.53</v>
      </c>
      <c r="AF23" s="29">
        <f>Z23+AD23</f>
        <v>0</v>
      </c>
      <c r="AG23" s="29"/>
    </row>
    <row r="24" spans="2:33" x14ac:dyDescent="0.2">
      <c r="D24" s="7">
        <v>2</v>
      </c>
      <c r="E24" s="85" t="s">
        <v>17</v>
      </c>
      <c r="F24" s="28">
        <v>0</v>
      </c>
      <c r="G24" s="24">
        <v>587.69299999999998</v>
      </c>
      <c r="H24" s="24">
        <v>4303.24</v>
      </c>
      <c r="I24" s="24">
        <v>0</v>
      </c>
      <c r="J24" s="29">
        <f t="shared" ref="J24:J27" si="27">F24+G24+H24+I24</f>
        <v>4890.933</v>
      </c>
      <c r="K24" s="24">
        <v>398.37</v>
      </c>
      <c r="L24" s="29">
        <f>J24+K24</f>
        <v>5289.3029999999999</v>
      </c>
      <c r="M24" s="24">
        <v>3231.37</v>
      </c>
      <c r="N24" s="24">
        <v>0</v>
      </c>
      <c r="O24" s="29">
        <f t="shared" ref="O24:O27" si="28">M24+N24</f>
        <v>3231.37</v>
      </c>
      <c r="P24" s="24">
        <v>1844.24</v>
      </c>
      <c r="Q24" s="29">
        <f>P24+O24</f>
        <v>5075.6099999999997</v>
      </c>
      <c r="R24" s="29">
        <f t="shared" ref="R24:R27" si="29">MAX(L24-Q24,0)</f>
        <v>213.69300000000021</v>
      </c>
      <c r="S24" s="24">
        <v>0</v>
      </c>
      <c r="T24" s="83">
        <v>1215.4100000000001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83">
        <v>1215.4100000000001</v>
      </c>
      <c r="AB24" s="28">
        <v>0</v>
      </c>
      <c r="AC24" s="29">
        <f>X24+Y24</f>
        <v>0</v>
      </c>
      <c r="AD24" s="29">
        <f>AA24+AB24</f>
        <v>1215.4100000000001</v>
      </c>
      <c r="AE24" s="29">
        <f>W24+AC24</f>
        <v>0</v>
      </c>
      <c r="AF24" s="29">
        <f t="shared" ref="AF24:AF27" si="30">Z24+AD24</f>
        <v>1215.4100000000001</v>
      </c>
      <c r="AG24" s="29"/>
    </row>
    <row r="25" spans="2:33" x14ac:dyDescent="0.2">
      <c r="D25" s="7">
        <v>3</v>
      </c>
      <c r="E25" s="7" t="s">
        <v>18</v>
      </c>
      <c r="F25" s="28">
        <v>0</v>
      </c>
      <c r="G25" s="24">
        <v>513.84699999999998</v>
      </c>
      <c r="H25" s="24">
        <v>3379.72</v>
      </c>
      <c r="I25" s="24">
        <v>0</v>
      </c>
      <c r="J25" s="29">
        <f t="shared" si="27"/>
        <v>3893.567</v>
      </c>
      <c r="K25" s="24">
        <v>730.99</v>
      </c>
      <c r="L25" s="29">
        <f>J25+K25</f>
        <v>4624.5569999999998</v>
      </c>
      <c r="M25" s="24">
        <v>3184.36</v>
      </c>
      <c r="N25" s="24">
        <v>0</v>
      </c>
      <c r="O25" s="29">
        <f t="shared" si="28"/>
        <v>3184.36</v>
      </c>
      <c r="P25" s="24">
        <v>1253.3399999999999</v>
      </c>
      <c r="Q25" s="29">
        <f>P25+O25</f>
        <v>4437.7</v>
      </c>
      <c r="R25" s="29">
        <f t="shared" si="29"/>
        <v>186.85699999999997</v>
      </c>
      <c r="S25" s="24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9">
        <f>X25+Y25</f>
        <v>0</v>
      </c>
      <c r="AD25" s="29">
        <f>AA25+AB25</f>
        <v>0</v>
      </c>
      <c r="AE25" s="29">
        <f>W25+AC25</f>
        <v>0</v>
      </c>
      <c r="AF25" s="29">
        <f t="shared" si="30"/>
        <v>0</v>
      </c>
      <c r="AG25" s="29"/>
    </row>
    <row r="26" spans="2:33" x14ac:dyDescent="0.2">
      <c r="D26" s="7">
        <v>4</v>
      </c>
      <c r="E26" s="85" t="s">
        <v>19</v>
      </c>
      <c r="F26" s="28">
        <v>0</v>
      </c>
      <c r="G26" s="24">
        <v>713.66200000000003</v>
      </c>
      <c r="H26" s="24">
        <v>4351.47</v>
      </c>
      <c r="I26" s="24">
        <v>0</v>
      </c>
      <c r="J26" s="29">
        <f t="shared" si="27"/>
        <v>5065.1320000000005</v>
      </c>
      <c r="K26" s="24">
        <v>1357.75</v>
      </c>
      <c r="L26" s="29">
        <f>J26+K26</f>
        <v>6422.8820000000005</v>
      </c>
      <c r="M26" s="24">
        <v>3311.51</v>
      </c>
      <c r="N26" s="24">
        <v>0</v>
      </c>
      <c r="O26" s="29">
        <f t="shared" si="28"/>
        <v>3311.51</v>
      </c>
      <c r="P26" s="24">
        <v>2851.85</v>
      </c>
      <c r="Q26" s="29">
        <f>P26+O26</f>
        <v>6163.3600000000006</v>
      </c>
      <c r="R26" s="29">
        <f t="shared" si="29"/>
        <v>259.52199999999993</v>
      </c>
      <c r="S26" s="24">
        <v>0</v>
      </c>
      <c r="T26" s="83">
        <v>94.544200000000004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83">
        <v>94.544200000000004</v>
      </c>
      <c r="AB26" s="28">
        <v>0</v>
      </c>
      <c r="AC26" s="29">
        <f>X26+Y26</f>
        <v>0</v>
      </c>
      <c r="AD26" s="29">
        <f>AA26+AB26</f>
        <v>94.544200000000004</v>
      </c>
      <c r="AE26" s="29">
        <f>W26+AC26</f>
        <v>0</v>
      </c>
      <c r="AF26" s="29">
        <f t="shared" si="30"/>
        <v>94.544200000000004</v>
      </c>
      <c r="AG26" s="29"/>
    </row>
    <row r="27" spans="2:33" x14ac:dyDescent="0.2">
      <c r="D27" s="7">
        <v>5</v>
      </c>
      <c r="E27" s="85" t="s">
        <v>20</v>
      </c>
      <c r="F27" s="28">
        <v>0</v>
      </c>
      <c r="G27" s="24">
        <v>417.25700000000001</v>
      </c>
      <c r="H27" s="24">
        <v>620.69000000000005</v>
      </c>
      <c r="I27" s="24">
        <v>0</v>
      </c>
      <c r="J27" s="29">
        <f t="shared" si="27"/>
        <v>1037.9470000000001</v>
      </c>
      <c r="K27" s="24">
        <v>2717.39</v>
      </c>
      <c r="L27" s="29">
        <f>J27+K27</f>
        <v>3755.337</v>
      </c>
      <c r="M27" s="24">
        <v>3122.9</v>
      </c>
      <c r="N27" s="24">
        <v>0</v>
      </c>
      <c r="O27" s="29">
        <f t="shared" si="28"/>
        <v>3122.9</v>
      </c>
      <c r="P27" s="24">
        <v>480.71</v>
      </c>
      <c r="Q27" s="29">
        <f>P27+O27</f>
        <v>3603.61</v>
      </c>
      <c r="R27" s="29">
        <f t="shared" si="29"/>
        <v>151.72699999999986</v>
      </c>
      <c r="S27" s="24">
        <v>0</v>
      </c>
      <c r="T27" s="83">
        <v>226.57300000000001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83">
        <v>226.57300000000001</v>
      </c>
      <c r="AB27" s="28">
        <v>0</v>
      </c>
      <c r="AC27" s="29">
        <f>X27+Y27</f>
        <v>0</v>
      </c>
      <c r="AD27" s="29">
        <f>AA27+AB27</f>
        <v>226.57300000000001</v>
      </c>
      <c r="AE27" s="29">
        <f>W27+AC27</f>
        <v>0</v>
      </c>
      <c r="AF27" s="29">
        <f t="shared" si="30"/>
        <v>226.57300000000001</v>
      </c>
      <c r="AG27" s="29"/>
    </row>
    <row r="28" spans="2:33" x14ac:dyDescent="0.2">
      <c r="F28" s="25">
        <f>SUM(F23:F27)</f>
        <v>0</v>
      </c>
      <c r="G28" s="25">
        <f t="shared" ref="G28:H28" si="31">SUM(G23:G27)</f>
        <v>2232.4589999999998</v>
      </c>
      <c r="H28" s="25">
        <f t="shared" si="31"/>
        <v>13139.515020000001</v>
      </c>
      <c r="I28" s="25">
        <f>SUM(I23:I27)</f>
        <v>0</v>
      </c>
      <c r="J28" s="25">
        <f>SUM(J23:J27)</f>
        <v>15371.974020000001</v>
      </c>
      <c r="K28" s="25">
        <f t="shared" ref="K28:L28" si="32">SUM(K23:K27)</f>
        <v>5853.2099600000001</v>
      </c>
      <c r="L28" s="25">
        <f t="shared" si="32"/>
        <v>21225.183980000002</v>
      </c>
      <c r="M28" s="25">
        <f>SUM(M23:M27)</f>
        <v>12850.14</v>
      </c>
      <c r="N28" s="25">
        <f>SUM(N23:N27)</f>
        <v>0</v>
      </c>
      <c r="O28" s="25">
        <f>SUM(O23:O27)</f>
        <v>12850.14</v>
      </c>
      <c r="P28" s="25">
        <f>SUM(P23:P27)</f>
        <v>7389.7400000000007</v>
      </c>
      <c r="Q28" s="25">
        <f t="shared" ref="Q28" si="33">SUM(Q23:Q27)</f>
        <v>20239.88</v>
      </c>
      <c r="R28" s="25">
        <f>SUM(R23:R27)</f>
        <v>985.30398000000002</v>
      </c>
      <c r="S28" s="25">
        <f t="shared" ref="S28:Y28" si="34">SUM(S23:S27)</f>
        <v>0</v>
      </c>
      <c r="T28" s="25">
        <f t="shared" si="34"/>
        <v>1536.5272000000002</v>
      </c>
      <c r="U28" s="25">
        <f t="shared" si="34"/>
        <v>0</v>
      </c>
      <c r="V28" s="25">
        <f t="shared" si="34"/>
        <v>0</v>
      </c>
      <c r="W28" s="25">
        <f t="shared" si="34"/>
        <v>0</v>
      </c>
      <c r="X28" s="25">
        <f t="shared" si="34"/>
        <v>1536.53</v>
      </c>
      <c r="Y28" s="25">
        <f t="shared" si="34"/>
        <v>0</v>
      </c>
      <c r="Z28" s="25">
        <f>SUM(Z23:Z27)</f>
        <v>0</v>
      </c>
      <c r="AA28" s="25">
        <f>SUM(AA23:AA27)</f>
        <v>1536.5272000000002</v>
      </c>
      <c r="AB28" s="25">
        <f t="shared" ref="AB28:AD28" si="35">SUM(AB23:AB27)</f>
        <v>0</v>
      </c>
      <c r="AC28" s="25">
        <f t="shared" si="35"/>
        <v>1536.53</v>
      </c>
      <c r="AD28" s="25">
        <f t="shared" si="35"/>
        <v>1536.5272000000002</v>
      </c>
      <c r="AE28" s="25">
        <f>SUM(AE23:AE27)</f>
        <v>1536.53</v>
      </c>
      <c r="AF28" s="50">
        <f>SUM(AF23:AF27)</f>
        <v>1536.5272000000002</v>
      </c>
      <c r="AG28" s="50"/>
    </row>
    <row r="30" spans="2:33" x14ac:dyDescent="0.2">
      <c r="B30" s="7">
        <v>2</v>
      </c>
      <c r="C30" s="20" t="s">
        <v>66</v>
      </c>
      <c r="D30" s="7">
        <v>1</v>
      </c>
      <c r="E30" s="82" t="s">
        <v>16</v>
      </c>
      <c r="F30" s="28">
        <v>0</v>
      </c>
      <c r="G30" s="24">
        <v>0</v>
      </c>
      <c r="H30" s="24">
        <v>484.39501999999999</v>
      </c>
      <c r="I30" s="24">
        <v>0</v>
      </c>
      <c r="J30" s="29">
        <f>F30+G30+H30+I30</f>
        <v>484.39501999999999</v>
      </c>
      <c r="K30" s="24">
        <v>648.70996000000002</v>
      </c>
      <c r="L30" s="29">
        <f>J30+K30</f>
        <v>1133.1049800000001</v>
      </c>
      <c r="M30" s="24">
        <v>0</v>
      </c>
      <c r="N30" s="24">
        <v>0</v>
      </c>
      <c r="O30" s="29">
        <f>M30+N30</f>
        <v>0</v>
      </c>
      <c r="P30" s="24">
        <v>959.6</v>
      </c>
      <c r="Q30" s="29">
        <f>P30+O30</f>
        <v>959.6</v>
      </c>
      <c r="R30" s="29">
        <f>MAX(L30-Q30,0)</f>
        <v>173.50498000000005</v>
      </c>
      <c r="S30" s="24">
        <v>0</v>
      </c>
      <c r="T30" s="24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9">
        <f>X30+Y30</f>
        <v>0</v>
      </c>
      <c r="AD30" s="29">
        <f>AA30+AB30</f>
        <v>0</v>
      </c>
      <c r="AE30" s="29">
        <f>W30+AC30</f>
        <v>0</v>
      </c>
      <c r="AF30" s="29">
        <f>Z30+AD30</f>
        <v>0</v>
      </c>
      <c r="AG30" s="29"/>
    </row>
    <row r="31" spans="2:33" x14ac:dyDescent="0.2">
      <c r="D31" s="7">
        <v>2</v>
      </c>
      <c r="E31" s="82" t="s">
        <v>17</v>
      </c>
      <c r="F31" s="28">
        <v>0</v>
      </c>
      <c r="G31" s="84">
        <v>0</v>
      </c>
      <c r="H31" s="84">
        <v>3728.7073</v>
      </c>
      <c r="I31" s="24">
        <v>0</v>
      </c>
      <c r="J31" s="29">
        <f t="shared" ref="J31:J34" si="36">F31+G31+H31+I31</f>
        <v>3728.7073</v>
      </c>
      <c r="K31" s="84">
        <v>345.18295000000001</v>
      </c>
      <c r="L31" s="29">
        <f>J31+K31</f>
        <v>4073.8902499999999</v>
      </c>
      <c r="M31" s="24">
        <v>3231.37</v>
      </c>
      <c r="N31" s="24">
        <v>0</v>
      </c>
      <c r="O31" s="29">
        <f t="shared" ref="O31:O34" si="37">M31+N31</f>
        <v>3231.37</v>
      </c>
      <c r="P31" s="84">
        <v>628.827</v>
      </c>
      <c r="Q31" s="29">
        <f>P31+O31</f>
        <v>3860.1970000000001</v>
      </c>
      <c r="R31" s="29">
        <f t="shared" ref="R31:R34" si="38">MAX(L31-Q31,0)</f>
        <v>213.69324999999981</v>
      </c>
      <c r="S31" s="24">
        <v>0</v>
      </c>
      <c r="T31" s="24">
        <v>1215.4100000000001</v>
      </c>
      <c r="U31" s="84">
        <v>574.53296</v>
      </c>
      <c r="V31" s="28">
        <v>0</v>
      </c>
      <c r="W31" s="28">
        <v>0</v>
      </c>
      <c r="X31" s="84">
        <v>53.187041999999998</v>
      </c>
      <c r="Y31" s="28">
        <v>0</v>
      </c>
      <c r="Z31" s="28">
        <v>0</v>
      </c>
      <c r="AA31" s="28">
        <v>0</v>
      </c>
      <c r="AB31" s="28">
        <v>0</v>
      </c>
      <c r="AC31" s="29">
        <f>X31+Y31</f>
        <v>53.187041999999998</v>
      </c>
      <c r="AD31" s="29">
        <f>AA31+AB31</f>
        <v>0</v>
      </c>
      <c r="AE31" s="29">
        <f>W31+AC31</f>
        <v>53.187041999999998</v>
      </c>
      <c r="AF31" s="29">
        <f t="shared" ref="AF31:AF34" si="39">Z31+AD31</f>
        <v>0</v>
      </c>
      <c r="AG31" s="29"/>
    </row>
    <row r="32" spans="2:33" x14ac:dyDescent="0.2">
      <c r="D32" s="7">
        <v>3</v>
      </c>
      <c r="E32" s="7" t="s">
        <v>18</v>
      </c>
      <c r="F32" s="28">
        <v>0</v>
      </c>
      <c r="G32" s="24">
        <v>513.84699999999998</v>
      </c>
      <c r="H32" s="24">
        <v>3379.72</v>
      </c>
      <c r="I32" s="24">
        <v>0</v>
      </c>
      <c r="J32" s="29">
        <f t="shared" si="36"/>
        <v>3893.567</v>
      </c>
      <c r="K32" s="24">
        <v>730.99</v>
      </c>
      <c r="L32" s="29">
        <f>J32+K32</f>
        <v>4624.5569999999998</v>
      </c>
      <c r="M32" s="24">
        <v>3184.36</v>
      </c>
      <c r="N32" s="24">
        <v>0</v>
      </c>
      <c r="O32" s="29">
        <f t="shared" si="37"/>
        <v>3184.36</v>
      </c>
      <c r="P32" s="24">
        <v>1253.3399999999999</v>
      </c>
      <c r="Q32" s="29">
        <f>P32+O32</f>
        <v>4437.7</v>
      </c>
      <c r="R32" s="29">
        <f t="shared" si="38"/>
        <v>186.85699999999997</v>
      </c>
      <c r="S32" s="24">
        <v>0</v>
      </c>
      <c r="T32" s="24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9">
        <f>X32+Y32</f>
        <v>0</v>
      </c>
      <c r="AD32" s="29">
        <f>AA32+AB32</f>
        <v>0</v>
      </c>
      <c r="AE32" s="29">
        <f>W32+AC32</f>
        <v>0</v>
      </c>
      <c r="AF32" s="29">
        <f t="shared" si="39"/>
        <v>0</v>
      </c>
      <c r="AG32" s="29"/>
    </row>
    <row r="33" spans="2:33" x14ac:dyDescent="0.2">
      <c r="D33" s="7">
        <v>4</v>
      </c>
      <c r="E33" s="85" t="s">
        <v>19</v>
      </c>
      <c r="F33" s="28">
        <v>0</v>
      </c>
      <c r="G33" s="83">
        <v>619.11774000000003</v>
      </c>
      <c r="H33" s="24">
        <v>4351.47</v>
      </c>
      <c r="I33" s="24">
        <v>0</v>
      </c>
      <c r="J33" s="29">
        <f t="shared" si="36"/>
        <v>4970.5877399999999</v>
      </c>
      <c r="K33" s="24">
        <v>1357.75</v>
      </c>
      <c r="L33" s="29">
        <f>J33+K33</f>
        <v>6328.3377399999999</v>
      </c>
      <c r="M33" s="24">
        <v>3311.51</v>
      </c>
      <c r="N33" s="24">
        <v>0</v>
      </c>
      <c r="O33" s="29">
        <f t="shared" si="37"/>
        <v>3311.51</v>
      </c>
      <c r="P33" s="83">
        <v>2757.3056999999999</v>
      </c>
      <c r="Q33" s="29">
        <f>P33+O33</f>
        <v>6068.8157000000001</v>
      </c>
      <c r="R33" s="29">
        <f t="shared" si="38"/>
        <v>259.52203999999983</v>
      </c>
      <c r="S33" s="24">
        <v>0</v>
      </c>
      <c r="T33" s="24">
        <v>94.544200000000004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9">
        <f>X33+Y33</f>
        <v>0</v>
      </c>
      <c r="AD33" s="29">
        <f>AA33+AB33</f>
        <v>0</v>
      </c>
      <c r="AE33" s="29">
        <f>W33+AC33</f>
        <v>0</v>
      </c>
      <c r="AF33" s="29">
        <f t="shared" si="39"/>
        <v>0</v>
      </c>
      <c r="AG33" s="29"/>
    </row>
    <row r="34" spans="2:33" x14ac:dyDescent="0.2">
      <c r="D34" s="7">
        <v>5</v>
      </c>
      <c r="E34" s="85" t="s">
        <v>20</v>
      </c>
      <c r="F34" s="28">
        <v>0</v>
      </c>
      <c r="G34" s="83">
        <v>190.68411</v>
      </c>
      <c r="H34" s="24">
        <v>620.69000000000005</v>
      </c>
      <c r="I34" s="24">
        <v>0</v>
      </c>
      <c r="J34" s="29">
        <f t="shared" si="36"/>
        <v>811.37411000000009</v>
      </c>
      <c r="K34" s="24">
        <v>2717.39</v>
      </c>
      <c r="L34" s="29">
        <f>J34+K34</f>
        <v>3528.7641100000001</v>
      </c>
      <c r="M34" s="24">
        <v>3122.9</v>
      </c>
      <c r="N34" s="24">
        <v>0</v>
      </c>
      <c r="O34" s="29">
        <f t="shared" si="37"/>
        <v>3122.9</v>
      </c>
      <c r="P34" s="83">
        <v>254.13714999999999</v>
      </c>
      <c r="Q34" s="29">
        <f>P34+O34</f>
        <v>3377.0371500000001</v>
      </c>
      <c r="R34" s="29">
        <f t="shared" si="38"/>
        <v>151.72695999999996</v>
      </c>
      <c r="S34" s="24">
        <v>0</v>
      </c>
      <c r="T34" s="24">
        <v>226.57300000000001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9">
        <f>X34+Y34</f>
        <v>0</v>
      </c>
      <c r="AD34" s="29">
        <f>AA34+AB34</f>
        <v>0</v>
      </c>
      <c r="AE34" s="29">
        <f>W34+AC34</f>
        <v>0</v>
      </c>
      <c r="AF34" s="29">
        <f t="shared" si="39"/>
        <v>0</v>
      </c>
      <c r="AG34" s="29"/>
    </row>
    <row r="35" spans="2:33" x14ac:dyDescent="0.2">
      <c r="F35" s="25">
        <f>SUM(F30:F34)</f>
        <v>0</v>
      </c>
      <c r="G35" s="25">
        <f t="shared" ref="G35:H35" si="40">SUM(G30:G34)</f>
        <v>1323.6488499999998</v>
      </c>
      <c r="H35" s="25">
        <f t="shared" si="40"/>
        <v>12564.982320000001</v>
      </c>
      <c r="I35" s="25">
        <f>SUM(I30:I34)</f>
        <v>0</v>
      </c>
      <c r="J35" s="25">
        <f>SUM(J30:J34)</f>
        <v>13888.631170000001</v>
      </c>
      <c r="K35" s="25">
        <f t="shared" ref="K35:L35" si="41">SUM(K30:K34)</f>
        <v>5800.0229099999997</v>
      </c>
      <c r="L35" s="25">
        <f t="shared" si="41"/>
        <v>19688.65408</v>
      </c>
      <c r="M35" s="25">
        <f>SUM(M30:M34)</f>
        <v>12850.14</v>
      </c>
      <c r="N35" s="25">
        <f>SUM(N30:N34)</f>
        <v>0</v>
      </c>
      <c r="O35" s="25">
        <f>SUM(O30:O34)</f>
        <v>12850.14</v>
      </c>
      <c r="P35" s="25">
        <f>SUM(P30:P34)</f>
        <v>5853.2098499999993</v>
      </c>
      <c r="Q35" s="25">
        <f t="shared" ref="Q35" si="42">SUM(Q30:Q34)</f>
        <v>18703.349849999999</v>
      </c>
      <c r="R35" s="25">
        <f>SUM(R30:R34)</f>
        <v>985.30422999999962</v>
      </c>
      <c r="S35" s="25">
        <f t="shared" ref="S35:Y35" si="43">SUM(S30:S34)</f>
        <v>0</v>
      </c>
      <c r="T35" s="25">
        <f t="shared" si="43"/>
        <v>1536.5272000000002</v>
      </c>
      <c r="U35" s="25">
        <f t="shared" si="43"/>
        <v>574.53296</v>
      </c>
      <c r="V35" s="25">
        <f t="shared" si="43"/>
        <v>0</v>
      </c>
      <c r="W35" s="25">
        <f t="shared" si="43"/>
        <v>0</v>
      </c>
      <c r="X35" s="25">
        <f t="shared" si="43"/>
        <v>53.187041999999998</v>
      </c>
      <c r="Y35" s="25">
        <f t="shared" si="43"/>
        <v>0</v>
      </c>
      <c r="Z35" s="25">
        <f>SUM(Z30:Z34)</f>
        <v>0</v>
      </c>
      <c r="AA35" s="25">
        <f>SUM(AA30:AA34)</f>
        <v>0</v>
      </c>
      <c r="AB35" s="25">
        <f t="shared" ref="AB35:AD35" si="44">SUM(AB30:AB34)</f>
        <v>0</v>
      </c>
      <c r="AC35" s="25">
        <f t="shared" si="44"/>
        <v>53.187041999999998</v>
      </c>
      <c r="AD35" s="25">
        <f t="shared" si="44"/>
        <v>0</v>
      </c>
      <c r="AE35" s="25">
        <f>SUM(AE30:AE34)</f>
        <v>53.187041999999998</v>
      </c>
      <c r="AF35" s="50">
        <f>SUM(AF30:AF34)</f>
        <v>0</v>
      </c>
      <c r="AG35" s="50"/>
    </row>
    <row r="37" spans="2:33" x14ac:dyDescent="0.2">
      <c r="B37" s="7">
        <v>3</v>
      </c>
      <c r="C37" s="20" t="s">
        <v>69</v>
      </c>
      <c r="D37" s="7">
        <v>1</v>
      </c>
      <c r="E37" s="82" t="s">
        <v>16</v>
      </c>
      <c r="F37" s="24">
        <v>0</v>
      </c>
      <c r="G37" s="24">
        <v>0</v>
      </c>
      <c r="H37" s="24">
        <v>484.39501999999999</v>
      </c>
      <c r="I37" s="24">
        <v>0</v>
      </c>
      <c r="J37" s="29">
        <f>F37+G37+H37+I37</f>
        <v>484.39501999999999</v>
      </c>
      <c r="K37" s="24">
        <v>648.70996000000002</v>
      </c>
      <c r="L37" s="29">
        <f>J37+K37</f>
        <v>1133.1049800000001</v>
      </c>
      <c r="M37" s="24">
        <v>0</v>
      </c>
      <c r="N37" s="24">
        <v>0</v>
      </c>
      <c r="O37" s="29">
        <f>M37+N37</f>
        <v>0</v>
      </c>
      <c r="P37" s="24">
        <v>959.6</v>
      </c>
      <c r="Q37" s="29">
        <f>P37+O37</f>
        <v>959.6</v>
      </c>
      <c r="R37" s="29">
        <f>MAX(L37-Q37,0)</f>
        <v>173.50498000000005</v>
      </c>
      <c r="S37" s="24">
        <v>0</v>
      </c>
      <c r="T37" s="83">
        <v>14.599500000000001</v>
      </c>
      <c r="U37" s="24">
        <v>0</v>
      </c>
      <c r="V37" s="24">
        <v>0</v>
      </c>
      <c r="W37" s="24">
        <v>0</v>
      </c>
      <c r="X37" s="24">
        <v>0</v>
      </c>
      <c r="Y37" s="28">
        <v>0</v>
      </c>
      <c r="Z37" s="83">
        <v>14.599500000000001</v>
      </c>
      <c r="AA37" s="28">
        <v>0</v>
      </c>
      <c r="AB37" s="28">
        <v>0</v>
      </c>
      <c r="AC37" s="29">
        <f>X37+Y37</f>
        <v>0</v>
      </c>
      <c r="AD37" s="29">
        <f>AA37+AB37</f>
        <v>0</v>
      </c>
      <c r="AE37" s="29">
        <f>W37+AC37</f>
        <v>0</v>
      </c>
      <c r="AF37" s="29">
        <f>Z37+AD37</f>
        <v>14.599500000000001</v>
      </c>
      <c r="AG37" s="29"/>
    </row>
    <row r="38" spans="2:33" x14ac:dyDescent="0.2">
      <c r="D38" s="7">
        <v>2</v>
      </c>
      <c r="E38" s="82" t="s">
        <v>17</v>
      </c>
      <c r="F38" s="24">
        <v>0</v>
      </c>
      <c r="G38" s="24">
        <v>0</v>
      </c>
      <c r="H38" s="24">
        <v>3728.7073</v>
      </c>
      <c r="I38" s="24">
        <v>0</v>
      </c>
      <c r="J38" s="29">
        <f t="shared" ref="J38:J41" si="45">F38+G38+H38+I38</f>
        <v>3728.7073</v>
      </c>
      <c r="K38" s="24">
        <v>345.18295000000001</v>
      </c>
      <c r="L38" s="29">
        <f>J38+K38</f>
        <v>4073.8902499999999</v>
      </c>
      <c r="M38" s="24">
        <v>3231.37</v>
      </c>
      <c r="N38" s="24">
        <v>0</v>
      </c>
      <c r="O38" s="29">
        <f t="shared" ref="O38:O41" si="46">M38+N38</f>
        <v>3231.37</v>
      </c>
      <c r="P38" s="24">
        <v>628.827</v>
      </c>
      <c r="Q38" s="29">
        <f>P38+O38</f>
        <v>3860.1970000000001</v>
      </c>
      <c r="R38" s="29">
        <f t="shared" ref="R38:R41" si="47">MAX(L38-Q38,0)</f>
        <v>213.69324999999981</v>
      </c>
      <c r="S38" s="24">
        <v>0</v>
      </c>
      <c r="T38" s="24">
        <v>0</v>
      </c>
      <c r="U38" s="24">
        <v>574.53296</v>
      </c>
      <c r="V38" s="24">
        <v>0</v>
      </c>
      <c r="W38" s="24">
        <v>0</v>
      </c>
      <c r="X38" s="24">
        <v>53.187041999999998</v>
      </c>
      <c r="Y38" s="28">
        <v>0</v>
      </c>
      <c r="Z38" s="24">
        <v>0</v>
      </c>
      <c r="AA38" s="28">
        <v>0</v>
      </c>
      <c r="AB38" s="28">
        <v>0</v>
      </c>
      <c r="AC38" s="29">
        <f>X38+Y38</f>
        <v>53.187041999999998</v>
      </c>
      <c r="AD38" s="29">
        <f>AA38+AB38</f>
        <v>0</v>
      </c>
      <c r="AE38" s="29">
        <f>W38+AC38</f>
        <v>53.187041999999998</v>
      </c>
      <c r="AF38" s="29">
        <f t="shared" ref="AF38:AF41" si="48">Z38+AD38</f>
        <v>0</v>
      </c>
      <c r="AG38" s="29"/>
    </row>
    <row r="39" spans="2:33" x14ac:dyDescent="0.2">
      <c r="D39" s="7">
        <v>3</v>
      </c>
      <c r="E39" s="85" t="s">
        <v>18</v>
      </c>
      <c r="F39" s="24">
        <v>0</v>
      </c>
      <c r="G39" s="24">
        <v>513.84699999999998</v>
      </c>
      <c r="H39" s="24">
        <v>3379.72</v>
      </c>
      <c r="I39" s="24">
        <v>0</v>
      </c>
      <c r="J39" s="29">
        <f t="shared" si="45"/>
        <v>3893.567</v>
      </c>
      <c r="K39" s="24">
        <v>730.99</v>
      </c>
      <c r="L39" s="29">
        <f>J39+K39</f>
        <v>4624.5569999999998</v>
      </c>
      <c r="M39" s="24">
        <v>3184.36</v>
      </c>
      <c r="N39" s="24">
        <v>0</v>
      </c>
      <c r="O39" s="29">
        <f t="shared" si="46"/>
        <v>3184.36</v>
      </c>
      <c r="P39" s="24">
        <v>1253.3399999999999</v>
      </c>
      <c r="Q39" s="29">
        <f>P39+O39</f>
        <v>4437.7</v>
      </c>
      <c r="R39" s="29">
        <f t="shared" si="47"/>
        <v>186.85699999999997</v>
      </c>
      <c r="S39" s="24">
        <v>0</v>
      </c>
      <c r="T39" s="83">
        <v>38.587499999999999</v>
      </c>
      <c r="U39" s="24">
        <v>0</v>
      </c>
      <c r="V39" s="24">
        <v>0</v>
      </c>
      <c r="W39" s="24">
        <v>0</v>
      </c>
      <c r="X39" s="24">
        <v>0</v>
      </c>
      <c r="Y39" s="28">
        <v>0</v>
      </c>
      <c r="Z39" s="83">
        <v>38.587499999999999</v>
      </c>
      <c r="AA39" s="28">
        <v>0</v>
      </c>
      <c r="AB39" s="28">
        <v>0</v>
      </c>
      <c r="AC39" s="29">
        <f>X39+Y39</f>
        <v>0</v>
      </c>
      <c r="AD39" s="29">
        <f>AA39+AB39</f>
        <v>0</v>
      </c>
      <c r="AE39" s="29">
        <f>W39+AC39</f>
        <v>0</v>
      </c>
      <c r="AF39" s="29">
        <f t="shared" si="48"/>
        <v>38.587499999999999</v>
      </c>
      <c r="AG39" s="29"/>
    </row>
    <row r="40" spans="2:33" x14ac:dyDescent="0.2">
      <c r="D40" s="7">
        <v>4</v>
      </c>
      <c r="E40" s="7" t="s">
        <v>19</v>
      </c>
      <c r="F40" s="24">
        <v>0</v>
      </c>
      <c r="G40" s="24">
        <v>619.11774000000003</v>
      </c>
      <c r="H40" s="24">
        <v>4351.47</v>
      </c>
      <c r="I40" s="24">
        <v>0</v>
      </c>
      <c r="J40" s="29">
        <f t="shared" si="45"/>
        <v>4970.5877399999999</v>
      </c>
      <c r="K40" s="24">
        <v>1357.75</v>
      </c>
      <c r="L40" s="29">
        <f>J40+K40</f>
        <v>6328.3377399999999</v>
      </c>
      <c r="M40" s="24">
        <v>3311.51</v>
      </c>
      <c r="N40" s="24">
        <v>0</v>
      </c>
      <c r="O40" s="29">
        <f t="shared" si="46"/>
        <v>3311.51</v>
      </c>
      <c r="P40" s="24">
        <v>2757.3056999999999</v>
      </c>
      <c r="Q40" s="29">
        <f>P40+O40</f>
        <v>6068.8157000000001</v>
      </c>
      <c r="R40" s="29">
        <f t="shared" si="47"/>
        <v>259.52203999999983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8">
        <v>0</v>
      </c>
      <c r="Z40" s="24">
        <v>0</v>
      </c>
      <c r="AA40" s="28">
        <v>0</v>
      </c>
      <c r="AB40" s="28">
        <v>0</v>
      </c>
      <c r="AC40" s="29">
        <f>X40+Y40</f>
        <v>0</v>
      </c>
      <c r="AD40" s="29">
        <f>AA40+AB40</f>
        <v>0</v>
      </c>
      <c r="AE40" s="29">
        <f>W40+AC40</f>
        <v>0</v>
      </c>
      <c r="AF40" s="29">
        <f t="shared" si="48"/>
        <v>0</v>
      </c>
      <c r="AG40" s="29"/>
    </row>
    <row r="41" spans="2:33" x14ac:dyDescent="0.2">
      <c r="D41" s="7">
        <v>5</v>
      </c>
      <c r="E41" s="7" t="s">
        <v>20</v>
      </c>
      <c r="F41" s="24">
        <v>0</v>
      </c>
      <c r="G41" s="24">
        <v>190.68411</v>
      </c>
      <c r="H41" s="24">
        <v>620.69000000000005</v>
      </c>
      <c r="I41" s="24">
        <v>0</v>
      </c>
      <c r="J41" s="29">
        <f t="shared" si="45"/>
        <v>811.37411000000009</v>
      </c>
      <c r="K41" s="24">
        <v>2717.39</v>
      </c>
      <c r="L41" s="29">
        <f>J41+K41</f>
        <v>3528.7641100000001</v>
      </c>
      <c r="M41" s="24">
        <v>3122.9</v>
      </c>
      <c r="N41" s="24">
        <v>0</v>
      </c>
      <c r="O41" s="29">
        <f t="shared" si="46"/>
        <v>3122.9</v>
      </c>
      <c r="P41" s="24">
        <v>254.13714999999999</v>
      </c>
      <c r="Q41" s="29">
        <f>P41+O41</f>
        <v>3377.0371500000001</v>
      </c>
      <c r="R41" s="29">
        <f t="shared" si="47"/>
        <v>151.72695999999996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8">
        <v>0</v>
      </c>
      <c r="Z41" s="24">
        <v>0</v>
      </c>
      <c r="AA41" s="28">
        <v>0</v>
      </c>
      <c r="AB41" s="28">
        <v>0</v>
      </c>
      <c r="AC41" s="29">
        <f>X41+Y41</f>
        <v>0</v>
      </c>
      <c r="AD41" s="29">
        <f>AA41+AB41</f>
        <v>0</v>
      </c>
      <c r="AE41" s="29">
        <f>W41+AC41</f>
        <v>0</v>
      </c>
      <c r="AF41" s="29">
        <f t="shared" si="48"/>
        <v>0</v>
      </c>
      <c r="AG41" s="29"/>
    </row>
    <row r="42" spans="2:33" x14ac:dyDescent="0.2">
      <c r="F42" s="25">
        <f>SUM(F37:F41)</f>
        <v>0</v>
      </c>
      <c r="G42" s="25">
        <f t="shared" ref="G42:H42" si="49">SUM(G37:G41)</f>
        <v>1323.6488499999998</v>
      </c>
      <c r="H42" s="25">
        <f t="shared" si="49"/>
        <v>12564.982320000001</v>
      </c>
      <c r="I42" s="25">
        <f>SUM(I37:I41)</f>
        <v>0</v>
      </c>
      <c r="J42" s="25">
        <f>SUM(J37:J41)</f>
        <v>13888.631170000001</v>
      </c>
      <c r="K42" s="25">
        <f t="shared" ref="K42:L42" si="50">SUM(K37:K41)</f>
        <v>5800.0229099999997</v>
      </c>
      <c r="L42" s="25">
        <f t="shared" si="50"/>
        <v>19688.65408</v>
      </c>
      <c r="M42" s="25">
        <f>SUM(M37:M41)</f>
        <v>12850.14</v>
      </c>
      <c r="N42" s="25">
        <f>SUM(N37:N41)</f>
        <v>0</v>
      </c>
      <c r="O42" s="25">
        <f>SUM(O37:O41)</f>
        <v>12850.14</v>
      </c>
      <c r="P42" s="25">
        <f>SUM(P37:P41)</f>
        <v>5853.2098499999993</v>
      </c>
      <c r="Q42" s="25">
        <f t="shared" ref="Q42" si="51">SUM(Q37:Q41)</f>
        <v>18703.349849999999</v>
      </c>
      <c r="R42" s="25">
        <f>SUM(R37:R41)</f>
        <v>985.30422999999962</v>
      </c>
      <c r="S42" s="25">
        <f t="shared" ref="S42:Y42" si="52">SUM(S37:S41)</f>
        <v>0</v>
      </c>
      <c r="T42" s="25">
        <f t="shared" si="52"/>
        <v>53.186999999999998</v>
      </c>
      <c r="U42" s="25">
        <f t="shared" si="52"/>
        <v>574.53296</v>
      </c>
      <c r="V42" s="25">
        <f t="shared" si="52"/>
        <v>0</v>
      </c>
      <c r="W42" s="25">
        <f t="shared" si="52"/>
        <v>0</v>
      </c>
      <c r="X42" s="25">
        <f t="shared" si="52"/>
        <v>53.187041999999998</v>
      </c>
      <c r="Y42" s="25">
        <f t="shared" si="52"/>
        <v>0</v>
      </c>
      <c r="Z42" s="25">
        <f>SUM(Z37:Z41)</f>
        <v>53.186999999999998</v>
      </c>
      <c r="AA42" s="25">
        <f>SUM(AA37:AA41)</f>
        <v>0</v>
      </c>
      <c r="AB42" s="25">
        <f t="shared" ref="AB42:AD42" si="53">SUM(AB37:AB41)</f>
        <v>0</v>
      </c>
      <c r="AC42" s="25">
        <f t="shared" si="53"/>
        <v>53.187041999999998</v>
      </c>
      <c r="AD42" s="25">
        <f t="shared" si="53"/>
        <v>0</v>
      </c>
      <c r="AE42" s="25">
        <f>SUM(AE37:AE41)</f>
        <v>53.187041999999998</v>
      </c>
      <c r="AF42" s="50">
        <f>SUM(AF37:AF41)</f>
        <v>53.186999999999998</v>
      </c>
      <c r="AG42" s="50"/>
    </row>
    <row r="44" spans="2:33" x14ac:dyDescent="0.2">
      <c r="B44" s="7">
        <v>3</v>
      </c>
      <c r="C44" s="20" t="s">
        <v>66</v>
      </c>
      <c r="D44" s="7">
        <v>1</v>
      </c>
      <c r="E44" s="82" t="s">
        <v>16</v>
      </c>
      <c r="F44" s="24">
        <v>0</v>
      </c>
      <c r="G44" s="24">
        <v>0</v>
      </c>
      <c r="H44" s="83">
        <v>478.15384</v>
      </c>
      <c r="I44" s="24">
        <v>0</v>
      </c>
      <c r="J44" s="29">
        <f>F44+G44+H44+I44</f>
        <v>478.15384</v>
      </c>
      <c r="K44" s="88">
        <v>640.35159999999996</v>
      </c>
      <c r="L44" s="29">
        <f>J44+K44</f>
        <v>1118.5054399999999</v>
      </c>
      <c r="M44" s="24">
        <v>0</v>
      </c>
      <c r="N44" s="24">
        <v>0</v>
      </c>
      <c r="O44" s="29">
        <f>M44+N44</f>
        <v>0</v>
      </c>
      <c r="P44" s="83">
        <v>945.00049999999999</v>
      </c>
      <c r="Q44" s="29">
        <f>P44+O44</f>
        <v>945.00049999999999</v>
      </c>
      <c r="R44" s="29">
        <f>MAX(L44-Q44,0)</f>
        <v>173.50493999999992</v>
      </c>
      <c r="S44" s="24">
        <v>0</v>
      </c>
      <c r="T44" s="24">
        <v>14.599500000000001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9">
        <f>X44+Y44</f>
        <v>0</v>
      </c>
      <c r="AD44" s="29">
        <f>AA44+AB44</f>
        <v>0</v>
      </c>
      <c r="AE44" s="29">
        <f>W44+AC44</f>
        <v>0</v>
      </c>
      <c r="AF44" s="29">
        <f>Z44+AD44</f>
        <v>0</v>
      </c>
      <c r="AG44" s="29"/>
    </row>
    <row r="45" spans="2:33" x14ac:dyDescent="0.2">
      <c r="D45" s="7">
        <v>2</v>
      </c>
      <c r="E45" s="82" t="s">
        <v>17</v>
      </c>
      <c r="F45" s="24">
        <v>0</v>
      </c>
      <c r="G45" s="24">
        <v>0</v>
      </c>
      <c r="H45" s="24">
        <v>3728.7073</v>
      </c>
      <c r="I45" s="24">
        <v>0</v>
      </c>
      <c r="J45" s="29">
        <f t="shared" ref="J45:J48" si="54">F45+G45+H45+I45</f>
        <v>3728.7073</v>
      </c>
      <c r="K45" s="24">
        <v>345.18295000000001</v>
      </c>
      <c r="L45" s="29">
        <f>J45+K45</f>
        <v>4073.8902499999999</v>
      </c>
      <c r="M45" s="24">
        <v>3231.37</v>
      </c>
      <c r="N45" s="24">
        <v>0</v>
      </c>
      <c r="O45" s="29">
        <f t="shared" ref="O45:O48" si="55">M45+N45</f>
        <v>3231.37</v>
      </c>
      <c r="P45" s="24">
        <v>628.827</v>
      </c>
      <c r="Q45" s="29">
        <f>P45+O45</f>
        <v>3860.1970000000001</v>
      </c>
      <c r="R45" s="29">
        <f t="shared" ref="R45:R48" si="56">MAX(L45-Q45,0)</f>
        <v>213.69324999999981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9">
        <f>X45+Y45</f>
        <v>0</v>
      </c>
      <c r="AD45" s="29">
        <f>AA45+AB45</f>
        <v>0</v>
      </c>
      <c r="AE45" s="29">
        <f>W45+AC45</f>
        <v>0</v>
      </c>
      <c r="AF45" s="29">
        <f t="shared" ref="AF45:AF48" si="57">Z45+AD45</f>
        <v>0</v>
      </c>
      <c r="AG45" s="29"/>
    </row>
    <row r="46" spans="2:33" x14ac:dyDescent="0.2">
      <c r="D46" s="7">
        <v>3</v>
      </c>
      <c r="E46" s="7" t="s">
        <v>18</v>
      </c>
      <c r="F46" s="24">
        <v>0</v>
      </c>
      <c r="G46" s="83">
        <v>475.25945999999999</v>
      </c>
      <c r="H46" s="24">
        <v>3379.72</v>
      </c>
      <c r="I46" s="24">
        <v>0</v>
      </c>
      <c r="J46" s="29">
        <f t="shared" si="54"/>
        <v>3854.9794599999996</v>
      </c>
      <c r="K46" s="24">
        <v>730.99</v>
      </c>
      <c r="L46" s="29">
        <f>J46+K46</f>
        <v>4585.9694599999993</v>
      </c>
      <c r="M46" s="24">
        <v>3184.36</v>
      </c>
      <c r="N46" s="24">
        <v>0</v>
      </c>
      <c r="O46" s="29">
        <f t="shared" si="55"/>
        <v>3184.36</v>
      </c>
      <c r="P46" s="83">
        <v>1214.7524000000001</v>
      </c>
      <c r="Q46" s="29">
        <f>P46+O46</f>
        <v>4399.1124</v>
      </c>
      <c r="R46" s="29">
        <f t="shared" si="56"/>
        <v>186.85705999999936</v>
      </c>
      <c r="S46" s="24">
        <v>0</v>
      </c>
      <c r="T46" s="24">
        <v>38.587499999999999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9">
        <f>X46+Y46</f>
        <v>0</v>
      </c>
      <c r="AD46" s="29">
        <f>AA46+AB46</f>
        <v>0</v>
      </c>
      <c r="AE46" s="29">
        <f>W46+AC46</f>
        <v>0</v>
      </c>
      <c r="AF46" s="29">
        <f t="shared" si="57"/>
        <v>0</v>
      </c>
      <c r="AG46" s="29"/>
    </row>
    <row r="47" spans="2:33" x14ac:dyDescent="0.2">
      <c r="D47" s="7">
        <v>4</v>
      </c>
      <c r="E47" s="7" t="s">
        <v>19</v>
      </c>
      <c r="F47" s="24">
        <v>0</v>
      </c>
      <c r="G47" s="24">
        <v>619.11774000000003</v>
      </c>
      <c r="H47" s="24">
        <v>4351.47</v>
      </c>
      <c r="I47" s="24">
        <v>0</v>
      </c>
      <c r="J47" s="29">
        <f t="shared" si="54"/>
        <v>4970.5877399999999</v>
      </c>
      <c r="K47" s="24">
        <v>1357.75</v>
      </c>
      <c r="L47" s="29">
        <f>J47+K47</f>
        <v>6328.3377399999999</v>
      </c>
      <c r="M47" s="24">
        <v>3311.51</v>
      </c>
      <c r="N47" s="24">
        <v>0</v>
      </c>
      <c r="O47" s="29">
        <f t="shared" si="55"/>
        <v>3311.51</v>
      </c>
      <c r="P47" s="24">
        <v>2757.3056999999999</v>
      </c>
      <c r="Q47" s="29">
        <f>P47+O47</f>
        <v>6068.8157000000001</v>
      </c>
      <c r="R47" s="29">
        <f t="shared" si="56"/>
        <v>259.52203999999983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9">
        <f>X47+Y47</f>
        <v>0</v>
      </c>
      <c r="AD47" s="29">
        <f>AA47+AB47</f>
        <v>0</v>
      </c>
      <c r="AE47" s="29">
        <f>W47+AC47</f>
        <v>0</v>
      </c>
      <c r="AF47" s="29">
        <f t="shared" si="57"/>
        <v>0</v>
      </c>
      <c r="AG47" s="29"/>
    </row>
    <row r="48" spans="2:33" x14ac:dyDescent="0.2">
      <c r="D48" s="7">
        <v>5</v>
      </c>
      <c r="E48" s="7" t="s">
        <v>20</v>
      </c>
      <c r="F48" s="24">
        <v>0</v>
      </c>
      <c r="G48" s="24">
        <v>190.68411</v>
      </c>
      <c r="H48" s="24">
        <v>620.69000000000005</v>
      </c>
      <c r="I48" s="24">
        <v>0</v>
      </c>
      <c r="J48" s="29">
        <f t="shared" si="54"/>
        <v>811.37411000000009</v>
      </c>
      <c r="K48" s="24">
        <v>2717.39</v>
      </c>
      <c r="L48" s="29">
        <f>J48+K48</f>
        <v>3528.7641100000001</v>
      </c>
      <c r="M48" s="24">
        <v>3122.9</v>
      </c>
      <c r="N48" s="24">
        <v>0</v>
      </c>
      <c r="O48" s="29">
        <f t="shared" si="55"/>
        <v>3122.9</v>
      </c>
      <c r="P48" s="24">
        <v>254.13714999999999</v>
      </c>
      <c r="Q48" s="29">
        <f>P48+O48</f>
        <v>3377.0371500000001</v>
      </c>
      <c r="R48" s="29">
        <f t="shared" si="56"/>
        <v>151.72695999999996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9">
        <f>X48+Y48</f>
        <v>0</v>
      </c>
      <c r="AD48" s="29">
        <f>AA48+AB48</f>
        <v>0</v>
      </c>
      <c r="AE48" s="29">
        <f>W48+AC48</f>
        <v>0</v>
      </c>
      <c r="AF48" s="29">
        <f t="shared" si="57"/>
        <v>0</v>
      </c>
      <c r="AG48" s="29"/>
    </row>
    <row r="49" spans="6:33" x14ac:dyDescent="0.2">
      <c r="F49" s="25">
        <f>SUM(F44:F48)</f>
        <v>0</v>
      </c>
      <c r="G49" s="25">
        <f t="shared" ref="G49:H49" si="58">SUM(G44:G48)</f>
        <v>1285.0613099999998</v>
      </c>
      <c r="H49" s="25">
        <f t="shared" si="58"/>
        <v>12558.74114</v>
      </c>
      <c r="I49" s="25">
        <f>SUM(I44:I48)</f>
        <v>0</v>
      </c>
      <c r="J49" s="25">
        <f>SUM(J44:J48)</f>
        <v>13843.802449999999</v>
      </c>
      <c r="K49" s="25">
        <f t="shared" ref="K49:L49" si="59">SUM(K44:K48)</f>
        <v>5791.6645499999995</v>
      </c>
      <c r="L49" s="25">
        <f t="shared" si="59"/>
        <v>19635.466999999997</v>
      </c>
      <c r="M49" s="25">
        <f>SUM(M44:M48)</f>
        <v>12850.14</v>
      </c>
      <c r="N49" s="25">
        <f>SUM(N44:N48)</f>
        <v>0</v>
      </c>
      <c r="O49" s="25">
        <f>SUM(O44:O48)</f>
        <v>12850.14</v>
      </c>
      <c r="P49" s="25">
        <f>SUM(P44:P48)</f>
        <v>5800.0227499999992</v>
      </c>
      <c r="Q49" s="25">
        <f t="shared" ref="Q49" si="60">SUM(Q44:Q48)</f>
        <v>18650.16275</v>
      </c>
      <c r="R49" s="25">
        <f>SUM(R44:R48)</f>
        <v>985.30424999999889</v>
      </c>
      <c r="S49" s="25">
        <f t="shared" ref="S49:Y49" si="61">SUM(S44:S48)</f>
        <v>0</v>
      </c>
      <c r="T49" s="25">
        <f t="shared" si="61"/>
        <v>53.186999999999998</v>
      </c>
      <c r="U49" s="25">
        <f t="shared" si="61"/>
        <v>0</v>
      </c>
      <c r="V49" s="25">
        <f t="shared" si="61"/>
        <v>0</v>
      </c>
      <c r="W49" s="25">
        <f t="shared" si="61"/>
        <v>0</v>
      </c>
      <c r="X49" s="25">
        <f t="shared" si="61"/>
        <v>0</v>
      </c>
      <c r="Y49" s="25">
        <f t="shared" si="61"/>
        <v>0</v>
      </c>
      <c r="Z49" s="25">
        <f>SUM(Z44:Z48)</f>
        <v>0</v>
      </c>
      <c r="AA49" s="25">
        <f>SUM(AA44:AA48)</f>
        <v>0</v>
      </c>
      <c r="AB49" s="25">
        <f t="shared" ref="AB49:AD49" si="62">SUM(AB44:AB48)</f>
        <v>0</v>
      </c>
      <c r="AC49" s="25">
        <f t="shared" si="62"/>
        <v>0</v>
      </c>
      <c r="AD49" s="25">
        <f t="shared" si="62"/>
        <v>0</v>
      </c>
      <c r="AE49" s="25">
        <f>SUM(AE44:AE48)</f>
        <v>0</v>
      </c>
      <c r="AF49" s="50">
        <f>SUM(AF44:AF48)</f>
        <v>0</v>
      </c>
      <c r="AG49" s="50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7D47-19A1-6D46-B5CC-051FC0249641}">
  <sheetPr>
    <tabColor rgb="FF92D050"/>
  </sheetPr>
  <dimension ref="A1:AT35"/>
  <sheetViews>
    <sheetView zoomScale="135" zoomScaleNormal="100" workbookViewId="0">
      <pane xSplit="4" ySplit="1" topLeftCell="E2" activePane="bottomRight" state="frozen"/>
      <selection activeCell="P37" sqref="P37"/>
      <selection pane="topRight" activeCell="P37" sqref="P37"/>
      <selection pane="bottomLeft" activeCell="P37" sqref="P37"/>
      <selection pane="bottomRight" activeCell="AA9" sqref="AA9:AE13"/>
    </sheetView>
  </sheetViews>
  <sheetFormatPr baseColWidth="10" defaultRowHeight="16" x14ac:dyDescent="0.2"/>
  <cols>
    <col min="1" max="1" width="6.140625" style="7" bestFit="1" customWidth="1"/>
    <col min="2" max="2" width="2.85546875" style="6" customWidth="1"/>
    <col min="3" max="3" width="3" style="6" bestFit="1" customWidth="1"/>
    <col min="4" max="4" width="3.28515625" style="21" bestFit="1" customWidth="1"/>
    <col min="5" max="5" width="4.85546875" style="6" bestFit="1" customWidth="1"/>
    <col min="6" max="6" width="5.7109375" style="28" bestFit="1" customWidth="1"/>
    <col min="7" max="9" width="6.5703125" style="28" bestFit="1" customWidth="1"/>
    <col min="10" max="10" width="5.7109375" style="28" bestFit="1" customWidth="1"/>
    <col min="11" max="11" width="6.5703125" style="28" bestFit="1" customWidth="1"/>
    <col min="12" max="12" width="7.5703125" style="26" customWidth="1"/>
    <col min="13" max="13" width="6.5703125" style="28" bestFit="1" customWidth="1"/>
    <col min="14" max="15" width="5.7109375" style="28" bestFit="1" customWidth="1"/>
    <col min="16" max="18" width="6.5703125" style="28" bestFit="1" customWidth="1"/>
    <col min="19" max="19" width="7.5703125" style="26" customWidth="1"/>
    <col min="20" max="20" width="6.5703125" style="28" customWidth="1"/>
    <col min="21" max="21" width="4" style="28" bestFit="1" customWidth="1"/>
    <col min="22" max="22" width="4.85546875" style="28" bestFit="1" customWidth="1"/>
    <col min="23" max="24" width="4" style="28" bestFit="1" customWidth="1"/>
    <col min="25" max="25" width="5.7109375" style="28" bestFit="1" customWidth="1"/>
    <col min="26" max="26" width="7.5703125" style="26" customWidth="1"/>
    <col min="27" max="27" width="7.28515625" style="28" bestFit="1" customWidth="1"/>
    <col min="28" max="28" width="5.7109375" style="28" bestFit="1" customWidth="1"/>
    <col min="29" max="31" width="4" style="28" bestFit="1" customWidth="1"/>
    <col min="32" max="32" width="6.5703125" style="28" bestFit="1" customWidth="1"/>
    <col min="33" max="33" width="7.5703125" style="26" customWidth="1"/>
    <col min="34" max="34" width="6.7109375" style="28" customWidth="1"/>
    <col min="35" max="36" width="5.7109375" style="28" bestFit="1" customWidth="1"/>
    <col min="37" max="38" width="4" style="28" bestFit="1" customWidth="1"/>
    <col min="39" max="39" width="6.5703125" style="28" bestFit="1" customWidth="1"/>
    <col min="40" max="40" width="7.5703125" style="26" customWidth="1"/>
    <col min="41" max="41" width="6.5703125" style="28" bestFit="1" customWidth="1"/>
    <col min="42" max="42" width="5.7109375" style="28" bestFit="1" customWidth="1"/>
    <col min="43" max="45" width="4" style="28" bestFit="1" customWidth="1"/>
    <col min="46" max="46" width="6.5703125" style="28" bestFit="1" customWidth="1"/>
    <col min="47" max="16384" width="10.7109375" style="7"/>
  </cols>
  <sheetData>
    <row r="1" spans="1:46" s="16" customFormat="1" ht="51" x14ac:dyDescent="0.2">
      <c r="A1" s="16" t="s">
        <v>100</v>
      </c>
      <c r="B1" s="17" t="s">
        <v>14</v>
      </c>
      <c r="C1" s="17" t="s">
        <v>42</v>
      </c>
      <c r="D1" s="48" t="s">
        <v>29</v>
      </c>
      <c r="E1" s="17"/>
      <c r="F1" s="22" t="s">
        <v>6</v>
      </c>
      <c r="G1" s="23"/>
      <c r="H1" s="23"/>
      <c r="I1" s="23"/>
      <c r="J1" s="23"/>
      <c r="K1" s="23"/>
      <c r="L1" s="22"/>
      <c r="M1" s="22" t="s">
        <v>1</v>
      </c>
      <c r="N1" s="23"/>
      <c r="O1" s="23"/>
      <c r="P1" s="23"/>
      <c r="Q1" s="23"/>
      <c r="R1" s="23"/>
      <c r="S1" s="22"/>
      <c r="T1" s="22" t="s">
        <v>33</v>
      </c>
      <c r="U1" s="23"/>
      <c r="V1" s="23"/>
      <c r="W1" s="23"/>
      <c r="X1" s="23"/>
      <c r="Y1" s="23"/>
      <c r="Z1" s="22"/>
      <c r="AA1" s="23" t="s">
        <v>36</v>
      </c>
      <c r="AB1" s="23"/>
      <c r="AC1" s="23"/>
      <c r="AD1" s="23"/>
      <c r="AE1" s="23"/>
      <c r="AF1" s="23"/>
      <c r="AG1" s="22"/>
      <c r="AH1" s="23" t="s">
        <v>35</v>
      </c>
      <c r="AI1" s="23"/>
      <c r="AJ1" s="23"/>
      <c r="AK1" s="23"/>
      <c r="AL1" s="23"/>
      <c r="AM1" s="23"/>
      <c r="AN1" s="22"/>
      <c r="AO1" s="23" t="s">
        <v>37</v>
      </c>
      <c r="AP1" s="23"/>
      <c r="AQ1" s="23"/>
      <c r="AR1" s="23"/>
      <c r="AS1" s="23"/>
      <c r="AT1" s="23"/>
    </row>
    <row r="2" spans="1:46" x14ac:dyDescent="0.2">
      <c r="A2" s="7">
        <v>2</v>
      </c>
      <c r="C2" s="6">
        <v>1</v>
      </c>
      <c r="D2" s="21">
        <v>0</v>
      </c>
      <c r="F2" s="24">
        <v>0</v>
      </c>
      <c r="G2" s="24">
        <v>1728.55</v>
      </c>
      <c r="H2" s="24">
        <v>0</v>
      </c>
      <c r="I2" s="24">
        <v>134.46</v>
      </c>
      <c r="J2" s="24">
        <v>322.23</v>
      </c>
      <c r="K2" s="25">
        <f>SUM(F2:J2)</f>
        <v>2185.2399999999998</v>
      </c>
      <c r="M2" s="24">
        <v>0</v>
      </c>
      <c r="N2" s="24">
        <v>109.35</v>
      </c>
      <c r="O2" s="27">
        <v>730.99</v>
      </c>
      <c r="P2" s="24">
        <v>119.26</v>
      </c>
      <c r="Q2" s="24">
        <v>0</v>
      </c>
      <c r="R2" s="25">
        <f>SUM(M2:Q2)</f>
        <v>959.6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5">
        <f>SUM(T2:X2)</f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5">
        <f>SUM(AA2:AE2)</f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5">
        <f>SUM(AH2:AL2)</f>
        <v>0</v>
      </c>
      <c r="AO2" s="29">
        <f t="shared" ref="AO2:AS6" si="0">AH2+AA2</f>
        <v>0</v>
      </c>
      <c r="AP2" s="29">
        <f t="shared" si="0"/>
        <v>0</v>
      </c>
      <c r="AQ2" s="29">
        <f t="shared" si="0"/>
        <v>0</v>
      </c>
      <c r="AR2" s="29">
        <f t="shared" si="0"/>
        <v>0</v>
      </c>
      <c r="AS2" s="29">
        <f t="shared" si="0"/>
        <v>0</v>
      </c>
      <c r="AT2" s="25">
        <f>SUM(AO2:AS2)</f>
        <v>0</v>
      </c>
    </row>
    <row r="3" spans="1:46" x14ac:dyDescent="0.2">
      <c r="F3" s="24">
        <v>109.35</v>
      </c>
      <c r="G3" s="24">
        <v>0</v>
      </c>
      <c r="H3" s="24">
        <v>289.02</v>
      </c>
      <c r="I3" s="24">
        <v>0</v>
      </c>
      <c r="J3" s="24">
        <v>0</v>
      </c>
      <c r="K3" s="25">
        <f>SUM(F3:J3)</f>
        <v>398.37</v>
      </c>
      <c r="M3" s="24">
        <v>1728.55</v>
      </c>
      <c r="N3" s="24">
        <v>0</v>
      </c>
      <c r="O3" s="24">
        <v>0</v>
      </c>
      <c r="P3" s="24">
        <v>115.69</v>
      </c>
      <c r="Q3" s="24">
        <v>0</v>
      </c>
      <c r="R3" s="25">
        <f t="shared" ref="R3:R6" si="1">SUM(M3:Q3)</f>
        <v>1844.24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5">
        <f t="shared" ref="Y3:Y6" si="2">SUM(T3:X3)</f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5">
        <f>SUM(AA3:AE3)</f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5">
        <f t="shared" ref="AM3:AM6" si="3">SUM(AH3:AL3)</f>
        <v>0</v>
      </c>
      <c r="AO3" s="29">
        <f t="shared" si="0"/>
        <v>0</v>
      </c>
      <c r="AP3" s="29">
        <f t="shared" si="0"/>
        <v>0</v>
      </c>
      <c r="AQ3" s="29">
        <f t="shared" si="0"/>
        <v>0</v>
      </c>
      <c r="AR3" s="29">
        <f t="shared" si="0"/>
        <v>0</v>
      </c>
      <c r="AS3" s="29">
        <f t="shared" si="0"/>
        <v>0</v>
      </c>
      <c r="AT3" s="25">
        <f t="shared" ref="AT3:AT6" si="4">SUM(AO3:AS3)</f>
        <v>0</v>
      </c>
    </row>
    <row r="4" spans="1:46" x14ac:dyDescent="0.2">
      <c r="F4" s="27">
        <v>730.99</v>
      </c>
      <c r="G4" s="24">
        <v>0</v>
      </c>
      <c r="H4" s="24">
        <v>0</v>
      </c>
      <c r="I4" s="24">
        <v>0</v>
      </c>
      <c r="J4" s="24">
        <v>0</v>
      </c>
      <c r="K4" s="25">
        <f>SUM(F4:J4)</f>
        <v>730.99</v>
      </c>
      <c r="M4" s="24">
        <v>0</v>
      </c>
      <c r="N4" s="24">
        <v>289.02</v>
      </c>
      <c r="O4" s="24">
        <v>0</v>
      </c>
      <c r="P4" s="24">
        <v>964.32</v>
      </c>
      <c r="Q4" s="24">
        <v>0</v>
      </c>
      <c r="R4" s="25">
        <f t="shared" si="1"/>
        <v>1253.3400000000001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5">
        <f t="shared" si="2"/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5">
        <f>SUM(AA4:AE4)</f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5">
        <f t="shared" si="3"/>
        <v>0</v>
      </c>
      <c r="AO4" s="29">
        <f t="shared" si="0"/>
        <v>0</v>
      </c>
      <c r="AP4" s="29">
        <f t="shared" si="0"/>
        <v>0</v>
      </c>
      <c r="AQ4" s="29">
        <f t="shared" si="0"/>
        <v>0</v>
      </c>
      <c r="AR4" s="29">
        <f t="shared" si="0"/>
        <v>0</v>
      </c>
      <c r="AS4" s="29">
        <f t="shared" si="0"/>
        <v>0</v>
      </c>
      <c r="AT4" s="25">
        <f t="shared" si="4"/>
        <v>0</v>
      </c>
    </row>
    <row r="5" spans="1:46" x14ac:dyDescent="0.2">
      <c r="F5" s="24">
        <v>119.26</v>
      </c>
      <c r="G5" s="24">
        <v>115.69</v>
      </c>
      <c r="H5" s="24">
        <v>964.32</v>
      </c>
      <c r="I5" s="24">
        <v>0</v>
      </c>
      <c r="J5" s="24">
        <v>158.47999999999999</v>
      </c>
      <c r="K5" s="25">
        <f>SUM(F5:J5)</f>
        <v>1357.75</v>
      </c>
      <c r="M5" s="24">
        <v>134.46</v>
      </c>
      <c r="N5" s="24">
        <v>0</v>
      </c>
      <c r="O5" s="24">
        <v>0</v>
      </c>
      <c r="P5" s="24">
        <v>0</v>
      </c>
      <c r="Q5" s="24">
        <v>2717.39</v>
      </c>
      <c r="R5" s="25">
        <f t="shared" si="1"/>
        <v>2851.85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5">
        <f t="shared" si="2"/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5">
        <f>SUM(AA5:AE5)</f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5">
        <f t="shared" si="3"/>
        <v>0</v>
      </c>
      <c r="AO5" s="29">
        <f t="shared" si="0"/>
        <v>0</v>
      </c>
      <c r="AP5" s="29">
        <f t="shared" si="0"/>
        <v>0</v>
      </c>
      <c r="AQ5" s="29">
        <f t="shared" si="0"/>
        <v>0</v>
      </c>
      <c r="AR5" s="29">
        <f t="shared" si="0"/>
        <v>0</v>
      </c>
      <c r="AS5" s="29">
        <f t="shared" si="0"/>
        <v>0</v>
      </c>
      <c r="AT5" s="25">
        <f t="shared" si="4"/>
        <v>0</v>
      </c>
    </row>
    <row r="6" spans="1:46" x14ac:dyDescent="0.2">
      <c r="F6" s="24">
        <v>0</v>
      </c>
      <c r="G6" s="24">
        <v>0</v>
      </c>
      <c r="H6" s="24">
        <v>0</v>
      </c>
      <c r="I6" s="24">
        <v>2717.39</v>
      </c>
      <c r="J6" s="24">
        <v>0</v>
      </c>
      <c r="K6" s="25">
        <f>SUM(F6:J6)</f>
        <v>2717.39</v>
      </c>
      <c r="M6" s="24">
        <v>322.23</v>
      </c>
      <c r="N6" s="24">
        <v>0</v>
      </c>
      <c r="O6" s="24">
        <v>0</v>
      </c>
      <c r="P6" s="24">
        <v>158.47999999999999</v>
      </c>
      <c r="Q6" s="24">
        <v>0</v>
      </c>
      <c r="R6" s="25">
        <f t="shared" si="1"/>
        <v>480.71000000000004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5">
        <f t="shared" si="2"/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5">
        <f>SUM(AA6:AE6)</f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5">
        <f t="shared" si="3"/>
        <v>0</v>
      </c>
      <c r="AO6" s="29">
        <f t="shared" si="0"/>
        <v>0</v>
      </c>
      <c r="AP6" s="29">
        <f t="shared" si="0"/>
        <v>0</v>
      </c>
      <c r="AQ6" s="29">
        <f t="shared" si="0"/>
        <v>0</v>
      </c>
      <c r="AR6" s="29">
        <f t="shared" si="0"/>
        <v>0</v>
      </c>
      <c r="AS6" s="29">
        <f t="shared" si="0"/>
        <v>0</v>
      </c>
      <c r="AT6" s="25">
        <f t="shared" si="4"/>
        <v>0</v>
      </c>
    </row>
    <row r="7" spans="1:46" s="9" customFormat="1" x14ac:dyDescent="0.2">
      <c r="B7" s="12"/>
      <c r="C7" s="12"/>
      <c r="D7" s="49"/>
      <c r="E7" s="12"/>
      <c r="F7" s="25">
        <f t="shared" ref="F7:K7" si="5">SUM(F2:F6)</f>
        <v>959.6</v>
      </c>
      <c r="G7" s="25">
        <f t="shared" si="5"/>
        <v>1844.24</v>
      </c>
      <c r="H7" s="25">
        <f t="shared" si="5"/>
        <v>1253.3400000000001</v>
      </c>
      <c r="I7" s="25">
        <f t="shared" si="5"/>
        <v>2851.85</v>
      </c>
      <c r="J7" s="25">
        <f t="shared" si="5"/>
        <v>480.71000000000004</v>
      </c>
      <c r="K7" s="25">
        <f t="shared" si="5"/>
        <v>7389.74</v>
      </c>
      <c r="L7" s="30"/>
      <c r="M7" s="25">
        <f t="shared" ref="M7:R7" si="6">SUM(M2:M6)</f>
        <v>2185.2399999999998</v>
      </c>
      <c r="N7" s="25">
        <f t="shared" si="6"/>
        <v>398.37</v>
      </c>
      <c r="O7" s="25">
        <f t="shared" si="6"/>
        <v>730.99</v>
      </c>
      <c r="P7" s="25">
        <f t="shared" si="6"/>
        <v>1357.75</v>
      </c>
      <c r="Q7" s="25">
        <f t="shared" si="6"/>
        <v>2717.39</v>
      </c>
      <c r="R7" s="25">
        <f t="shared" si="6"/>
        <v>7389.7400000000007</v>
      </c>
      <c r="S7" s="30"/>
      <c r="T7" s="25">
        <f t="shared" ref="T7:Y7" si="7">SUM(T2:T6)</f>
        <v>0</v>
      </c>
      <c r="U7" s="25">
        <f t="shared" si="7"/>
        <v>0</v>
      </c>
      <c r="V7" s="25">
        <f t="shared" si="7"/>
        <v>0</v>
      </c>
      <c r="W7" s="25">
        <f t="shared" si="7"/>
        <v>0</v>
      </c>
      <c r="X7" s="25">
        <f t="shared" si="7"/>
        <v>0</v>
      </c>
      <c r="Y7" s="25">
        <f t="shared" si="7"/>
        <v>0</v>
      </c>
      <c r="Z7" s="30"/>
      <c r="AA7" s="25">
        <f t="shared" ref="AA7:AF7" si="8">SUM(AA2:AA6)</f>
        <v>0</v>
      </c>
      <c r="AB7" s="25">
        <f t="shared" si="8"/>
        <v>0</v>
      </c>
      <c r="AC7" s="25">
        <f t="shared" si="8"/>
        <v>0</v>
      </c>
      <c r="AD7" s="25">
        <f t="shared" si="8"/>
        <v>0</v>
      </c>
      <c r="AE7" s="25">
        <f t="shared" si="8"/>
        <v>0</v>
      </c>
      <c r="AF7" s="25">
        <f t="shared" si="8"/>
        <v>0</v>
      </c>
      <c r="AG7" s="30"/>
      <c r="AH7" s="25">
        <f t="shared" ref="AH7:AM7" si="9">SUM(AH2:AH6)</f>
        <v>0</v>
      </c>
      <c r="AI7" s="25">
        <f t="shared" si="9"/>
        <v>0</v>
      </c>
      <c r="AJ7" s="25">
        <f t="shared" si="9"/>
        <v>0</v>
      </c>
      <c r="AK7" s="25">
        <f t="shared" si="9"/>
        <v>0</v>
      </c>
      <c r="AL7" s="25">
        <f t="shared" si="9"/>
        <v>0</v>
      </c>
      <c r="AM7" s="25">
        <f t="shared" si="9"/>
        <v>0</v>
      </c>
      <c r="AN7" s="30"/>
      <c r="AO7" s="25">
        <f>SUM(AO2:AO6)</f>
        <v>0</v>
      </c>
      <c r="AP7" s="25">
        <f t="shared" ref="AP7:AT7" si="10">SUM(AP2:AP6)</f>
        <v>0</v>
      </c>
      <c r="AQ7" s="25">
        <f t="shared" si="10"/>
        <v>0</v>
      </c>
      <c r="AR7" s="25">
        <f t="shared" si="10"/>
        <v>0</v>
      </c>
      <c r="AS7" s="25">
        <f t="shared" si="10"/>
        <v>0</v>
      </c>
      <c r="AT7" s="25">
        <f t="shared" si="10"/>
        <v>0</v>
      </c>
    </row>
    <row r="8" spans="1:46" s="12" customFormat="1" x14ac:dyDescent="0.2">
      <c r="D8" s="4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</row>
    <row r="9" spans="1:46" x14ac:dyDescent="0.2">
      <c r="C9" s="6">
        <v>2</v>
      </c>
      <c r="D9" s="21" t="s">
        <v>69</v>
      </c>
      <c r="F9" s="24">
        <v>0</v>
      </c>
      <c r="G9" s="83">
        <v>513.13699999999994</v>
      </c>
      <c r="H9" s="24">
        <v>0</v>
      </c>
      <c r="I9" s="83">
        <v>39.915799999999997</v>
      </c>
      <c r="J9" s="83">
        <v>95.6571</v>
      </c>
      <c r="K9" s="25">
        <f>SUM(F9:J9)</f>
        <v>648.70989999999995</v>
      </c>
      <c r="M9" s="24">
        <v>0</v>
      </c>
      <c r="N9" s="24">
        <v>109.35</v>
      </c>
      <c r="O9" s="27">
        <v>730.99</v>
      </c>
      <c r="P9" s="24">
        <v>119.26</v>
      </c>
      <c r="Q9" s="24">
        <v>0</v>
      </c>
      <c r="R9" s="25">
        <f>SUM(M9:Q9)</f>
        <v>959.6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5">
        <f>SUM(T9:X9)</f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5">
        <f>SUM(AA9:AE9)</f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5">
        <f>SUM(AH9:AL9)</f>
        <v>0</v>
      </c>
      <c r="AO9" s="29">
        <f t="shared" ref="AO9:AO13" si="11">AH9+AA9</f>
        <v>0</v>
      </c>
      <c r="AP9" s="29">
        <f t="shared" ref="AP9:AP13" si="12">AI9+AB9</f>
        <v>0</v>
      </c>
      <c r="AQ9" s="29">
        <f t="shared" ref="AQ9:AQ13" si="13">AJ9+AC9</f>
        <v>0</v>
      </c>
      <c r="AR9" s="29">
        <f t="shared" ref="AR9:AR13" si="14">AK9+AD9</f>
        <v>0</v>
      </c>
      <c r="AS9" s="29">
        <f t="shared" ref="AS9:AS13" si="15">AL9+AE9</f>
        <v>0</v>
      </c>
      <c r="AT9" s="25">
        <f>SUM(AO9:AS9)</f>
        <v>0</v>
      </c>
    </row>
    <row r="10" spans="1:46" x14ac:dyDescent="0.2">
      <c r="F10" s="24">
        <v>109.35</v>
      </c>
      <c r="G10" s="24">
        <v>0</v>
      </c>
      <c r="H10" s="24">
        <v>289.02</v>
      </c>
      <c r="I10" s="24">
        <v>0</v>
      </c>
      <c r="J10" s="24">
        <v>0</v>
      </c>
      <c r="K10" s="25">
        <f>SUM(F10:J10)</f>
        <v>398.37</v>
      </c>
      <c r="M10" s="83">
        <v>513.13699999999994</v>
      </c>
      <c r="N10" s="24">
        <v>0</v>
      </c>
      <c r="O10" s="24">
        <v>0</v>
      </c>
      <c r="P10" s="24">
        <v>115.69</v>
      </c>
      <c r="Q10" s="24">
        <v>0</v>
      </c>
      <c r="R10" s="25">
        <f t="shared" ref="R10:R13" si="16">SUM(M10:Q10)</f>
        <v>628.827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5">
        <f t="shared" ref="Y10:Y13" si="17">SUM(T10:X10)</f>
        <v>0</v>
      </c>
      <c r="AA10" s="83">
        <v>1215.4100000000001</v>
      </c>
      <c r="AB10" s="28">
        <v>0</v>
      </c>
      <c r="AC10" s="28">
        <v>0</v>
      </c>
      <c r="AD10" s="28">
        <v>0</v>
      </c>
      <c r="AE10" s="28">
        <v>0</v>
      </c>
      <c r="AF10" s="25">
        <f>SUM(AA10:AE10)</f>
        <v>1215.4100000000001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5">
        <f t="shared" ref="AM10:AM13" si="18">SUM(AH10:AL10)</f>
        <v>0</v>
      </c>
      <c r="AO10" s="29">
        <f t="shared" si="11"/>
        <v>1215.4100000000001</v>
      </c>
      <c r="AP10" s="29">
        <f t="shared" si="12"/>
        <v>0</v>
      </c>
      <c r="AQ10" s="29">
        <f t="shared" si="13"/>
        <v>0</v>
      </c>
      <c r="AR10" s="29">
        <f t="shared" si="14"/>
        <v>0</v>
      </c>
      <c r="AS10" s="29">
        <f t="shared" si="15"/>
        <v>0</v>
      </c>
      <c r="AT10" s="25">
        <f t="shared" ref="AT10:AT13" si="19">SUM(AO10:AS10)</f>
        <v>1215.4100000000001</v>
      </c>
    </row>
    <row r="11" spans="1:46" x14ac:dyDescent="0.2">
      <c r="F11" s="27">
        <v>730.99</v>
      </c>
      <c r="G11" s="24">
        <v>0</v>
      </c>
      <c r="H11" s="24">
        <v>0</v>
      </c>
      <c r="I11" s="24">
        <v>0</v>
      </c>
      <c r="J11" s="24">
        <v>0</v>
      </c>
      <c r="K11" s="25">
        <f>SUM(F11:J11)</f>
        <v>730.99</v>
      </c>
      <c r="M11" s="24">
        <v>0</v>
      </c>
      <c r="N11" s="24">
        <v>289.02</v>
      </c>
      <c r="O11" s="24">
        <v>0</v>
      </c>
      <c r="P11" s="24">
        <v>964.32</v>
      </c>
      <c r="Q11" s="24">
        <v>0</v>
      </c>
      <c r="R11" s="25">
        <f t="shared" si="16"/>
        <v>1253.3400000000001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5">
        <f t="shared" si="17"/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5">
        <f>SUM(AA11:AE11)</f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5">
        <f t="shared" si="18"/>
        <v>0</v>
      </c>
      <c r="AO11" s="29">
        <f t="shared" si="11"/>
        <v>0</v>
      </c>
      <c r="AP11" s="29">
        <f t="shared" si="12"/>
        <v>0</v>
      </c>
      <c r="AQ11" s="29">
        <f t="shared" si="13"/>
        <v>0</v>
      </c>
      <c r="AR11" s="29">
        <f t="shared" si="14"/>
        <v>0</v>
      </c>
      <c r="AS11" s="29">
        <f t="shared" si="15"/>
        <v>0</v>
      </c>
      <c r="AT11" s="25">
        <f t="shared" si="19"/>
        <v>0</v>
      </c>
    </row>
    <row r="12" spans="1:46" x14ac:dyDescent="0.2">
      <c r="F12" s="24">
        <v>119.26</v>
      </c>
      <c r="G12" s="24">
        <v>115.69</v>
      </c>
      <c r="H12" s="24">
        <v>964.32</v>
      </c>
      <c r="I12" s="24">
        <v>0</v>
      </c>
      <c r="J12" s="24">
        <v>158.47999999999999</v>
      </c>
      <c r="K12" s="25">
        <f>SUM(F12:J12)</f>
        <v>1357.75</v>
      </c>
      <c r="M12" s="83">
        <v>39.915799999999997</v>
      </c>
      <c r="N12" s="24">
        <v>0</v>
      </c>
      <c r="O12" s="24">
        <v>0</v>
      </c>
      <c r="P12" s="24">
        <v>0</v>
      </c>
      <c r="Q12" s="24">
        <v>2717.39</v>
      </c>
      <c r="R12" s="25">
        <f t="shared" si="16"/>
        <v>2757.3058000000001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5">
        <f t="shared" si="17"/>
        <v>0</v>
      </c>
      <c r="AA12" s="83">
        <v>94.544200000000004</v>
      </c>
      <c r="AB12" s="28">
        <v>0</v>
      </c>
      <c r="AC12" s="28">
        <v>0</v>
      </c>
      <c r="AD12" s="28">
        <v>0</v>
      </c>
      <c r="AE12" s="28">
        <v>0</v>
      </c>
      <c r="AF12" s="25">
        <f>SUM(AA12:AE12)</f>
        <v>94.544200000000004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5">
        <f t="shared" si="18"/>
        <v>0</v>
      </c>
      <c r="AO12" s="29">
        <f t="shared" si="11"/>
        <v>94.544200000000004</v>
      </c>
      <c r="AP12" s="29">
        <f t="shared" si="12"/>
        <v>0</v>
      </c>
      <c r="AQ12" s="29">
        <f t="shared" si="13"/>
        <v>0</v>
      </c>
      <c r="AR12" s="29">
        <f t="shared" si="14"/>
        <v>0</v>
      </c>
      <c r="AS12" s="29">
        <f t="shared" si="15"/>
        <v>0</v>
      </c>
      <c r="AT12" s="25">
        <f t="shared" si="19"/>
        <v>94.544200000000004</v>
      </c>
    </row>
    <row r="13" spans="1:46" x14ac:dyDescent="0.2">
      <c r="F13" s="24">
        <v>0</v>
      </c>
      <c r="G13" s="24">
        <v>0</v>
      </c>
      <c r="H13" s="24">
        <v>0</v>
      </c>
      <c r="I13" s="24">
        <v>2717.39</v>
      </c>
      <c r="J13" s="24">
        <v>0</v>
      </c>
      <c r="K13" s="25">
        <f>SUM(F13:J13)</f>
        <v>2717.39</v>
      </c>
      <c r="M13" s="83">
        <v>95.6571</v>
      </c>
      <c r="N13" s="24">
        <v>0</v>
      </c>
      <c r="O13" s="24">
        <v>0</v>
      </c>
      <c r="P13" s="24">
        <v>158.47999999999999</v>
      </c>
      <c r="Q13" s="24">
        <v>0</v>
      </c>
      <c r="R13" s="25">
        <f t="shared" si="16"/>
        <v>254.13709999999998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5">
        <f t="shared" si="17"/>
        <v>0</v>
      </c>
      <c r="AA13" s="83">
        <v>226.57300000000001</v>
      </c>
      <c r="AB13" s="28">
        <v>0</v>
      </c>
      <c r="AC13" s="28">
        <v>0</v>
      </c>
      <c r="AD13" s="28">
        <v>0</v>
      </c>
      <c r="AE13" s="28">
        <v>0</v>
      </c>
      <c r="AF13" s="25">
        <f>SUM(AA13:AE13)</f>
        <v>226.57300000000001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5">
        <f t="shared" si="18"/>
        <v>0</v>
      </c>
      <c r="AO13" s="29">
        <f t="shared" si="11"/>
        <v>226.57300000000001</v>
      </c>
      <c r="AP13" s="29">
        <f t="shared" si="12"/>
        <v>0</v>
      </c>
      <c r="AQ13" s="29">
        <f t="shared" si="13"/>
        <v>0</v>
      </c>
      <c r="AR13" s="29">
        <f t="shared" si="14"/>
        <v>0</v>
      </c>
      <c r="AS13" s="29">
        <f t="shared" si="15"/>
        <v>0</v>
      </c>
      <c r="AT13" s="25">
        <f t="shared" si="19"/>
        <v>226.57300000000001</v>
      </c>
    </row>
    <row r="14" spans="1:46" s="9" customFormat="1" x14ac:dyDescent="0.2">
      <c r="B14" s="12"/>
      <c r="C14" s="12"/>
      <c r="D14" s="49"/>
      <c r="E14" s="12"/>
      <c r="F14" s="25">
        <f t="shared" ref="F14:K14" si="20">SUM(F9:F13)</f>
        <v>959.6</v>
      </c>
      <c r="G14" s="25">
        <f t="shared" si="20"/>
        <v>628.827</v>
      </c>
      <c r="H14" s="25">
        <f t="shared" si="20"/>
        <v>1253.3400000000001</v>
      </c>
      <c r="I14" s="25">
        <f t="shared" si="20"/>
        <v>2757.3058000000001</v>
      </c>
      <c r="J14" s="25">
        <f t="shared" si="20"/>
        <v>254.13709999999998</v>
      </c>
      <c r="K14" s="25">
        <f t="shared" si="20"/>
        <v>5853.2098999999998</v>
      </c>
      <c r="L14" s="30"/>
      <c r="M14" s="25">
        <f t="shared" ref="M14:R14" si="21">SUM(M9:M13)</f>
        <v>648.70989999999995</v>
      </c>
      <c r="N14" s="25">
        <f t="shared" si="21"/>
        <v>398.37</v>
      </c>
      <c r="O14" s="25">
        <f t="shared" si="21"/>
        <v>730.99</v>
      </c>
      <c r="P14" s="25">
        <f t="shared" si="21"/>
        <v>1357.75</v>
      </c>
      <c r="Q14" s="25">
        <f t="shared" si="21"/>
        <v>2717.39</v>
      </c>
      <c r="R14" s="25">
        <f t="shared" si="21"/>
        <v>5853.2098999999998</v>
      </c>
      <c r="S14" s="30"/>
      <c r="T14" s="25">
        <f t="shared" ref="T14:Y14" si="22">SUM(T9:T13)</f>
        <v>0</v>
      </c>
      <c r="U14" s="25">
        <f t="shared" si="22"/>
        <v>0</v>
      </c>
      <c r="V14" s="25">
        <f t="shared" si="22"/>
        <v>0</v>
      </c>
      <c r="W14" s="25">
        <f t="shared" si="22"/>
        <v>0</v>
      </c>
      <c r="X14" s="25">
        <f t="shared" si="22"/>
        <v>0</v>
      </c>
      <c r="Y14" s="25">
        <f t="shared" si="22"/>
        <v>0</v>
      </c>
      <c r="Z14" s="30"/>
      <c r="AA14" s="25">
        <f t="shared" ref="AA14:AF14" si="23">SUM(AA9:AA13)</f>
        <v>1536.5272000000002</v>
      </c>
      <c r="AB14" s="25">
        <f t="shared" si="23"/>
        <v>0</v>
      </c>
      <c r="AC14" s="25">
        <f t="shared" si="23"/>
        <v>0</v>
      </c>
      <c r="AD14" s="25">
        <f t="shared" si="23"/>
        <v>0</v>
      </c>
      <c r="AE14" s="25">
        <f t="shared" si="23"/>
        <v>0</v>
      </c>
      <c r="AF14" s="25">
        <f t="shared" si="23"/>
        <v>1536.5272000000002</v>
      </c>
      <c r="AG14" s="30"/>
      <c r="AH14" s="25">
        <f t="shared" ref="AH14:AM14" si="24">SUM(AH9:AH13)</f>
        <v>0</v>
      </c>
      <c r="AI14" s="25">
        <f t="shared" si="24"/>
        <v>0</v>
      </c>
      <c r="AJ14" s="25">
        <f t="shared" si="24"/>
        <v>0</v>
      </c>
      <c r="AK14" s="25">
        <f t="shared" si="24"/>
        <v>0</v>
      </c>
      <c r="AL14" s="25">
        <f t="shared" si="24"/>
        <v>0</v>
      </c>
      <c r="AM14" s="25">
        <f t="shared" si="24"/>
        <v>0</v>
      </c>
      <c r="AN14" s="30"/>
      <c r="AO14" s="25">
        <f>SUM(AO9:AO13)</f>
        <v>1536.5272000000002</v>
      </c>
      <c r="AP14" s="25">
        <f t="shared" ref="AP14:AT14" si="25">SUM(AP9:AP13)</f>
        <v>0</v>
      </c>
      <c r="AQ14" s="25">
        <f t="shared" si="25"/>
        <v>0</v>
      </c>
      <c r="AR14" s="25">
        <f t="shared" si="25"/>
        <v>0</v>
      </c>
      <c r="AS14" s="25">
        <f t="shared" si="25"/>
        <v>0</v>
      </c>
      <c r="AT14" s="25">
        <f t="shared" si="25"/>
        <v>1536.5272000000002</v>
      </c>
    </row>
    <row r="15" spans="1:46" s="12" customFormat="1" x14ac:dyDescent="0.2">
      <c r="D15" s="4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</row>
    <row r="16" spans="1:46" x14ac:dyDescent="0.2">
      <c r="C16" s="6">
        <v>3</v>
      </c>
      <c r="D16" s="49" t="s">
        <v>69</v>
      </c>
      <c r="F16" s="24">
        <v>0</v>
      </c>
      <c r="G16" s="24">
        <v>513.13699999999994</v>
      </c>
      <c r="H16" s="24">
        <v>0</v>
      </c>
      <c r="I16" s="24">
        <v>39.915799999999997</v>
      </c>
      <c r="J16" s="24">
        <v>95.6571</v>
      </c>
      <c r="K16" s="25">
        <f>SUM(F16:J16)</f>
        <v>648.70989999999995</v>
      </c>
      <c r="L16" s="30"/>
      <c r="M16" s="24">
        <v>0</v>
      </c>
      <c r="N16" s="83">
        <v>94.750500000000002</v>
      </c>
      <c r="O16" s="27">
        <v>730.99</v>
      </c>
      <c r="P16" s="24">
        <v>119.26</v>
      </c>
      <c r="Q16" s="24">
        <v>0</v>
      </c>
      <c r="R16" s="25">
        <f>SUM(M16:Q16)</f>
        <v>945.00049999999999</v>
      </c>
      <c r="S16" s="30"/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5">
        <f>SUM(T16:X16)</f>
        <v>0</v>
      </c>
      <c r="Z16" s="30"/>
      <c r="AA16" s="24">
        <v>0</v>
      </c>
      <c r="AB16" s="83">
        <v>14.599500000000001</v>
      </c>
      <c r="AC16" s="24">
        <v>0</v>
      </c>
      <c r="AD16" s="24">
        <v>0</v>
      </c>
      <c r="AE16" s="24">
        <v>0</v>
      </c>
      <c r="AF16" s="25">
        <f>SUM(AA16:AE16)</f>
        <v>14.599500000000001</v>
      </c>
      <c r="AG16" s="30"/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5">
        <f>SUM(AH16:AL16)</f>
        <v>0</v>
      </c>
      <c r="AO16" s="29">
        <f t="shared" ref="AO16:AO20" si="26">AH16+AA16</f>
        <v>0</v>
      </c>
      <c r="AP16" s="29">
        <f t="shared" ref="AP16:AP20" si="27">AI16+AB16</f>
        <v>14.599500000000001</v>
      </c>
      <c r="AQ16" s="29">
        <f t="shared" ref="AQ16:AQ20" si="28">AJ16+AC16</f>
        <v>0</v>
      </c>
      <c r="AR16" s="29">
        <f t="shared" ref="AR16:AR20" si="29">AK16+AD16</f>
        <v>0</v>
      </c>
      <c r="AS16" s="29">
        <f t="shared" ref="AS16:AS20" si="30">AL16+AE16</f>
        <v>0</v>
      </c>
      <c r="AT16" s="25">
        <f>SUM(AO16:AS16)</f>
        <v>14.599500000000001</v>
      </c>
    </row>
    <row r="17" spans="2:46" x14ac:dyDescent="0.2">
      <c r="F17" s="83">
        <v>94.750500000000002</v>
      </c>
      <c r="G17" s="24">
        <v>0</v>
      </c>
      <c r="H17" s="83">
        <v>250.43199999999999</v>
      </c>
      <c r="I17" s="24">
        <v>0</v>
      </c>
      <c r="J17" s="24">
        <v>0</v>
      </c>
      <c r="K17" s="25">
        <f>SUM(F17:J17)</f>
        <v>345.1825</v>
      </c>
      <c r="L17" s="30"/>
      <c r="M17" s="24">
        <v>513.13699999999994</v>
      </c>
      <c r="N17" s="24">
        <v>0</v>
      </c>
      <c r="O17" s="24">
        <v>0</v>
      </c>
      <c r="P17" s="24">
        <v>115.69</v>
      </c>
      <c r="Q17" s="24">
        <v>0</v>
      </c>
      <c r="R17" s="25">
        <f t="shared" ref="R17:R20" si="31">SUM(M17:Q17)</f>
        <v>628.827</v>
      </c>
      <c r="S17" s="30"/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5">
        <f t="shared" ref="Y17:Y20" si="32">SUM(T17:X17)</f>
        <v>0</v>
      </c>
      <c r="Z17" s="30"/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5">
        <f>SUM(AA17:AE17)</f>
        <v>0</v>
      </c>
      <c r="AG17" s="30"/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5">
        <f t="shared" ref="AM17:AM20" si="33">SUM(AH17:AL17)</f>
        <v>0</v>
      </c>
      <c r="AO17" s="29">
        <f t="shared" si="26"/>
        <v>0</v>
      </c>
      <c r="AP17" s="29">
        <f t="shared" si="27"/>
        <v>0</v>
      </c>
      <c r="AQ17" s="29">
        <f t="shared" si="28"/>
        <v>0</v>
      </c>
      <c r="AR17" s="29">
        <f t="shared" si="29"/>
        <v>0</v>
      </c>
      <c r="AS17" s="29">
        <f t="shared" si="30"/>
        <v>0</v>
      </c>
      <c r="AT17" s="25">
        <f t="shared" ref="AT17:AT20" si="34">SUM(AO17:AS17)</f>
        <v>0</v>
      </c>
    </row>
    <row r="18" spans="2:46" x14ac:dyDescent="0.2">
      <c r="F18" s="27">
        <v>730.99</v>
      </c>
      <c r="G18" s="24">
        <v>0</v>
      </c>
      <c r="H18" s="24">
        <v>0</v>
      </c>
      <c r="I18" s="24">
        <v>0</v>
      </c>
      <c r="J18" s="24">
        <v>0</v>
      </c>
      <c r="K18" s="25">
        <f>SUM(F18:J18)</f>
        <v>730.99</v>
      </c>
      <c r="L18" s="30"/>
      <c r="M18" s="24">
        <v>0</v>
      </c>
      <c r="N18" s="83">
        <v>250.43199999999999</v>
      </c>
      <c r="O18" s="24">
        <v>0</v>
      </c>
      <c r="P18" s="24">
        <v>964.32</v>
      </c>
      <c r="Q18" s="24">
        <v>0</v>
      </c>
      <c r="R18" s="25">
        <f t="shared" si="31"/>
        <v>1214.752</v>
      </c>
      <c r="S18" s="30"/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5">
        <f t="shared" si="32"/>
        <v>0</v>
      </c>
      <c r="Z18" s="30"/>
      <c r="AA18" s="24">
        <v>0</v>
      </c>
      <c r="AB18" s="83">
        <v>38.587499999999999</v>
      </c>
      <c r="AC18" s="24">
        <v>0</v>
      </c>
      <c r="AD18" s="24">
        <v>0</v>
      </c>
      <c r="AE18" s="24">
        <v>0</v>
      </c>
      <c r="AF18" s="25">
        <f>SUM(AA18:AE18)</f>
        <v>38.587499999999999</v>
      </c>
      <c r="AG18" s="30"/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5">
        <f t="shared" si="33"/>
        <v>0</v>
      </c>
      <c r="AO18" s="29">
        <f t="shared" si="26"/>
        <v>0</v>
      </c>
      <c r="AP18" s="29">
        <f t="shared" si="27"/>
        <v>38.587499999999999</v>
      </c>
      <c r="AQ18" s="29">
        <f t="shared" si="28"/>
        <v>0</v>
      </c>
      <c r="AR18" s="29">
        <f t="shared" si="29"/>
        <v>0</v>
      </c>
      <c r="AS18" s="29">
        <f t="shared" si="30"/>
        <v>0</v>
      </c>
      <c r="AT18" s="25">
        <f t="shared" si="34"/>
        <v>38.587499999999999</v>
      </c>
    </row>
    <row r="19" spans="2:46" x14ac:dyDescent="0.2">
      <c r="F19" s="24">
        <v>119.26</v>
      </c>
      <c r="G19" s="24">
        <v>115.69</v>
      </c>
      <c r="H19" s="24">
        <v>964.32</v>
      </c>
      <c r="I19" s="24">
        <v>0</v>
      </c>
      <c r="J19" s="24">
        <v>158.47999999999999</v>
      </c>
      <c r="K19" s="25">
        <f>SUM(F19:J19)</f>
        <v>1357.75</v>
      </c>
      <c r="L19" s="30"/>
      <c r="M19" s="24">
        <v>39.915799999999997</v>
      </c>
      <c r="N19" s="24">
        <v>0</v>
      </c>
      <c r="O19" s="24">
        <v>0</v>
      </c>
      <c r="P19" s="24">
        <v>0</v>
      </c>
      <c r="Q19" s="24">
        <v>2717.39</v>
      </c>
      <c r="R19" s="25">
        <f t="shared" si="31"/>
        <v>2757.3058000000001</v>
      </c>
      <c r="S19" s="30"/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5">
        <f t="shared" si="32"/>
        <v>0</v>
      </c>
      <c r="Z19" s="30"/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5">
        <f>SUM(AA19:AE19)</f>
        <v>0</v>
      </c>
      <c r="AG19" s="30"/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5">
        <f t="shared" si="33"/>
        <v>0</v>
      </c>
      <c r="AO19" s="29">
        <f t="shared" si="26"/>
        <v>0</v>
      </c>
      <c r="AP19" s="29">
        <f t="shared" si="27"/>
        <v>0</v>
      </c>
      <c r="AQ19" s="29">
        <f t="shared" si="28"/>
        <v>0</v>
      </c>
      <c r="AR19" s="29">
        <f t="shared" si="29"/>
        <v>0</v>
      </c>
      <c r="AS19" s="29">
        <f t="shared" si="30"/>
        <v>0</v>
      </c>
      <c r="AT19" s="25">
        <f t="shared" si="34"/>
        <v>0</v>
      </c>
    </row>
    <row r="20" spans="2:46" x14ac:dyDescent="0.2">
      <c r="F20" s="24">
        <v>0</v>
      </c>
      <c r="G20" s="24">
        <v>0</v>
      </c>
      <c r="H20" s="24">
        <v>0</v>
      </c>
      <c r="I20" s="24">
        <v>2717.39</v>
      </c>
      <c r="J20" s="24">
        <v>0</v>
      </c>
      <c r="K20" s="25">
        <f>SUM(F20:J20)</f>
        <v>2717.39</v>
      </c>
      <c r="L20" s="30"/>
      <c r="M20" s="24">
        <v>95.6571</v>
      </c>
      <c r="N20" s="24">
        <v>0</v>
      </c>
      <c r="O20" s="24">
        <v>0</v>
      </c>
      <c r="P20" s="24">
        <v>158.47999999999999</v>
      </c>
      <c r="Q20" s="24">
        <v>0</v>
      </c>
      <c r="R20" s="25">
        <f t="shared" si="31"/>
        <v>254.13709999999998</v>
      </c>
      <c r="S20" s="30"/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5">
        <f t="shared" si="32"/>
        <v>0</v>
      </c>
      <c r="Z20" s="30"/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5">
        <f>SUM(AA20:AE20)</f>
        <v>0</v>
      </c>
      <c r="AG20" s="30"/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5">
        <f t="shared" si="33"/>
        <v>0</v>
      </c>
      <c r="AO20" s="29">
        <f t="shared" si="26"/>
        <v>0</v>
      </c>
      <c r="AP20" s="29">
        <f t="shared" si="27"/>
        <v>0</v>
      </c>
      <c r="AQ20" s="29">
        <f t="shared" si="28"/>
        <v>0</v>
      </c>
      <c r="AR20" s="29">
        <f t="shared" si="29"/>
        <v>0</v>
      </c>
      <c r="AS20" s="29">
        <f t="shared" si="30"/>
        <v>0</v>
      </c>
      <c r="AT20" s="25">
        <f t="shared" si="34"/>
        <v>0</v>
      </c>
    </row>
    <row r="21" spans="2:46" s="9" customFormat="1" x14ac:dyDescent="0.2">
      <c r="B21" s="12"/>
      <c r="C21" s="12"/>
      <c r="D21" s="49"/>
      <c r="E21" s="12"/>
      <c r="F21" s="25">
        <f t="shared" ref="F21:K21" si="35">SUM(F16:F20)</f>
        <v>945.00049999999999</v>
      </c>
      <c r="G21" s="25">
        <f t="shared" si="35"/>
        <v>628.827</v>
      </c>
      <c r="H21" s="25">
        <f t="shared" si="35"/>
        <v>1214.752</v>
      </c>
      <c r="I21" s="25">
        <f t="shared" si="35"/>
        <v>2757.3058000000001</v>
      </c>
      <c r="J21" s="25">
        <f t="shared" si="35"/>
        <v>254.13709999999998</v>
      </c>
      <c r="K21" s="25">
        <f t="shared" si="35"/>
        <v>5800.0223999999998</v>
      </c>
      <c r="L21" s="30"/>
      <c r="M21" s="25">
        <f t="shared" ref="M21:R21" si="36">SUM(M16:M20)</f>
        <v>648.70989999999995</v>
      </c>
      <c r="N21" s="25">
        <f t="shared" si="36"/>
        <v>345.1825</v>
      </c>
      <c r="O21" s="25">
        <f t="shared" si="36"/>
        <v>730.99</v>
      </c>
      <c r="P21" s="25">
        <f t="shared" si="36"/>
        <v>1357.75</v>
      </c>
      <c r="Q21" s="25">
        <f t="shared" si="36"/>
        <v>2717.39</v>
      </c>
      <c r="R21" s="25">
        <f t="shared" si="36"/>
        <v>5800.0223999999998</v>
      </c>
      <c r="S21" s="30"/>
      <c r="T21" s="25">
        <f t="shared" ref="T21:Y21" si="37">SUM(T16:T20)</f>
        <v>0</v>
      </c>
      <c r="U21" s="25">
        <f t="shared" si="37"/>
        <v>0</v>
      </c>
      <c r="V21" s="25">
        <f t="shared" si="37"/>
        <v>0</v>
      </c>
      <c r="W21" s="25">
        <f t="shared" si="37"/>
        <v>0</v>
      </c>
      <c r="X21" s="25">
        <f t="shared" si="37"/>
        <v>0</v>
      </c>
      <c r="Y21" s="25">
        <f t="shared" si="37"/>
        <v>0</v>
      </c>
      <c r="Z21" s="30"/>
      <c r="AA21" s="25">
        <f t="shared" ref="AA21:AF21" si="38">SUM(AA16:AA20)</f>
        <v>0</v>
      </c>
      <c r="AB21" s="25">
        <f t="shared" si="38"/>
        <v>53.186999999999998</v>
      </c>
      <c r="AC21" s="25">
        <f t="shared" si="38"/>
        <v>0</v>
      </c>
      <c r="AD21" s="25">
        <f t="shared" si="38"/>
        <v>0</v>
      </c>
      <c r="AE21" s="25">
        <f t="shared" si="38"/>
        <v>0</v>
      </c>
      <c r="AF21" s="25">
        <f t="shared" si="38"/>
        <v>53.186999999999998</v>
      </c>
      <c r="AG21" s="30"/>
      <c r="AH21" s="25">
        <f t="shared" ref="AH21:AM21" si="39">SUM(AH16:AH20)</f>
        <v>0</v>
      </c>
      <c r="AI21" s="25">
        <f t="shared" si="39"/>
        <v>0</v>
      </c>
      <c r="AJ21" s="25">
        <f t="shared" si="39"/>
        <v>0</v>
      </c>
      <c r="AK21" s="25">
        <f t="shared" si="39"/>
        <v>0</v>
      </c>
      <c r="AL21" s="25">
        <f t="shared" si="39"/>
        <v>0</v>
      </c>
      <c r="AM21" s="25">
        <f t="shared" si="39"/>
        <v>0</v>
      </c>
      <c r="AN21" s="30"/>
      <c r="AO21" s="25">
        <f>SUM(AO16:AO20)</f>
        <v>0</v>
      </c>
      <c r="AP21" s="25">
        <f t="shared" ref="AP21:AT21" si="40">SUM(AP16:AP20)</f>
        <v>53.186999999999998</v>
      </c>
      <c r="AQ21" s="25">
        <f t="shared" si="40"/>
        <v>0</v>
      </c>
      <c r="AR21" s="25">
        <f t="shared" si="40"/>
        <v>0</v>
      </c>
      <c r="AS21" s="25">
        <f t="shared" si="40"/>
        <v>0</v>
      </c>
      <c r="AT21" s="25">
        <f t="shared" si="40"/>
        <v>53.186999999999998</v>
      </c>
    </row>
    <row r="22" spans="2:46" s="12" customFormat="1" x14ac:dyDescent="0.2">
      <c r="D22" s="4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</row>
    <row r="23" spans="2:46" s="12" customFormat="1" x14ac:dyDescent="0.2">
      <c r="D23" s="4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</row>
    <row r="24" spans="2:46" s="12" customFormat="1" x14ac:dyDescent="0.2">
      <c r="D24" s="49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</row>
    <row r="25" spans="2:46" s="12" customFormat="1" x14ac:dyDescent="0.2">
      <c r="D25" s="4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</row>
    <row r="26" spans="2:46" s="12" customFormat="1" x14ac:dyDescent="0.2">
      <c r="D26" s="49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</row>
    <row r="27" spans="2:46" s="12" customFormat="1" x14ac:dyDescent="0.2">
      <c r="D27" s="4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</row>
    <row r="28" spans="2:46" s="12" customFormat="1" x14ac:dyDescent="0.2">
      <c r="D28" s="49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</row>
    <row r="29" spans="2:46" s="12" customFormat="1" x14ac:dyDescent="0.2">
      <c r="D29" s="4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</row>
    <row r="30" spans="2:46" s="12" customFormat="1" x14ac:dyDescent="0.2">
      <c r="D30" s="4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</row>
    <row r="31" spans="2:46" s="12" customFormat="1" x14ac:dyDescent="0.2">
      <c r="D31" s="4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 spans="2:46" s="12" customFormat="1" x14ac:dyDescent="0.2">
      <c r="D32" s="49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</row>
    <row r="33" spans="4:46" s="12" customFormat="1" x14ac:dyDescent="0.2">
      <c r="D33" s="4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</row>
    <row r="34" spans="4:46" s="12" customFormat="1" x14ac:dyDescent="0.2">
      <c r="D34" s="4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</row>
    <row r="35" spans="4:46" s="12" customFormat="1" x14ac:dyDescent="0.2">
      <c r="D35" s="4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EEE1-50D0-0D47-B0CF-459376E1EF40}">
  <dimension ref="A1:F13"/>
  <sheetViews>
    <sheetView zoomScale="191" zoomScaleNormal="150" workbookViewId="0">
      <selection activeCell="C17" sqref="C17"/>
    </sheetView>
  </sheetViews>
  <sheetFormatPr baseColWidth="10" defaultRowHeight="16" x14ac:dyDescent="0.2"/>
  <sheetData>
    <row r="1" spans="1:6" x14ac:dyDescent="0.2">
      <c r="A1" s="2">
        <v>0</v>
      </c>
      <c r="B1" s="2">
        <v>1728.55</v>
      </c>
      <c r="C1" s="2">
        <v>0</v>
      </c>
      <c r="D1" s="2">
        <v>134.46</v>
      </c>
      <c r="E1" s="2">
        <v>322.23</v>
      </c>
      <c r="F1" s="4">
        <f>SUM(A1:E1)</f>
        <v>2185.2399999999998</v>
      </c>
    </row>
    <row r="2" spans="1:6" x14ac:dyDescent="0.2">
      <c r="A2" s="2">
        <v>109.35</v>
      </c>
      <c r="B2" s="2">
        <v>0</v>
      </c>
      <c r="C2" s="2">
        <v>289.02</v>
      </c>
      <c r="D2" s="2">
        <v>0</v>
      </c>
      <c r="E2" s="2">
        <v>0</v>
      </c>
      <c r="F2" s="4">
        <f>SUM(A2:E2)</f>
        <v>398.37</v>
      </c>
    </row>
    <row r="3" spans="1:6" x14ac:dyDescent="0.2">
      <c r="A3" s="3">
        <v>730.99</v>
      </c>
      <c r="B3" s="2">
        <v>0</v>
      </c>
      <c r="C3" s="2">
        <v>0</v>
      </c>
      <c r="D3" s="2">
        <v>0</v>
      </c>
      <c r="E3" s="2">
        <v>0</v>
      </c>
      <c r="F3" s="4">
        <f>SUM(A3:E3)</f>
        <v>730.99</v>
      </c>
    </row>
    <row r="4" spans="1:6" x14ac:dyDescent="0.2">
      <c r="A4" s="2">
        <v>119.26</v>
      </c>
      <c r="B4" s="2">
        <v>115.69</v>
      </c>
      <c r="C4" s="2">
        <v>964.32</v>
      </c>
      <c r="D4" s="2">
        <v>0</v>
      </c>
      <c r="E4" s="2">
        <v>158.47999999999999</v>
      </c>
      <c r="F4" s="4">
        <f>SUM(A4:E4)</f>
        <v>1357.75</v>
      </c>
    </row>
    <row r="5" spans="1:6" x14ac:dyDescent="0.2">
      <c r="A5" s="2">
        <v>0</v>
      </c>
      <c r="B5" s="2">
        <v>0</v>
      </c>
      <c r="C5" s="2">
        <v>0</v>
      </c>
      <c r="D5" s="2">
        <v>2717.39</v>
      </c>
      <c r="E5" s="2">
        <v>0</v>
      </c>
      <c r="F5" s="4">
        <f>SUM(A5:E5)</f>
        <v>2717.39</v>
      </c>
    </row>
    <row r="6" spans="1:6" x14ac:dyDescent="0.2">
      <c r="A6" s="4">
        <f t="shared" ref="A6:F6" si="0">SUM(A1:A5)</f>
        <v>959.6</v>
      </c>
      <c r="B6" s="4">
        <f t="shared" si="0"/>
        <v>1844.24</v>
      </c>
      <c r="C6" s="4">
        <f t="shared" si="0"/>
        <v>1253.3400000000001</v>
      </c>
      <c r="D6" s="4">
        <f t="shared" si="0"/>
        <v>2851.85</v>
      </c>
      <c r="E6" s="4">
        <f t="shared" si="0"/>
        <v>480.71000000000004</v>
      </c>
      <c r="F6" s="4">
        <f t="shared" si="0"/>
        <v>7389.74</v>
      </c>
    </row>
    <row r="13" spans="1:6" x14ac:dyDescent="0.2">
      <c r="A13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88BD-EB7B-294A-83AB-7A2BE739143C}">
  <dimension ref="A1:F16"/>
  <sheetViews>
    <sheetView zoomScale="200" workbookViewId="0">
      <selection activeCell="B13" sqref="B13"/>
    </sheetView>
  </sheetViews>
  <sheetFormatPr baseColWidth="10" defaultRowHeight="16" x14ac:dyDescent="0.2"/>
  <sheetData>
    <row r="1" spans="1:6" x14ac:dyDescent="0.2">
      <c r="A1" s="2">
        <f>原始节点权重!A1*(1-参数!$A$3)</f>
        <v>0</v>
      </c>
      <c r="B1" s="2">
        <f>原始节点权重!B1*(1-参数!$A$3)</f>
        <v>1037.1299999999999</v>
      </c>
      <c r="C1" s="2">
        <f>原始节点权重!C1*(1-参数!$A$3)</f>
        <v>0</v>
      </c>
      <c r="D1" s="2">
        <f>原始节点权重!D1*(1-参数!$A$3)</f>
        <v>80.676000000000002</v>
      </c>
      <c r="E1" s="2">
        <f>原始节点权重!E1*(1-参数!$A$3)</f>
        <v>193.33799999999999</v>
      </c>
      <c r="F1" s="4">
        <f>SUM(A1:E1)</f>
        <v>1311.1439999999998</v>
      </c>
    </row>
    <row r="2" spans="1:6" x14ac:dyDescent="0.2">
      <c r="A2" s="2">
        <f>原始节点权重!A2*(1-参数!$A$3)</f>
        <v>65.61</v>
      </c>
      <c r="B2" s="2">
        <f>原始节点权重!B2*(1-参数!$A$3)</f>
        <v>0</v>
      </c>
      <c r="C2" s="2">
        <f>原始节点权重!C2*(1-参数!$A$3)</f>
        <v>173.41199999999998</v>
      </c>
      <c r="D2" s="2">
        <f>原始节点权重!D2*(1-参数!$A$3)</f>
        <v>0</v>
      </c>
      <c r="E2" s="2">
        <f>原始节点权重!E2*(1-参数!$A$3)</f>
        <v>0</v>
      </c>
      <c r="F2" s="4">
        <f>SUM(A2:E2)</f>
        <v>239.02199999999999</v>
      </c>
    </row>
    <row r="3" spans="1:6" x14ac:dyDescent="0.2">
      <c r="A3" s="2">
        <f>原始节点权重!A3*(1-参数!$A$3)</f>
        <v>438.59399999999999</v>
      </c>
      <c r="B3" s="2">
        <f>原始节点权重!B3*(1-参数!$A$3)</f>
        <v>0</v>
      </c>
      <c r="C3" s="2">
        <f>原始节点权重!C3*(1-参数!$A$3)</f>
        <v>0</v>
      </c>
      <c r="D3" s="2">
        <f>原始节点权重!D3*(1-参数!$A$3)</f>
        <v>0</v>
      </c>
      <c r="E3" s="2">
        <f>原始节点权重!E3*(1-参数!$A$3)</f>
        <v>0</v>
      </c>
      <c r="F3" s="4">
        <f>SUM(A3:E3)</f>
        <v>438.59399999999999</v>
      </c>
    </row>
    <row r="4" spans="1:6" x14ac:dyDescent="0.2">
      <c r="A4" s="2">
        <f>原始节点权重!A4*(1-参数!$A$3)</f>
        <v>71.555999999999997</v>
      </c>
      <c r="B4" s="2">
        <f>原始节点权重!B4*(1-参数!$A$3)</f>
        <v>69.414000000000001</v>
      </c>
      <c r="C4" s="2">
        <f>原始节点权重!C4*(1-参数!$A$3)</f>
        <v>578.59199999999998</v>
      </c>
      <c r="D4" s="2">
        <f>原始节点权重!D4*(1-参数!$A$3)</f>
        <v>0</v>
      </c>
      <c r="E4" s="2">
        <f>原始节点权重!E4*(1-参数!$A$3)</f>
        <v>95.087999999999994</v>
      </c>
      <c r="F4" s="4">
        <f>SUM(A4:E4)</f>
        <v>814.65</v>
      </c>
    </row>
    <row r="5" spans="1:6" x14ac:dyDescent="0.2">
      <c r="A5" s="2">
        <f>原始节点权重!A5*(1-参数!$A$3)</f>
        <v>0</v>
      </c>
      <c r="B5" s="2">
        <f>原始节点权重!B5*(1-参数!$A$3)</f>
        <v>0</v>
      </c>
      <c r="C5" s="2">
        <f>原始节点权重!C5*(1-参数!$A$3)</f>
        <v>0</v>
      </c>
      <c r="D5" s="2">
        <f>原始节点权重!D5*(1-参数!$A$3)</f>
        <v>1630.434</v>
      </c>
      <c r="E5" s="2">
        <f>原始节点权重!E5*(1-参数!$A$3)</f>
        <v>0</v>
      </c>
      <c r="F5" s="4">
        <f>SUM(A5:E5)</f>
        <v>1630.434</v>
      </c>
    </row>
    <row r="6" spans="1:6" x14ac:dyDescent="0.2">
      <c r="A6" s="4">
        <f t="shared" ref="A6:F6" si="0">SUM(A1:A5)</f>
        <v>575.76</v>
      </c>
      <c r="B6" s="4">
        <f t="shared" si="0"/>
        <v>1106.5439999999999</v>
      </c>
      <c r="C6" s="4">
        <f t="shared" si="0"/>
        <v>752.00399999999991</v>
      </c>
      <c r="D6" s="4">
        <f t="shared" si="0"/>
        <v>1711.11</v>
      </c>
      <c r="E6" s="4">
        <f t="shared" si="0"/>
        <v>288.42599999999999</v>
      </c>
      <c r="F6" s="4">
        <f t="shared" si="0"/>
        <v>4433.8440000000001</v>
      </c>
    </row>
    <row r="12" spans="1:6" x14ac:dyDescent="0.2">
      <c r="A12" s="1" t="s">
        <v>9</v>
      </c>
    </row>
    <row r="16" spans="1:6" x14ac:dyDescent="0.2">
      <c r="B16">
        <f>1728.55+134.46+322.23</f>
        <v>2185.2399999999998</v>
      </c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DF9F-C938-7B45-9633-D71920FBC3F4}">
  <dimension ref="A1:J6"/>
  <sheetViews>
    <sheetView zoomScale="140" workbookViewId="0">
      <selection activeCell="F19" sqref="F19"/>
    </sheetView>
  </sheetViews>
  <sheetFormatPr baseColWidth="10" defaultRowHeight="16" x14ac:dyDescent="0.2"/>
  <sheetData>
    <row r="1" spans="1:10" x14ac:dyDescent="0.2">
      <c r="A1" t="s">
        <v>14</v>
      </c>
      <c r="B1" t="s">
        <v>15</v>
      </c>
      <c r="C1" t="s">
        <v>12</v>
      </c>
      <c r="D1" t="s">
        <v>13</v>
      </c>
      <c r="E1" t="s">
        <v>4</v>
      </c>
      <c r="F1" t="s">
        <v>6</v>
      </c>
      <c r="G1" t="s">
        <v>5</v>
      </c>
      <c r="H1" t="s">
        <v>1</v>
      </c>
      <c r="I1" t="s">
        <v>2</v>
      </c>
      <c r="J1" t="s">
        <v>3</v>
      </c>
    </row>
    <row r="2" spans="1:10" x14ac:dyDescent="0.2">
      <c r="A2">
        <v>1</v>
      </c>
      <c r="B2" t="s">
        <v>16</v>
      </c>
      <c r="C2">
        <v>86.75</v>
      </c>
      <c r="D2">
        <v>433.75</v>
      </c>
      <c r="E2">
        <v>1631.73</v>
      </c>
      <c r="F2">
        <v>2185.2399999999998</v>
      </c>
      <c r="G2">
        <v>3160.99</v>
      </c>
      <c r="H2">
        <v>959.6</v>
      </c>
      <c r="I2">
        <v>216.83</v>
      </c>
      <c r="J2">
        <v>4337.46</v>
      </c>
    </row>
    <row r="3" spans="1:10" x14ac:dyDescent="0.2">
      <c r="A3">
        <v>2</v>
      </c>
      <c r="B3" t="s">
        <v>17</v>
      </c>
      <c r="C3">
        <v>106.85</v>
      </c>
      <c r="D3">
        <v>534.27</v>
      </c>
      <c r="E3">
        <v>4303.24</v>
      </c>
      <c r="F3">
        <v>398.37</v>
      </c>
      <c r="G3">
        <v>3231.37</v>
      </c>
      <c r="H3">
        <v>1844.24</v>
      </c>
      <c r="I3">
        <v>267.13</v>
      </c>
      <c r="J3">
        <v>5342.74</v>
      </c>
    </row>
    <row r="4" spans="1:10" x14ac:dyDescent="0.2">
      <c r="A4">
        <v>3</v>
      </c>
      <c r="B4" t="s">
        <v>18</v>
      </c>
      <c r="C4">
        <v>93.43</v>
      </c>
      <c r="D4">
        <v>467.13</v>
      </c>
      <c r="E4">
        <v>3379.72</v>
      </c>
      <c r="F4">
        <v>730.99</v>
      </c>
      <c r="G4">
        <v>3184.36</v>
      </c>
      <c r="H4">
        <v>1253.3399999999999</v>
      </c>
      <c r="I4">
        <v>233.56</v>
      </c>
      <c r="J4">
        <v>4671.26</v>
      </c>
    </row>
    <row r="5" spans="1:10" x14ac:dyDescent="0.2">
      <c r="A5">
        <v>4</v>
      </c>
      <c r="B5" t="s">
        <v>19</v>
      </c>
      <c r="C5">
        <v>129.76</v>
      </c>
      <c r="D5">
        <v>648.78</v>
      </c>
      <c r="E5">
        <v>4351.47</v>
      </c>
      <c r="F5">
        <v>1357.75</v>
      </c>
      <c r="G5">
        <v>3311.51</v>
      </c>
      <c r="H5">
        <v>2851.85</v>
      </c>
      <c r="I5">
        <v>324.39</v>
      </c>
      <c r="J5">
        <v>6487.75</v>
      </c>
    </row>
    <row r="6" spans="1:10" x14ac:dyDescent="0.2">
      <c r="A6">
        <v>5</v>
      </c>
      <c r="B6" t="s">
        <v>20</v>
      </c>
      <c r="C6">
        <v>75.86</v>
      </c>
      <c r="D6">
        <v>379.33</v>
      </c>
      <c r="E6">
        <v>620.69000000000005</v>
      </c>
      <c r="F6">
        <v>2717.39</v>
      </c>
      <c r="G6">
        <v>3122.9</v>
      </c>
      <c r="H6">
        <v>480.71</v>
      </c>
      <c r="I6">
        <v>189.66</v>
      </c>
      <c r="J6">
        <v>3793.27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C2A9-6E65-1C44-80C5-58B1B3916895}">
  <dimension ref="A1:Y30"/>
  <sheetViews>
    <sheetView zoomScale="140" workbookViewId="0">
      <selection activeCell="G18" sqref="G18"/>
    </sheetView>
  </sheetViews>
  <sheetFormatPr baseColWidth="10" defaultRowHeight="16" x14ac:dyDescent="0.2"/>
  <sheetData>
    <row r="1" spans="1:25" x14ac:dyDescent="0.2">
      <c r="A1" t="s">
        <v>14</v>
      </c>
      <c r="B1" t="s">
        <v>15</v>
      </c>
      <c r="C1" t="s">
        <v>0</v>
      </c>
      <c r="D1" t="s">
        <v>4</v>
      </c>
      <c r="E1" t="s">
        <v>6</v>
      </c>
      <c r="F1" t="s">
        <v>5</v>
      </c>
      <c r="G1" t="s">
        <v>1</v>
      </c>
      <c r="H1" t="s">
        <v>2</v>
      </c>
      <c r="I1" t="s">
        <v>3</v>
      </c>
      <c r="K1" s="2" t="s">
        <v>3</v>
      </c>
      <c r="L1" s="2" t="s">
        <v>21</v>
      </c>
      <c r="M1" s="2" t="s">
        <v>2</v>
      </c>
    </row>
    <row r="2" spans="1:25" x14ac:dyDescent="0.2">
      <c r="A2">
        <v>1</v>
      </c>
      <c r="B2" t="s">
        <v>16</v>
      </c>
      <c r="C2">
        <f>原始资产负债表!C2+原始资产负债表!D2*(1-参数!$B$3)</f>
        <v>477.125</v>
      </c>
      <c r="D2">
        <v>1631.73</v>
      </c>
      <c r="E2">
        <v>2185.2399999999998</v>
      </c>
      <c r="F2">
        <v>3160.99</v>
      </c>
      <c r="G2">
        <v>959.6</v>
      </c>
      <c r="H2">
        <v>216.83</v>
      </c>
      <c r="I2">
        <v>4337.46</v>
      </c>
      <c r="K2" s="5">
        <f>E2+D2+C2</f>
        <v>4294.0949999999993</v>
      </c>
      <c r="L2" s="5">
        <f>F2+G2</f>
        <v>4120.59</v>
      </c>
      <c r="M2" s="5">
        <f>K2-L2</f>
        <v>173.5049999999992</v>
      </c>
    </row>
    <row r="3" spans="1:25" x14ac:dyDescent="0.2">
      <c r="A3">
        <v>2</v>
      </c>
      <c r="B3" t="s">
        <v>17</v>
      </c>
      <c r="C3">
        <f>原始资产负债表!C3+原始资产负债表!D3*(1-参数!$B$3)</f>
        <v>587.69299999999998</v>
      </c>
      <c r="D3">
        <v>4303.24</v>
      </c>
      <c r="E3">
        <v>398.37</v>
      </c>
      <c r="F3">
        <v>3231.37</v>
      </c>
      <c r="G3">
        <v>1844.24</v>
      </c>
      <c r="H3">
        <v>267.13</v>
      </c>
      <c r="I3">
        <v>5342.74</v>
      </c>
      <c r="K3" s="5">
        <f>E3+D3+C3</f>
        <v>5289.3029999999999</v>
      </c>
      <c r="L3" s="5">
        <f>F3+G3</f>
        <v>5075.6099999999997</v>
      </c>
      <c r="M3" s="5">
        <f>K3-L3</f>
        <v>213.69300000000021</v>
      </c>
    </row>
    <row r="4" spans="1:25" x14ac:dyDescent="0.2">
      <c r="A4">
        <v>3</v>
      </c>
      <c r="B4" t="s">
        <v>18</v>
      </c>
      <c r="C4">
        <f>原始资产负债表!C4+原始资产负债表!D4*(1-参数!$B$3)</f>
        <v>513.84699999999998</v>
      </c>
      <c r="D4">
        <v>3379.72</v>
      </c>
      <c r="E4">
        <v>730.99</v>
      </c>
      <c r="F4">
        <v>3184.36</v>
      </c>
      <c r="G4">
        <v>1253.3399999999999</v>
      </c>
      <c r="H4">
        <v>233.56</v>
      </c>
      <c r="I4">
        <v>4671.26</v>
      </c>
      <c r="K4" s="5">
        <f>E4+D4+C4</f>
        <v>4624.5569999999998</v>
      </c>
      <c r="L4" s="5">
        <f>F4+G4</f>
        <v>4437.7</v>
      </c>
      <c r="M4" s="5">
        <f>K4-L4</f>
        <v>186.85699999999997</v>
      </c>
    </row>
    <row r="5" spans="1:25" x14ac:dyDescent="0.2">
      <c r="A5">
        <v>4</v>
      </c>
      <c r="B5" t="s">
        <v>19</v>
      </c>
      <c r="C5">
        <f>原始资产负债表!C5+原始资产负债表!D5*(1-参数!$B$3)</f>
        <v>713.66200000000003</v>
      </c>
      <c r="D5">
        <v>4351.47</v>
      </c>
      <c r="E5">
        <v>1357.75</v>
      </c>
      <c r="F5">
        <v>3311.51</v>
      </c>
      <c r="G5">
        <v>2851.85</v>
      </c>
      <c r="H5">
        <v>324.39</v>
      </c>
      <c r="I5">
        <v>6487.75</v>
      </c>
      <c r="K5" s="5">
        <f>E5+D5+C5</f>
        <v>6422.8820000000005</v>
      </c>
      <c r="L5" s="5">
        <f>F5+G5</f>
        <v>6163.3600000000006</v>
      </c>
      <c r="M5" s="5">
        <f>K5-L5</f>
        <v>259.52199999999993</v>
      </c>
    </row>
    <row r="6" spans="1:25" x14ac:dyDescent="0.2">
      <c r="A6">
        <v>5</v>
      </c>
      <c r="B6" t="s">
        <v>20</v>
      </c>
      <c r="C6">
        <f>原始资产负债表!C6+原始资产负债表!D6*(1-参数!$B$3)</f>
        <v>417.25700000000001</v>
      </c>
      <c r="D6">
        <v>620.69000000000005</v>
      </c>
      <c r="E6">
        <v>2717.39</v>
      </c>
      <c r="F6">
        <v>3122.9</v>
      </c>
      <c r="G6">
        <v>480.71</v>
      </c>
      <c r="H6">
        <v>189.66</v>
      </c>
      <c r="I6">
        <v>3793.27</v>
      </c>
      <c r="K6" s="5">
        <f>E6+D6+C6</f>
        <v>3755.337</v>
      </c>
      <c r="L6" s="5">
        <f>F6+G6</f>
        <v>3603.61</v>
      </c>
      <c r="M6" s="5">
        <f>K6-L6</f>
        <v>151.72699999999986</v>
      </c>
    </row>
    <row r="8" spans="1:25" x14ac:dyDescent="0.2">
      <c r="C8" s="4">
        <f>SUM(C2:C7)</f>
        <v>2709.5840000000003</v>
      </c>
      <c r="D8" s="4">
        <f t="shared" ref="D8:I8" si="0">SUM(D2:D7)</f>
        <v>14286.85</v>
      </c>
      <c r="E8" s="4">
        <f t="shared" si="0"/>
        <v>7389.74</v>
      </c>
      <c r="F8" s="4">
        <f t="shared" si="0"/>
        <v>16011.13</v>
      </c>
      <c r="G8" s="4">
        <f t="shared" si="0"/>
        <v>7389.7400000000007</v>
      </c>
      <c r="H8" s="4">
        <f t="shared" si="0"/>
        <v>1231.57</v>
      </c>
      <c r="I8" s="4">
        <f t="shared" si="0"/>
        <v>24632.48</v>
      </c>
    </row>
    <row r="10" spans="1:25" s="7" customFormat="1" x14ac:dyDescent="0.2">
      <c r="A10" s="7" t="s">
        <v>42</v>
      </c>
      <c r="B10" s="7" t="s">
        <v>29</v>
      </c>
      <c r="C10" s="7" t="s">
        <v>14</v>
      </c>
      <c r="D10" s="7" t="s">
        <v>15</v>
      </c>
      <c r="E10" s="7" t="s">
        <v>27</v>
      </c>
      <c r="F10" s="7" t="s">
        <v>0</v>
      </c>
      <c r="G10" s="7" t="s">
        <v>4</v>
      </c>
      <c r="H10" s="7" t="s">
        <v>30</v>
      </c>
      <c r="I10" s="7" t="s">
        <v>5</v>
      </c>
      <c r="J10" s="7" t="s">
        <v>31</v>
      </c>
      <c r="K10" s="8" t="s">
        <v>26</v>
      </c>
      <c r="L10" s="8" t="s">
        <v>3</v>
      </c>
      <c r="M10" s="8" t="s">
        <v>28</v>
      </c>
      <c r="N10" s="8" t="s">
        <v>21</v>
      </c>
      <c r="O10" s="8" t="s">
        <v>2</v>
      </c>
      <c r="P10" s="8" t="s">
        <v>45</v>
      </c>
      <c r="Q10" s="8" t="s">
        <v>46</v>
      </c>
      <c r="R10" s="8" t="s">
        <v>32</v>
      </c>
      <c r="S10" s="8" t="s">
        <v>39</v>
      </c>
      <c r="T10" s="8" t="s">
        <v>38</v>
      </c>
      <c r="U10" s="8" t="s">
        <v>40</v>
      </c>
      <c r="V10" s="8" t="s">
        <v>34</v>
      </c>
      <c r="W10" s="8" t="s">
        <v>41</v>
      </c>
      <c r="X10" s="8" t="s">
        <v>43</v>
      </c>
      <c r="Y10" s="8" t="s">
        <v>44</v>
      </c>
    </row>
    <row r="11" spans="1:25" s="7" customFormat="1" x14ac:dyDescent="0.2">
      <c r="A11" s="7">
        <v>1</v>
      </c>
      <c r="B11" s="7">
        <v>1</v>
      </c>
      <c r="C11" s="7">
        <v>1</v>
      </c>
      <c r="D11" s="7" t="s">
        <v>16</v>
      </c>
      <c r="E11" s="7">
        <v>0</v>
      </c>
      <c r="F11" s="7">
        <v>477.125</v>
      </c>
      <c r="G11" s="7">
        <v>1631.73</v>
      </c>
      <c r="H11" s="7">
        <v>2185.2399999999998</v>
      </c>
      <c r="I11" s="7">
        <v>3160.99</v>
      </c>
      <c r="J11" s="7">
        <v>959.6</v>
      </c>
      <c r="K11" s="11">
        <f>E11+F11+G11</f>
        <v>2108.855</v>
      </c>
      <c r="L11" s="11">
        <f>K11+H11</f>
        <v>4294.0949999999993</v>
      </c>
      <c r="M11" s="11">
        <f>I11</f>
        <v>3160.99</v>
      </c>
      <c r="N11" s="11">
        <f>J11+M11</f>
        <v>4120.59</v>
      </c>
      <c r="O11" s="11">
        <f>MAX(L11-N11,0)</f>
        <v>173.5049999999992</v>
      </c>
      <c r="P11" s="8">
        <v>0</v>
      </c>
      <c r="Q11" s="8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11">
        <f>T11+V11</f>
        <v>0</v>
      </c>
      <c r="Y11" s="11">
        <f>U11+W11</f>
        <v>0</v>
      </c>
    </row>
    <row r="12" spans="1:25" s="7" customFormat="1" x14ac:dyDescent="0.2">
      <c r="C12" s="7">
        <v>2</v>
      </c>
      <c r="D12" s="7" t="s">
        <v>17</v>
      </c>
      <c r="E12" s="7">
        <v>0</v>
      </c>
      <c r="F12" s="7">
        <v>587.69299999999998</v>
      </c>
      <c r="G12" s="7">
        <v>4303.24</v>
      </c>
      <c r="H12" s="7">
        <v>398.37</v>
      </c>
      <c r="I12" s="7">
        <v>3231.37</v>
      </c>
      <c r="J12" s="7">
        <v>1844.24</v>
      </c>
      <c r="K12" s="11">
        <f>E12+F12+G12</f>
        <v>4890.933</v>
      </c>
      <c r="L12" s="11">
        <f t="shared" ref="L12:L15" si="1">K12+H12</f>
        <v>5289.3029999999999</v>
      </c>
      <c r="M12" s="11">
        <f t="shared" ref="M12:M15" si="2">I12</f>
        <v>3231.37</v>
      </c>
      <c r="N12" s="11">
        <f t="shared" ref="N12:N15" si="3">J12+M12</f>
        <v>5075.6099999999997</v>
      </c>
      <c r="O12" s="11">
        <f t="shared" ref="O12:O15" si="4">MAX(L12-N12,0)</f>
        <v>213.69300000000021</v>
      </c>
      <c r="P12" s="8">
        <v>0</v>
      </c>
      <c r="Q12" s="8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11">
        <f t="shared" ref="X12:Y15" si="5">T12+V12</f>
        <v>0</v>
      </c>
      <c r="Y12" s="11">
        <f t="shared" si="5"/>
        <v>0</v>
      </c>
    </row>
    <row r="13" spans="1:25" s="7" customFormat="1" x14ac:dyDescent="0.2">
      <c r="C13" s="7">
        <v>3</v>
      </c>
      <c r="D13" s="7" t="s">
        <v>18</v>
      </c>
      <c r="E13" s="7">
        <v>0</v>
      </c>
      <c r="F13" s="7">
        <v>513.84699999999998</v>
      </c>
      <c r="G13" s="7">
        <v>3379.72</v>
      </c>
      <c r="H13" s="7">
        <v>730.99</v>
      </c>
      <c r="I13" s="7">
        <v>3184.36</v>
      </c>
      <c r="J13" s="7">
        <v>1253.3399999999999</v>
      </c>
      <c r="K13" s="11">
        <f>E13+F13+G13</f>
        <v>3893.567</v>
      </c>
      <c r="L13" s="11">
        <f t="shared" si="1"/>
        <v>4624.5569999999998</v>
      </c>
      <c r="M13" s="11">
        <f t="shared" si="2"/>
        <v>3184.36</v>
      </c>
      <c r="N13" s="11">
        <f t="shared" si="3"/>
        <v>4437.7</v>
      </c>
      <c r="O13" s="11">
        <f t="shared" si="4"/>
        <v>186.85699999999997</v>
      </c>
      <c r="P13" s="8">
        <v>0</v>
      </c>
      <c r="Q13" s="8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11">
        <f t="shared" si="5"/>
        <v>0</v>
      </c>
      <c r="Y13" s="11">
        <f t="shared" si="5"/>
        <v>0</v>
      </c>
    </row>
    <row r="14" spans="1:25" s="7" customFormat="1" x14ac:dyDescent="0.2">
      <c r="C14" s="7">
        <v>4</v>
      </c>
      <c r="D14" s="7" t="s">
        <v>19</v>
      </c>
      <c r="E14" s="7">
        <v>0</v>
      </c>
      <c r="F14" s="7">
        <v>713.66200000000003</v>
      </c>
      <c r="G14" s="7">
        <v>4351.47</v>
      </c>
      <c r="H14" s="7">
        <v>1357.75</v>
      </c>
      <c r="I14" s="7">
        <v>3311.51</v>
      </c>
      <c r="J14" s="7">
        <v>2851.85</v>
      </c>
      <c r="K14" s="11">
        <f>E14+F14+G14</f>
        <v>5065.1320000000005</v>
      </c>
      <c r="L14" s="11">
        <f t="shared" si="1"/>
        <v>6422.8820000000005</v>
      </c>
      <c r="M14" s="11">
        <f t="shared" si="2"/>
        <v>3311.51</v>
      </c>
      <c r="N14" s="11">
        <f t="shared" si="3"/>
        <v>6163.3600000000006</v>
      </c>
      <c r="O14" s="11">
        <f t="shared" si="4"/>
        <v>259.52199999999993</v>
      </c>
      <c r="P14" s="8">
        <v>0</v>
      </c>
      <c r="Q14" s="8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11">
        <f t="shared" si="5"/>
        <v>0</v>
      </c>
      <c r="Y14" s="11">
        <f t="shared" si="5"/>
        <v>0</v>
      </c>
    </row>
    <row r="15" spans="1:25" s="7" customFormat="1" x14ac:dyDescent="0.2">
      <c r="C15" s="7">
        <v>5</v>
      </c>
      <c r="D15" s="7" t="s">
        <v>20</v>
      </c>
      <c r="E15" s="7">
        <v>0</v>
      </c>
      <c r="F15" s="7">
        <v>417.25700000000001</v>
      </c>
      <c r="G15" s="7">
        <v>620.69000000000005</v>
      </c>
      <c r="H15" s="7">
        <v>2717.39</v>
      </c>
      <c r="I15" s="7">
        <v>3122.9</v>
      </c>
      <c r="J15" s="7">
        <v>480.71</v>
      </c>
      <c r="K15" s="11">
        <f>E15+F15+G15</f>
        <v>1037.9470000000001</v>
      </c>
      <c r="L15" s="11">
        <f t="shared" si="1"/>
        <v>3755.337</v>
      </c>
      <c r="M15" s="11">
        <f t="shared" si="2"/>
        <v>3122.9</v>
      </c>
      <c r="N15" s="11">
        <f t="shared" si="3"/>
        <v>3603.61</v>
      </c>
      <c r="O15" s="11">
        <f t="shared" si="4"/>
        <v>151.72699999999986</v>
      </c>
      <c r="P15" s="8">
        <v>0</v>
      </c>
      <c r="Q15" s="8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11">
        <f t="shared" si="5"/>
        <v>0</v>
      </c>
      <c r="Y15" s="11">
        <f t="shared" si="5"/>
        <v>0</v>
      </c>
    </row>
    <row r="16" spans="1:25" s="7" customFormat="1" x14ac:dyDescent="0.2">
      <c r="E16" s="9">
        <f>SUM(E11:E15)</f>
        <v>0</v>
      </c>
      <c r="F16" s="9">
        <f t="shared" ref="F16:N16" si="6">SUM(F11:F15)</f>
        <v>2709.5840000000003</v>
      </c>
      <c r="G16" s="9">
        <f t="shared" si="6"/>
        <v>14286.85</v>
      </c>
      <c r="H16" s="9">
        <f t="shared" si="6"/>
        <v>7389.74</v>
      </c>
      <c r="I16" s="9">
        <f t="shared" si="6"/>
        <v>16011.13</v>
      </c>
      <c r="J16" s="9">
        <f t="shared" si="6"/>
        <v>7389.7400000000007</v>
      </c>
      <c r="K16" s="9">
        <f>SUM(K11:K15)</f>
        <v>16996.434000000001</v>
      </c>
      <c r="L16" s="9">
        <f t="shared" si="6"/>
        <v>24386.173999999999</v>
      </c>
      <c r="M16" s="9">
        <f>SUM(M11:M15)</f>
        <v>16011.13</v>
      </c>
      <c r="N16" s="9">
        <f t="shared" si="6"/>
        <v>23400.870000000003</v>
      </c>
      <c r="O16" s="9">
        <f>SUM(O11:O15)</f>
        <v>985.30399999999918</v>
      </c>
      <c r="P16" s="9">
        <f t="shared" ref="P16:Y16" si="7">SUM(P11:P15)</f>
        <v>0</v>
      </c>
      <c r="Q16" s="9">
        <f t="shared" si="7"/>
        <v>0</v>
      </c>
      <c r="R16" s="9">
        <f t="shared" si="7"/>
        <v>0</v>
      </c>
      <c r="S16" s="9">
        <f>SUM(S11:S15)</f>
        <v>0</v>
      </c>
      <c r="T16" s="9">
        <f t="shared" si="7"/>
        <v>0</v>
      </c>
      <c r="U16" s="9">
        <f>SUM(U11:U15)</f>
        <v>0</v>
      </c>
      <c r="V16" s="9">
        <f t="shared" si="7"/>
        <v>0</v>
      </c>
      <c r="W16" s="9">
        <f t="shared" si="7"/>
        <v>0</v>
      </c>
      <c r="X16" s="9">
        <f t="shared" si="7"/>
        <v>0</v>
      </c>
      <c r="Y16" s="9">
        <f t="shared" si="7"/>
        <v>0</v>
      </c>
    </row>
    <row r="30" spans="9:9" x14ac:dyDescent="0.2">
      <c r="I30" s="4"/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D53E-ED2F-3F43-A77A-EAA7993F870E}">
  <dimension ref="A1:AS25"/>
  <sheetViews>
    <sheetView zoomScale="139" workbookViewId="0">
      <selection activeCell="F18" sqref="F18"/>
    </sheetView>
  </sheetViews>
  <sheetFormatPr baseColWidth="10" defaultRowHeight="16" x14ac:dyDescent="0.2"/>
  <sheetData>
    <row r="1" spans="1:6" x14ac:dyDescent="0.2">
      <c r="A1" s="2">
        <v>0</v>
      </c>
      <c r="B1" s="2">
        <v>1728.55</v>
      </c>
      <c r="C1" s="2">
        <v>0</v>
      </c>
      <c r="D1" s="2">
        <v>134.46</v>
      </c>
      <c r="E1" s="2">
        <v>322.23</v>
      </c>
      <c r="F1" s="4">
        <f>SUM(A1:E1)</f>
        <v>2185.2399999999998</v>
      </c>
    </row>
    <row r="2" spans="1:6" x14ac:dyDescent="0.2">
      <c r="A2" s="2">
        <v>109.35</v>
      </c>
      <c r="B2" s="2">
        <v>0</v>
      </c>
      <c r="C2" s="2">
        <v>289.02</v>
      </c>
      <c r="D2" s="2">
        <v>0</v>
      </c>
      <c r="E2" s="2">
        <v>0</v>
      </c>
      <c r="F2" s="4">
        <f>SUM(A2:E2)</f>
        <v>398.37</v>
      </c>
    </row>
    <row r="3" spans="1:6" x14ac:dyDescent="0.2">
      <c r="A3" s="3">
        <v>730.99</v>
      </c>
      <c r="B3" s="2">
        <v>0</v>
      </c>
      <c r="C3" s="2">
        <v>0</v>
      </c>
      <c r="D3" s="2">
        <v>0</v>
      </c>
      <c r="E3" s="2">
        <v>0</v>
      </c>
      <c r="F3" s="4">
        <f>SUM(A3:E3)</f>
        <v>730.99</v>
      </c>
    </row>
    <row r="4" spans="1:6" x14ac:dyDescent="0.2">
      <c r="A4" s="2">
        <v>119.26</v>
      </c>
      <c r="B4" s="2">
        <v>115.69</v>
      </c>
      <c r="C4" s="2">
        <v>964.32</v>
      </c>
      <c r="D4" s="2">
        <v>0</v>
      </c>
      <c r="E4" s="2">
        <v>158.47999999999999</v>
      </c>
      <c r="F4" s="4">
        <f>SUM(A4:E4)</f>
        <v>1357.75</v>
      </c>
    </row>
    <row r="5" spans="1:6" x14ac:dyDescent="0.2">
      <c r="A5" s="2">
        <v>0</v>
      </c>
      <c r="B5" s="2">
        <v>0</v>
      </c>
      <c r="C5" s="2">
        <v>0</v>
      </c>
      <c r="D5" s="2">
        <v>2717.39</v>
      </c>
      <c r="E5" s="2">
        <v>0</v>
      </c>
      <c r="F5" s="4">
        <f>SUM(A5:E5)</f>
        <v>2717.39</v>
      </c>
    </row>
    <row r="6" spans="1:6" x14ac:dyDescent="0.2">
      <c r="A6" s="4">
        <f t="shared" ref="A6:F6" si="0">SUM(A1:A5)</f>
        <v>959.6</v>
      </c>
      <c r="B6" s="4">
        <f t="shared" si="0"/>
        <v>1844.24</v>
      </c>
      <c r="C6" s="4">
        <f t="shared" si="0"/>
        <v>1253.3400000000001</v>
      </c>
      <c r="D6" s="4">
        <f t="shared" si="0"/>
        <v>2851.85</v>
      </c>
      <c r="E6" s="4">
        <f t="shared" si="0"/>
        <v>480.71000000000004</v>
      </c>
      <c r="F6" s="4">
        <f t="shared" si="0"/>
        <v>7389.74</v>
      </c>
    </row>
    <row r="12" spans="1:6" x14ac:dyDescent="0.2">
      <c r="A12" s="1" t="s">
        <v>9</v>
      </c>
    </row>
    <row r="16" spans="1:6" x14ac:dyDescent="0.2">
      <c r="B16">
        <f>1728.55+134.46+322.23</f>
        <v>2185.2399999999998</v>
      </c>
    </row>
    <row r="18" spans="1:45" s="7" customFormat="1" x14ac:dyDescent="0.2">
      <c r="A18" s="6" t="s">
        <v>14</v>
      </c>
      <c r="B18" s="6" t="s">
        <v>42</v>
      </c>
      <c r="C18" s="6" t="s">
        <v>29</v>
      </c>
      <c r="E18" s="6" t="s">
        <v>6</v>
      </c>
      <c r="K18" s="6"/>
      <c r="L18" s="6" t="s">
        <v>1</v>
      </c>
      <c r="R18" s="6"/>
      <c r="S18" s="6" t="s">
        <v>33</v>
      </c>
      <c r="Y18" s="6"/>
      <c r="Z18" s="7" t="s">
        <v>35</v>
      </c>
      <c r="AF18" s="6"/>
      <c r="AG18" s="7" t="s">
        <v>36</v>
      </c>
      <c r="AM18" s="6"/>
      <c r="AN18" s="7" t="s">
        <v>37</v>
      </c>
    </row>
    <row r="19" spans="1:45" s="7" customFormat="1" x14ac:dyDescent="0.2">
      <c r="A19" s="6"/>
      <c r="B19" s="6"/>
      <c r="C19" s="6"/>
      <c r="D19" s="6"/>
      <c r="K19" s="6"/>
      <c r="R19" s="6"/>
      <c r="Y19" s="6"/>
      <c r="AF19" s="6"/>
      <c r="AM19" s="6"/>
    </row>
    <row r="20" spans="1:45" s="7" customFormat="1" x14ac:dyDescent="0.2">
      <c r="A20" s="6"/>
      <c r="B20" s="6">
        <v>1</v>
      </c>
      <c r="C20" s="6">
        <v>1</v>
      </c>
      <c r="D20" s="6"/>
      <c r="E20" s="8">
        <v>0</v>
      </c>
      <c r="F20" s="8">
        <v>1728.55</v>
      </c>
      <c r="G20" s="8">
        <v>0</v>
      </c>
      <c r="H20" s="8">
        <v>134.46</v>
      </c>
      <c r="I20" s="8">
        <v>322.23</v>
      </c>
      <c r="J20" s="9">
        <f>SUM(E20:I20)</f>
        <v>2185.2399999999998</v>
      </c>
      <c r="K20" s="6"/>
      <c r="L20" s="8">
        <v>0</v>
      </c>
      <c r="M20" s="8">
        <v>109.35</v>
      </c>
      <c r="N20" s="10">
        <v>730.99</v>
      </c>
      <c r="O20" s="8">
        <v>119.26</v>
      </c>
      <c r="P20" s="8">
        <v>0</v>
      </c>
      <c r="Q20" s="9">
        <f>SUM(L20:P20)</f>
        <v>959.6</v>
      </c>
      <c r="R20" s="6"/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9">
        <f>SUM(S20:W20)</f>
        <v>0</v>
      </c>
      <c r="Y20" s="6"/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9">
        <f>SUM(Z20:AD20)</f>
        <v>0</v>
      </c>
      <c r="AF20" s="6"/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9">
        <f>SUM(AG20:AK20)</f>
        <v>0</v>
      </c>
      <c r="AM20" s="6"/>
      <c r="AN20" s="11">
        <f>Z20+AG20</f>
        <v>0</v>
      </c>
      <c r="AO20" s="11">
        <f t="shared" ref="AO20:AR24" si="1">AA20+AH20</f>
        <v>0</v>
      </c>
      <c r="AP20" s="11">
        <f t="shared" si="1"/>
        <v>0</v>
      </c>
      <c r="AQ20" s="11">
        <f t="shared" si="1"/>
        <v>0</v>
      </c>
      <c r="AR20" s="11">
        <f t="shared" si="1"/>
        <v>0</v>
      </c>
      <c r="AS20" s="9">
        <f>SUM(AN20:AR20)</f>
        <v>0</v>
      </c>
    </row>
    <row r="21" spans="1:45" s="7" customFormat="1" x14ac:dyDescent="0.2">
      <c r="A21" s="6"/>
      <c r="B21" s="6"/>
      <c r="C21" s="6"/>
      <c r="D21" s="6"/>
      <c r="E21" s="8">
        <v>109.35</v>
      </c>
      <c r="F21" s="8">
        <v>0</v>
      </c>
      <c r="G21" s="8">
        <v>289.02</v>
      </c>
      <c r="H21" s="8">
        <v>0</v>
      </c>
      <c r="I21" s="8">
        <v>0</v>
      </c>
      <c r="J21" s="9">
        <f>SUM(E21:I21)</f>
        <v>398.37</v>
      </c>
      <c r="K21" s="6"/>
      <c r="L21" s="8">
        <v>1728.55</v>
      </c>
      <c r="M21" s="8">
        <v>0</v>
      </c>
      <c r="N21" s="8">
        <v>0</v>
      </c>
      <c r="O21" s="8">
        <v>115.69</v>
      </c>
      <c r="P21" s="8">
        <v>0</v>
      </c>
      <c r="Q21" s="9">
        <f t="shared" ref="Q21:Q24" si="2">SUM(L21:P21)</f>
        <v>1844.24</v>
      </c>
      <c r="R21" s="6"/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9">
        <f t="shared" ref="X21:X24" si="3">SUM(S21:W21)</f>
        <v>0</v>
      </c>
      <c r="Y21" s="6"/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9">
        <f t="shared" ref="AE21:AE24" si="4">SUM(Z21:AD21)</f>
        <v>0</v>
      </c>
      <c r="AF21" s="6"/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9">
        <f t="shared" ref="AL21:AL24" si="5">SUM(AG21:AK21)</f>
        <v>0</v>
      </c>
      <c r="AM21" s="6"/>
      <c r="AN21" s="11">
        <f t="shared" ref="AN21:AN24" si="6">Z21+AG21</f>
        <v>0</v>
      </c>
      <c r="AO21" s="11">
        <f t="shared" si="1"/>
        <v>0</v>
      </c>
      <c r="AP21" s="11">
        <f t="shared" si="1"/>
        <v>0</v>
      </c>
      <c r="AQ21" s="11">
        <f t="shared" si="1"/>
        <v>0</v>
      </c>
      <c r="AR21" s="11">
        <f t="shared" si="1"/>
        <v>0</v>
      </c>
      <c r="AS21" s="9">
        <f t="shared" ref="AS21:AS24" si="7">SUM(AN21:AR21)</f>
        <v>0</v>
      </c>
    </row>
    <row r="22" spans="1:45" s="7" customFormat="1" x14ac:dyDescent="0.2">
      <c r="A22" s="6"/>
      <c r="B22" s="6"/>
      <c r="C22" s="6"/>
      <c r="D22" s="6"/>
      <c r="E22" s="10">
        <v>730.99</v>
      </c>
      <c r="F22" s="8">
        <v>0</v>
      </c>
      <c r="G22" s="8">
        <v>0</v>
      </c>
      <c r="H22" s="8">
        <v>0</v>
      </c>
      <c r="I22" s="8">
        <v>0</v>
      </c>
      <c r="J22" s="9">
        <f>SUM(E22:I22)</f>
        <v>730.99</v>
      </c>
      <c r="K22" s="6"/>
      <c r="L22" s="8">
        <v>0</v>
      </c>
      <c r="M22" s="8">
        <v>289.02</v>
      </c>
      <c r="N22" s="8">
        <v>0</v>
      </c>
      <c r="O22" s="8">
        <v>964.32</v>
      </c>
      <c r="P22" s="8">
        <v>0</v>
      </c>
      <c r="Q22" s="9">
        <f t="shared" si="2"/>
        <v>1253.3400000000001</v>
      </c>
      <c r="R22" s="6"/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9">
        <f t="shared" si="3"/>
        <v>0</v>
      </c>
      <c r="Y22" s="6"/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9">
        <f t="shared" si="4"/>
        <v>0</v>
      </c>
      <c r="AF22" s="6"/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9">
        <f t="shared" si="5"/>
        <v>0</v>
      </c>
      <c r="AM22" s="6"/>
      <c r="AN22" s="11">
        <f t="shared" si="6"/>
        <v>0</v>
      </c>
      <c r="AO22" s="11">
        <f t="shared" si="1"/>
        <v>0</v>
      </c>
      <c r="AP22" s="11">
        <f t="shared" si="1"/>
        <v>0</v>
      </c>
      <c r="AQ22" s="11">
        <f t="shared" si="1"/>
        <v>0</v>
      </c>
      <c r="AR22" s="11">
        <f t="shared" si="1"/>
        <v>0</v>
      </c>
      <c r="AS22" s="9">
        <f t="shared" si="7"/>
        <v>0</v>
      </c>
    </row>
    <row r="23" spans="1:45" s="7" customFormat="1" x14ac:dyDescent="0.2">
      <c r="A23" s="6"/>
      <c r="B23" s="6"/>
      <c r="C23" s="6"/>
      <c r="D23" s="6"/>
      <c r="E23" s="8">
        <v>119.26</v>
      </c>
      <c r="F23" s="8">
        <v>115.69</v>
      </c>
      <c r="G23" s="8">
        <v>964.32</v>
      </c>
      <c r="H23" s="8">
        <v>0</v>
      </c>
      <c r="I23" s="8">
        <v>158.47999999999999</v>
      </c>
      <c r="J23" s="9">
        <f>SUM(E23:I23)</f>
        <v>1357.75</v>
      </c>
      <c r="K23" s="6"/>
      <c r="L23" s="8">
        <v>134.46</v>
      </c>
      <c r="M23" s="8">
        <v>0</v>
      </c>
      <c r="N23" s="8">
        <v>0</v>
      </c>
      <c r="O23" s="8">
        <v>0</v>
      </c>
      <c r="P23" s="8">
        <v>2717.39</v>
      </c>
      <c r="Q23" s="9">
        <f t="shared" si="2"/>
        <v>2851.85</v>
      </c>
      <c r="R23" s="6"/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9">
        <f t="shared" si="3"/>
        <v>0</v>
      </c>
      <c r="Y23" s="6"/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9">
        <f t="shared" si="4"/>
        <v>0</v>
      </c>
      <c r="AF23" s="6"/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9">
        <f t="shared" si="5"/>
        <v>0</v>
      </c>
      <c r="AM23" s="6"/>
      <c r="AN23" s="11">
        <f t="shared" si="6"/>
        <v>0</v>
      </c>
      <c r="AO23" s="11">
        <f t="shared" si="1"/>
        <v>0</v>
      </c>
      <c r="AP23" s="11">
        <f t="shared" si="1"/>
        <v>0</v>
      </c>
      <c r="AQ23" s="11">
        <f t="shared" si="1"/>
        <v>0</v>
      </c>
      <c r="AR23" s="11">
        <f t="shared" si="1"/>
        <v>0</v>
      </c>
      <c r="AS23" s="9">
        <f t="shared" si="7"/>
        <v>0</v>
      </c>
    </row>
    <row r="24" spans="1:45" s="7" customFormat="1" x14ac:dyDescent="0.2">
      <c r="A24" s="6"/>
      <c r="B24" s="6"/>
      <c r="C24" s="6"/>
      <c r="D24" s="6"/>
      <c r="E24" s="8">
        <v>0</v>
      </c>
      <c r="F24" s="8">
        <v>0</v>
      </c>
      <c r="G24" s="8">
        <v>0</v>
      </c>
      <c r="H24" s="8">
        <v>2717.39</v>
      </c>
      <c r="I24" s="8">
        <v>0</v>
      </c>
      <c r="J24" s="9">
        <f>SUM(E24:I24)</f>
        <v>2717.39</v>
      </c>
      <c r="K24" s="6"/>
      <c r="L24" s="8">
        <v>322.23</v>
      </c>
      <c r="M24" s="8">
        <v>0</v>
      </c>
      <c r="N24" s="8">
        <v>0</v>
      </c>
      <c r="O24" s="8">
        <v>158.47999999999999</v>
      </c>
      <c r="P24" s="8">
        <v>0</v>
      </c>
      <c r="Q24" s="9">
        <f t="shared" si="2"/>
        <v>480.71000000000004</v>
      </c>
      <c r="R24" s="6"/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9">
        <f t="shared" si="3"/>
        <v>0</v>
      </c>
      <c r="Y24" s="6"/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9">
        <f t="shared" si="4"/>
        <v>0</v>
      </c>
      <c r="AF24" s="6"/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9">
        <f t="shared" si="5"/>
        <v>0</v>
      </c>
      <c r="AM24" s="6"/>
      <c r="AN24" s="11">
        <f t="shared" si="6"/>
        <v>0</v>
      </c>
      <c r="AO24" s="11">
        <f t="shared" si="1"/>
        <v>0</v>
      </c>
      <c r="AP24" s="11">
        <f t="shared" si="1"/>
        <v>0</v>
      </c>
      <c r="AQ24" s="11">
        <f t="shared" si="1"/>
        <v>0</v>
      </c>
      <c r="AR24" s="11">
        <f t="shared" si="1"/>
        <v>0</v>
      </c>
      <c r="AS24" s="9">
        <f t="shared" si="7"/>
        <v>0</v>
      </c>
    </row>
    <row r="25" spans="1:45" s="9" customFormat="1" x14ac:dyDescent="0.2">
      <c r="A25" s="12"/>
      <c r="B25" s="12"/>
      <c r="C25" s="12"/>
      <c r="D25" s="12"/>
      <c r="E25" s="9">
        <f t="shared" ref="E25:J25" si="8">SUM(E20:E24)</f>
        <v>959.6</v>
      </c>
      <c r="F25" s="9">
        <f t="shared" si="8"/>
        <v>1844.24</v>
      </c>
      <c r="G25" s="9">
        <f t="shared" si="8"/>
        <v>1253.3400000000001</v>
      </c>
      <c r="H25" s="9">
        <f t="shared" si="8"/>
        <v>2851.85</v>
      </c>
      <c r="I25" s="9">
        <f t="shared" si="8"/>
        <v>480.71000000000004</v>
      </c>
      <c r="J25" s="9">
        <f t="shared" si="8"/>
        <v>7389.74</v>
      </c>
      <c r="K25" s="12"/>
      <c r="L25" s="9">
        <f t="shared" ref="L25:Q25" si="9">SUM(L20:L24)</f>
        <v>2185.2399999999998</v>
      </c>
      <c r="M25" s="9">
        <f t="shared" si="9"/>
        <v>398.37</v>
      </c>
      <c r="N25" s="9">
        <f t="shared" si="9"/>
        <v>730.99</v>
      </c>
      <c r="O25" s="9">
        <f t="shared" si="9"/>
        <v>1357.75</v>
      </c>
      <c r="P25" s="9">
        <f t="shared" si="9"/>
        <v>2717.39</v>
      </c>
      <c r="Q25" s="9">
        <f t="shared" si="9"/>
        <v>7389.7400000000007</v>
      </c>
      <c r="R25" s="12"/>
      <c r="S25" s="9">
        <f t="shared" ref="S25:X25" si="10">SUM(S20:S24)</f>
        <v>0</v>
      </c>
      <c r="T25" s="9">
        <f t="shared" si="10"/>
        <v>0</v>
      </c>
      <c r="U25" s="9">
        <f t="shared" si="10"/>
        <v>0</v>
      </c>
      <c r="V25" s="9">
        <f t="shared" si="10"/>
        <v>0</v>
      </c>
      <c r="W25" s="9">
        <f t="shared" si="10"/>
        <v>0</v>
      </c>
      <c r="X25" s="9">
        <f t="shared" si="10"/>
        <v>0</v>
      </c>
      <c r="Y25" s="12"/>
      <c r="Z25" s="9">
        <f t="shared" ref="Z25:AE25" si="11">SUM(Z20:Z24)</f>
        <v>0</v>
      </c>
      <c r="AA25" s="9">
        <f t="shared" si="11"/>
        <v>0</v>
      </c>
      <c r="AB25" s="9">
        <f t="shared" si="11"/>
        <v>0</v>
      </c>
      <c r="AC25" s="9">
        <f t="shared" si="11"/>
        <v>0</v>
      </c>
      <c r="AD25" s="9">
        <f t="shared" si="11"/>
        <v>0</v>
      </c>
      <c r="AE25" s="9">
        <f t="shared" si="11"/>
        <v>0</v>
      </c>
      <c r="AF25" s="12"/>
      <c r="AG25" s="9">
        <f t="shared" ref="AG25:AL25" si="12">SUM(AG20:AG24)</f>
        <v>0</v>
      </c>
      <c r="AH25" s="9">
        <f t="shared" si="12"/>
        <v>0</v>
      </c>
      <c r="AI25" s="9">
        <f t="shared" si="12"/>
        <v>0</v>
      </c>
      <c r="AJ25" s="9">
        <f t="shared" si="12"/>
        <v>0</v>
      </c>
      <c r="AK25" s="9">
        <f t="shared" si="12"/>
        <v>0</v>
      </c>
      <c r="AL25" s="9">
        <f t="shared" si="12"/>
        <v>0</v>
      </c>
      <c r="AM25" s="12"/>
      <c r="AN25" s="9">
        <f>SUM(AN20:AN24)</f>
        <v>0</v>
      </c>
      <c r="AO25" s="9">
        <f t="shared" ref="AO25:AS25" si="13">SUM(AO20:AO24)</f>
        <v>0</v>
      </c>
      <c r="AP25" s="9">
        <f t="shared" si="13"/>
        <v>0</v>
      </c>
      <c r="AQ25" s="9">
        <f t="shared" si="13"/>
        <v>0</v>
      </c>
      <c r="AR25" s="9">
        <f t="shared" si="13"/>
        <v>0</v>
      </c>
      <c r="AS25" s="9">
        <f t="shared" si="13"/>
        <v>0</v>
      </c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B456-564A-994E-8E02-E5D28971B9C4}">
  <dimension ref="A1:BH168"/>
  <sheetViews>
    <sheetView zoomScale="150" zoomScaleNormal="150" workbookViewId="0">
      <pane xSplit="3" ySplit="1" topLeftCell="D64" activePane="bottomRight" state="frozen"/>
      <selection pane="topRight" activeCell="D1" sqref="D1"/>
      <selection pane="bottomLeft" activeCell="A2" sqref="A2"/>
      <selection pane="bottomRight" activeCell="G165" sqref="G165"/>
    </sheetView>
  </sheetViews>
  <sheetFormatPr baseColWidth="10" defaultRowHeight="16" x14ac:dyDescent="0.2"/>
  <cols>
    <col min="1" max="1" width="3" style="7" bestFit="1" customWidth="1"/>
    <col min="2" max="2" width="3.28515625" style="20" bestFit="1" customWidth="1"/>
    <col min="3" max="3" width="2.5703125" style="7" customWidth="1"/>
    <col min="4" max="4" width="4.5703125" style="7" bestFit="1" customWidth="1"/>
    <col min="5" max="5" width="4.28515625" style="28" bestFit="1" customWidth="1"/>
    <col min="6" max="6" width="6.7109375" style="28" bestFit="1" customWidth="1"/>
    <col min="7" max="7" width="7.7109375" style="28" bestFit="1" customWidth="1"/>
    <col min="8" max="8" width="6.5703125" style="28" bestFit="1" customWidth="1"/>
    <col min="9" max="9" width="7.7109375" style="28" bestFit="1" customWidth="1"/>
    <col min="10" max="10" width="7.5703125" style="28" customWidth="1"/>
    <col min="11" max="12" width="7.7109375" style="28" bestFit="1" customWidth="1"/>
    <col min="13" max="13" width="4.28515625" style="28" bestFit="1" customWidth="1"/>
    <col min="14" max="14" width="7.7109375" style="28" bestFit="1" customWidth="1"/>
    <col min="15" max="15" width="7" style="28" bestFit="1" customWidth="1"/>
    <col min="16" max="16" width="7.7109375" style="28" bestFit="1" customWidth="1"/>
    <col min="17" max="17" width="6.7109375" style="28" bestFit="1" customWidth="1"/>
    <col min="18" max="18" width="6.5703125" style="24" bestFit="1" customWidth="1"/>
    <col min="19" max="19" width="6.7109375" style="24" bestFit="1" customWidth="1"/>
    <col min="20" max="22" width="8.140625" style="28" bestFit="1" customWidth="1"/>
    <col min="23" max="23" width="10.140625" style="28" bestFit="1" customWidth="1"/>
    <col min="24" max="24" width="9.7109375" style="28" bestFit="1" customWidth="1"/>
    <col min="25" max="25" width="8" style="28" bestFit="1" customWidth="1"/>
    <col min="26" max="26" width="10.140625" style="28" bestFit="1" customWidth="1"/>
    <col min="27" max="27" width="9.5703125" style="28" bestFit="1" customWidth="1"/>
    <col min="28" max="28" width="8.28515625" style="28" bestFit="1" customWidth="1"/>
    <col min="29" max="29" width="8.140625" style="28" bestFit="1" customWidth="1"/>
    <col min="30" max="30" width="7.140625" style="28" bestFit="1" customWidth="1"/>
    <col min="31" max="32" width="7.85546875" style="7" customWidth="1"/>
    <col min="33" max="33" width="5.7109375" style="7" bestFit="1" customWidth="1"/>
    <col min="34" max="34" width="4" style="7" bestFit="1" customWidth="1"/>
    <col min="35" max="35" width="6.5703125" style="7" bestFit="1" customWidth="1"/>
    <col min="36" max="36" width="7.42578125" style="7" bestFit="1" customWidth="1"/>
    <col min="37" max="37" width="4" style="7" bestFit="1" customWidth="1"/>
    <col min="38" max="38" width="7.42578125" style="7" bestFit="1" customWidth="1"/>
    <col min="39" max="39" width="6.5703125" style="7" bestFit="1" customWidth="1"/>
    <col min="40" max="41" width="7.42578125" style="7" bestFit="1" customWidth="1"/>
    <col min="42" max="42" width="4" style="7" bestFit="1" customWidth="1"/>
    <col min="43" max="43" width="7.42578125" style="7" bestFit="1" customWidth="1"/>
    <col min="44" max="44" width="6.5703125" style="7" bestFit="1" customWidth="1"/>
    <col min="45" max="45" width="7.42578125" style="7" bestFit="1" customWidth="1"/>
    <col min="46" max="47" width="5.7109375" style="7" bestFit="1" customWidth="1"/>
    <col min="48" max="49" width="6.5703125" style="7" bestFit="1" customWidth="1"/>
    <col min="50" max="50" width="4.85546875" style="7" bestFit="1" customWidth="1"/>
    <col min="51" max="52" width="5.7109375" style="7" bestFit="1" customWidth="1"/>
    <col min="53" max="53" width="6.5703125" style="7" bestFit="1" customWidth="1"/>
    <col min="54" max="54" width="5.7109375" style="7" bestFit="1" customWidth="1"/>
    <col min="55" max="55" width="4" style="7" bestFit="1" customWidth="1"/>
    <col min="56" max="60" width="6.5703125" style="7" bestFit="1" customWidth="1"/>
    <col min="61" max="16384" width="10.7109375" style="7"/>
  </cols>
  <sheetData>
    <row r="1" spans="1:60" s="16" customFormat="1" ht="48" customHeight="1" x14ac:dyDescent="0.2">
      <c r="A1" s="16" t="s">
        <v>42</v>
      </c>
      <c r="B1" s="19" t="s">
        <v>29</v>
      </c>
      <c r="C1" s="16" t="s">
        <v>14</v>
      </c>
      <c r="D1" s="16" t="s">
        <v>15</v>
      </c>
      <c r="E1" s="23" t="s">
        <v>27</v>
      </c>
      <c r="F1" s="23" t="s">
        <v>0</v>
      </c>
      <c r="G1" s="23" t="s">
        <v>4</v>
      </c>
      <c r="H1" s="23" t="s">
        <v>81</v>
      </c>
      <c r="I1" s="38" t="s">
        <v>26</v>
      </c>
      <c r="J1" s="23" t="s">
        <v>30</v>
      </c>
      <c r="K1" s="38" t="s">
        <v>3</v>
      </c>
      <c r="L1" s="23" t="s">
        <v>5</v>
      </c>
      <c r="M1" s="23" t="s">
        <v>82</v>
      </c>
      <c r="N1" s="38" t="s">
        <v>28</v>
      </c>
      <c r="O1" s="23" t="s">
        <v>31</v>
      </c>
      <c r="P1" s="38" t="s">
        <v>21</v>
      </c>
      <c r="Q1" s="38" t="s">
        <v>2</v>
      </c>
      <c r="R1" s="38" t="s">
        <v>45</v>
      </c>
      <c r="S1" s="38" t="s">
        <v>46</v>
      </c>
      <c r="T1" s="38" t="s">
        <v>83</v>
      </c>
      <c r="U1" s="38" t="s">
        <v>84</v>
      </c>
      <c r="V1" s="38" t="s">
        <v>32</v>
      </c>
      <c r="W1" s="38" t="s">
        <v>38</v>
      </c>
      <c r="X1" s="38" t="s">
        <v>34</v>
      </c>
      <c r="Y1" s="38" t="s">
        <v>39</v>
      </c>
      <c r="Z1" s="38" t="s">
        <v>40</v>
      </c>
      <c r="AA1" s="38" t="s">
        <v>41</v>
      </c>
      <c r="AB1" s="38" t="s">
        <v>43</v>
      </c>
      <c r="AC1" s="38" t="s">
        <v>44</v>
      </c>
      <c r="AD1" s="23" t="s">
        <v>65</v>
      </c>
      <c r="AE1" s="16" t="s">
        <v>72</v>
      </c>
      <c r="AG1" s="16" t="s">
        <v>15</v>
      </c>
      <c r="AH1" s="23" t="s">
        <v>27</v>
      </c>
      <c r="AI1" s="23" t="s">
        <v>0</v>
      </c>
      <c r="AJ1" s="23" t="s">
        <v>4</v>
      </c>
      <c r="AK1" s="23" t="s">
        <v>81</v>
      </c>
      <c r="AL1" s="38" t="s">
        <v>26</v>
      </c>
      <c r="AM1" s="23" t="s">
        <v>30</v>
      </c>
      <c r="AN1" s="38" t="s">
        <v>3</v>
      </c>
      <c r="AO1" s="23" t="s">
        <v>5</v>
      </c>
      <c r="AP1" s="23" t="s">
        <v>82</v>
      </c>
      <c r="AQ1" s="38" t="s">
        <v>28</v>
      </c>
      <c r="AR1" s="23" t="s">
        <v>31</v>
      </c>
      <c r="AS1" s="38" t="s">
        <v>21</v>
      </c>
      <c r="AT1" s="38" t="s">
        <v>2</v>
      </c>
      <c r="AU1" s="38" t="s">
        <v>45</v>
      </c>
      <c r="AV1" s="38" t="s">
        <v>46</v>
      </c>
      <c r="AW1" s="38" t="s">
        <v>83</v>
      </c>
      <c r="AX1" s="38" t="s">
        <v>84</v>
      </c>
      <c r="AY1" s="38" t="s">
        <v>32</v>
      </c>
      <c r="AZ1" s="38" t="s">
        <v>38</v>
      </c>
      <c r="BA1" s="38" t="s">
        <v>34</v>
      </c>
      <c r="BB1" s="38" t="s">
        <v>39</v>
      </c>
      <c r="BC1" s="38" t="s">
        <v>40</v>
      </c>
      <c r="BD1" s="38" t="s">
        <v>41</v>
      </c>
      <c r="BE1" s="38" t="s">
        <v>43</v>
      </c>
      <c r="BF1" s="38" t="s">
        <v>44</v>
      </c>
      <c r="BG1" s="23" t="s">
        <v>65</v>
      </c>
      <c r="BH1" s="16" t="s">
        <v>72</v>
      </c>
    </row>
    <row r="2" spans="1:60" x14ac:dyDescent="0.2">
      <c r="A2" s="7">
        <v>1</v>
      </c>
      <c r="B2" s="20" t="s">
        <v>67</v>
      </c>
      <c r="C2" s="7">
        <v>1</v>
      </c>
      <c r="D2" s="8" t="s">
        <v>16</v>
      </c>
      <c r="E2" s="28">
        <v>0</v>
      </c>
      <c r="F2" s="28">
        <v>477.125</v>
      </c>
      <c r="G2" s="28">
        <v>1631.73</v>
      </c>
      <c r="H2" s="28">
        <v>0</v>
      </c>
      <c r="I2" s="29">
        <f>E2+F2+G2+H2</f>
        <v>2108.855</v>
      </c>
      <c r="J2" s="28">
        <v>2185.2399999999998</v>
      </c>
      <c r="K2" s="29">
        <f>I2+J2</f>
        <v>4294.0949999999993</v>
      </c>
      <c r="L2" s="28">
        <v>3160.99</v>
      </c>
      <c r="M2" s="28">
        <v>0</v>
      </c>
      <c r="N2" s="29">
        <f>L2+M2</f>
        <v>3160.99</v>
      </c>
      <c r="O2" s="28">
        <v>959.6</v>
      </c>
      <c r="P2" s="29">
        <f>O2+N2</f>
        <v>4120.59</v>
      </c>
      <c r="Q2" s="29">
        <f>MAX(K2-P2,0)</f>
        <v>173.5049999999992</v>
      </c>
      <c r="R2" s="24">
        <v>0</v>
      </c>
      <c r="S2" s="24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9">
        <f>W2+X2</f>
        <v>0</v>
      </c>
      <c r="AC2" s="29">
        <f>Z2+AA2</f>
        <v>0</v>
      </c>
      <c r="AD2" s="29">
        <f>V2+AB2</f>
        <v>0</v>
      </c>
      <c r="AE2" s="29">
        <f>Y2+AC2</f>
        <v>0</v>
      </c>
      <c r="AF2" s="29"/>
    </row>
    <row r="3" spans="1:60" x14ac:dyDescent="0.2">
      <c r="C3" s="7">
        <v>2</v>
      </c>
      <c r="D3" s="7" t="s">
        <v>17</v>
      </c>
      <c r="E3" s="28">
        <v>0</v>
      </c>
      <c r="F3" s="28">
        <v>587.69299999999998</v>
      </c>
      <c r="G3" s="28">
        <v>4303.24</v>
      </c>
      <c r="H3" s="28">
        <v>0</v>
      </c>
      <c r="I3" s="29">
        <f t="shared" ref="I3:I6" si="0">E3+F3+G3+H3</f>
        <v>4890.933</v>
      </c>
      <c r="J3" s="28">
        <v>398.37</v>
      </c>
      <c r="K3" s="29">
        <f>I3+J3</f>
        <v>5289.3029999999999</v>
      </c>
      <c r="L3" s="28">
        <v>3231.37</v>
      </c>
      <c r="M3" s="28">
        <v>0</v>
      </c>
      <c r="N3" s="29">
        <f t="shared" ref="N3:N6" si="1">L3+M3</f>
        <v>3231.37</v>
      </c>
      <c r="O3" s="28">
        <v>1844.24</v>
      </c>
      <c r="P3" s="29">
        <f>O3+N3</f>
        <v>5075.6099999999997</v>
      </c>
      <c r="Q3" s="29">
        <f t="shared" ref="Q3:Q6" si="2">MAX(K3-P3,0)</f>
        <v>213.69300000000021</v>
      </c>
      <c r="R3" s="24">
        <v>0</v>
      </c>
      <c r="S3" s="24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9">
        <f>W3+X3</f>
        <v>0</v>
      </c>
      <c r="AC3" s="29">
        <f>Z3+AA3</f>
        <v>0</v>
      </c>
      <c r="AD3" s="29">
        <f>V3+AB3</f>
        <v>0</v>
      </c>
      <c r="AE3" s="29">
        <f t="shared" ref="AE3:AE6" si="3">Y3+AC3</f>
        <v>0</v>
      </c>
      <c r="AF3" s="29"/>
    </row>
    <row r="4" spans="1:60" x14ac:dyDescent="0.2">
      <c r="C4" s="7">
        <v>3</v>
      </c>
      <c r="D4" s="7" t="s">
        <v>18</v>
      </c>
      <c r="E4" s="28">
        <v>0</v>
      </c>
      <c r="F4" s="28">
        <v>513.84699999999998</v>
      </c>
      <c r="G4" s="28">
        <v>3379.72</v>
      </c>
      <c r="H4" s="28">
        <v>0</v>
      </c>
      <c r="I4" s="29">
        <f t="shared" si="0"/>
        <v>3893.567</v>
      </c>
      <c r="J4" s="28">
        <v>730.99</v>
      </c>
      <c r="K4" s="29">
        <f>I4+J4</f>
        <v>4624.5569999999998</v>
      </c>
      <c r="L4" s="28">
        <v>3184.36</v>
      </c>
      <c r="M4" s="28">
        <v>0</v>
      </c>
      <c r="N4" s="29">
        <f t="shared" si="1"/>
        <v>3184.36</v>
      </c>
      <c r="O4" s="28">
        <v>1253.3399999999999</v>
      </c>
      <c r="P4" s="29">
        <f>O4+N4</f>
        <v>4437.7</v>
      </c>
      <c r="Q4" s="29">
        <f t="shared" si="2"/>
        <v>186.85699999999997</v>
      </c>
      <c r="R4" s="24">
        <v>0</v>
      </c>
      <c r="S4" s="24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9">
        <f>W4+X4</f>
        <v>0</v>
      </c>
      <c r="AC4" s="29">
        <f>Z4+AA4</f>
        <v>0</v>
      </c>
      <c r="AD4" s="29">
        <f>V4+AB4</f>
        <v>0</v>
      </c>
      <c r="AE4" s="29">
        <f t="shared" si="3"/>
        <v>0</v>
      </c>
      <c r="AF4" s="29"/>
    </row>
    <row r="5" spans="1:60" x14ac:dyDescent="0.2">
      <c r="C5" s="7">
        <v>4</v>
      </c>
      <c r="D5" s="7" t="s">
        <v>19</v>
      </c>
      <c r="E5" s="28">
        <v>0</v>
      </c>
      <c r="F5" s="28">
        <v>713.66200000000003</v>
      </c>
      <c r="G5" s="28">
        <v>4351.47</v>
      </c>
      <c r="H5" s="28">
        <v>0</v>
      </c>
      <c r="I5" s="29">
        <f t="shared" si="0"/>
        <v>5065.1320000000005</v>
      </c>
      <c r="J5" s="28">
        <v>1357.75</v>
      </c>
      <c r="K5" s="29">
        <f>I5+J5</f>
        <v>6422.8820000000005</v>
      </c>
      <c r="L5" s="28">
        <v>3311.51</v>
      </c>
      <c r="M5" s="28">
        <v>0</v>
      </c>
      <c r="N5" s="29">
        <f t="shared" si="1"/>
        <v>3311.51</v>
      </c>
      <c r="O5" s="28">
        <v>2851.85</v>
      </c>
      <c r="P5" s="29">
        <f>O5+N5</f>
        <v>6163.3600000000006</v>
      </c>
      <c r="Q5" s="29">
        <f t="shared" si="2"/>
        <v>259.52199999999993</v>
      </c>
      <c r="R5" s="24">
        <v>0</v>
      </c>
      <c r="S5" s="24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9">
        <f>W5+X5</f>
        <v>0</v>
      </c>
      <c r="AC5" s="29">
        <f>Z5+AA5</f>
        <v>0</v>
      </c>
      <c r="AD5" s="29">
        <f>V5+AB5</f>
        <v>0</v>
      </c>
      <c r="AE5" s="29">
        <f t="shared" si="3"/>
        <v>0</v>
      </c>
      <c r="AF5" s="29"/>
    </row>
    <row r="6" spans="1:60" x14ac:dyDescent="0.2">
      <c r="C6" s="7">
        <v>5</v>
      </c>
      <c r="D6" s="7" t="s">
        <v>20</v>
      </c>
      <c r="E6" s="28">
        <v>0</v>
      </c>
      <c r="F6" s="28">
        <v>417.25700000000001</v>
      </c>
      <c r="G6" s="28">
        <v>620.69000000000005</v>
      </c>
      <c r="H6" s="28">
        <v>0</v>
      </c>
      <c r="I6" s="29">
        <f t="shared" si="0"/>
        <v>1037.9470000000001</v>
      </c>
      <c r="J6" s="28">
        <v>2717.39</v>
      </c>
      <c r="K6" s="29">
        <f>I6+J6</f>
        <v>3755.337</v>
      </c>
      <c r="L6" s="28">
        <v>3122.9</v>
      </c>
      <c r="M6" s="28">
        <v>0</v>
      </c>
      <c r="N6" s="29">
        <f t="shared" si="1"/>
        <v>3122.9</v>
      </c>
      <c r="O6" s="28">
        <v>480.71</v>
      </c>
      <c r="P6" s="29">
        <f>O6+N6</f>
        <v>3603.61</v>
      </c>
      <c r="Q6" s="29">
        <f t="shared" si="2"/>
        <v>151.72699999999986</v>
      </c>
      <c r="R6" s="24">
        <v>0</v>
      </c>
      <c r="S6" s="24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9">
        <f>W6+X6</f>
        <v>0</v>
      </c>
      <c r="AC6" s="29">
        <f>Z6+AA6</f>
        <v>0</v>
      </c>
      <c r="AD6" s="29">
        <f>V6+AB6</f>
        <v>0</v>
      </c>
      <c r="AE6" s="29">
        <f t="shared" si="3"/>
        <v>0</v>
      </c>
      <c r="AF6" s="29"/>
    </row>
    <row r="7" spans="1:60" x14ac:dyDescent="0.2">
      <c r="E7" s="25">
        <f>SUM(E2:E6)</f>
        <v>0</v>
      </c>
      <c r="F7" s="25">
        <f t="shared" ref="F7:G7" si="4">SUM(F2:F6)</f>
        <v>2709.5840000000003</v>
      </c>
      <c r="G7" s="25">
        <f t="shared" si="4"/>
        <v>14286.85</v>
      </c>
      <c r="H7" s="25">
        <f>SUM(H2:H6)</f>
        <v>0</v>
      </c>
      <c r="I7" s="25">
        <f>SUM(I2:I6)</f>
        <v>16996.434000000001</v>
      </c>
      <c r="J7" s="25">
        <f t="shared" ref="J7:K7" si="5">SUM(J2:J6)</f>
        <v>7389.74</v>
      </c>
      <c r="K7" s="25">
        <f t="shared" si="5"/>
        <v>24386.173999999999</v>
      </c>
      <c r="L7" s="25">
        <f>SUM(L2:L6)</f>
        <v>16011.13</v>
      </c>
      <c r="M7" s="25">
        <f>SUM(M2:M6)</f>
        <v>0</v>
      </c>
      <c r="N7" s="25">
        <f>SUM(N2:N6)</f>
        <v>16011.13</v>
      </c>
      <c r="O7" s="25">
        <f>SUM(O2:O6)</f>
        <v>7389.7400000000007</v>
      </c>
      <c r="P7" s="25">
        <f t="shared" ref="P7" si="6">SUM(P2:P6)</f>
        <v>23400.870000000003</v>
      </c>
      <c r="Q7" s="25">
        <f>SUM(Q2:Q6)</f>
        <v>985.30399999999918</v>
      </c>
      <c r="R7" s="25">
        <f t="shared" ref="R7:X7" si="7">SUM(R2:R6)</f>
        <v>0</v>
      </c>
      <c r="S7" s="25">
        <f t="shared" si="7"/>
        <v>0</v>
      </c>
      <c r="T7" s="25">
        <f t="shared" si="7"/>
        <v>0</v>
      </c>
      <c r="U7" s="25">
        <f t="shared" si="7"/>
        <v>0</v>
      </c>
      <c r="V7" s="25">
        <f t="shared" si="7"/>
        <v>0</v>
      </c>
      <c r="W7" s="25">
        <f t="shared" si="7"/>
        <v>0</v>
      </c>
      <c r="X7" s="25">
        <f t="shared" si="7"/>
        <v>0</v>
      </c>
      <c r="Y7" s="25">
        <f>SUM(Y2:Y6)</f>
        <v>0</v>
      </c>
      <c r="Z7" s="25">
        <f>SUM(Z2:Z6)</f>
        <v>0</v>
      </c>
      <c r="AA7" s="25">
        <f t="shared" ref="AA7:AC7" si="8">SUM(AA2:AA6)</f>
        <v>0</v>
      </c>
      <c r="AB7" s="25">
        <f t="shared" si="8"/>
        <v>0</v>
      </c>
      <c r="AC7" s="25">
        <f t="shared" si="8"/>
        <v>0</v>
      </c>
      <c r="AD7" s="25">
        <f>SUM(AD2:AD6)</f>
        <v>0</v>
      </c>
      <c r="AE7" s="50">
        <f>SUM(AE2:AE6)</f>
        <v>0</v>
      </c>
      <c r="AF7" s="50"/>
    </row>
    <row r="8" spans="1:60" x14ac:dyDescent="0.2"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50"/>
      <c r="AF8" s="50"/>
    </row>
    <row r="9" spans="1:60" x14ac:dyDescent="0.2">
      <c r="A9" s="7">
        <v>1</v>
      </c>
      <c r="B9" s="20" t="s">
        <v>68</v>
      </c>
      <c r="C9" s="7">
        <v>1</v>
      </c>
      <c r="D9" s="8" t="s">
        <v>16</v>
      </c>
      <c r="E9" s="28">
        <v>0</v>
      </c>
      <c r="F9" s="28">
        <v>477.125</v>
      </c>
      <c r="G9" s="28">
        <v>1631.73</v>
      </c>
      <c r="H9" s="28">
        <v>0</v>
      </c>
      <c r="I9" s="29">
        <f>E9+F9+G9+H9</f>
        <v>2108.855</v>
      </c>
      <c r="J9" s="28">
        <v>2185.2399999999998</v>
      </c>
      <c r="K9" s="29">
        <f>I9+J9</f>
        <v>4294.0949999999993</v>
      </c>
      <c r="L9" s="28">
        <v>3160.99</v>
      </c>
      <c r="M9" s="28">
        <v>0</v>
      </c>
      <c r="N9" s="29">
        <f>L9+M9</f>
        <v>3160.99</v>
      </c>
      <c r="O9" s="28">
        <v>959.6</v>
      </c>
      <c r="P9" s="29">
        <f>O9+N9</f>
        <v>4120.59</v>
      </c>
      <c r="Q9" s="29">
        <f>MAX(K9-P9,0)</f>
        <v>173.5049999999992</v>
      </c>
      <c r="R9" s="39">
        <v>1631.73</v>
      </c>
      <c r="S9" s="24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9">
        <f>W9+X9</f>
        <v>0</v>
      </c>
      <c r="AC9" s="29">
        <f>Z9+AA9</f>
        <v>0</v>
      </c>
      <c r="AD9" s="29">
        <f>V9+AB9</f>
        <v>0</v>
      </c>
      <c r="AE9" s="29">
        <f>Y9+AC9</f>
        <v>0</v>
      </c>
      <c r="AF9" s="29"/>
    </row>
    <row r="10" spans="1:60" x14ac:dyDescent="0.2">
      <c r="C10" s="7">
        <v>2</v>
      </c>
      <c r="D10" s="7" t="s">
        <v>17</v>
      </c>
      <c r="E10" s="28">
        <v>0</v>
      </c>
      <c r="F10" s="28">
        <v>587.69299999999998</v>
      </c>
      <c r="G10" s="28">
        <v>4303.24</v>
      </c>
      <c r="H10" s="28">
        <v>0</v>
      </c>
      <c r="I10" s="29">
        <f t="shared" ref="I10:I13" si="9">E10+F10+G10+H10</f>
        <v>4890.933</v>
      </c>
      <c r="J10" s="28">
        <v>398.37</v>
      </c>
      <c r="K10" s="29">
        <f>I10+J10</f>
        <v>5289.3029999999999</v>
      </c>
      <c r="L10" s="28">
        <v>3231.37</v>
      </c>
      <c r="M10" s="28">
        <v>0</v>
      </c>
      <c r="N10" s="29">
        <f t="shared" ref="N10:N13" si="10">L10+M10</f>
        <v>3231.37</v>
      </c>
      <c r="O10" s="28">
        <v>1844.24</v>
      </c>
      <c r="P10" s="29">
        <f>O10+N10</f>
        <v>5075.6099999999997</v>
      </c>
      <c r="Q10" s="29">
        <f t="shared" ref="Q10:Q13" si="11">MAX(K10-P10,0)</f>
        <v>213.69300000000021</v>
      </c>
      <c r="R10" s="24">
        <v>0</v>
      </c>
      <c r="S10" s="24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9">
        <f>W10+X10</f>
        <v>0</v>
      </c>
      <c r="AC10" s="29">
        <f>Z10+AA10</f>
        <v>0</v>
      </c>
      <c r="AD10" s="29">
        <f>V10+AB10</f>
        <v>0</v>
      </c>
      <c r="AE10" s="29">
        <f t="shared" ref="AE10:AE13" si="12">Y10+AC10</f>
        <v>0</v>
      </c>
      <c r="AF10" s="29"/>
    </row>
    <row r="11" spans="1:60" x14ac:dyDescent="0.2">
      <c r="C11" s="7">
        <v>3</v>
      </c>
      <c r="D11" s="7" t="s">
        <v>18</v>
      </c>
      <c r="E11" s="28">
        <v>0</v>
      </c>
      <c r="F11" s="28">
        <v>513.84699999999998</v>
      </c>
      <c r="G11" s="28">
        <v>3379.72</v>
      </c>
      <c r="H11" s="28">
        <v>0</v>
      </c>
      <c r="I11" s="29">
        <f t="shared" si="9"/>
        <v>3893.567</v>
      </c>
      <c r="J11" s="28">
        <v>730.99</v>
      </c>
      <c r="K11" s="29">
        <f>I11+J11</f>
        <v>4624.5569999999998</v>
      </c>
      <c r="L11" s="28">
        <v>3184.36</v>
      </c>
      <c r="M11" s="28">
        <v>0</v>
      </c>
      <c r="N11" s="29">
        <f t="shared" si="10"/>
        <v>3184.36</v>
      </c>
      <c r="O11" s="28">
        <v>1253.3399999999999</v>
      </c>
      <c r="P11" s="29">
        <f>O11+N11</f>
        <v>4437.7</v>
      </c>
      <c r="Q11" s="29">
        <f t="shared" si="11"/>
        <v>186.85699999999997</v>
      </c>
      <c r="R11" s="24">
        <v>0</v>
      </c>
      <c r="S11" s="24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9">
        <f>W11+X11</f>
        <v>0</v>
      </c>
      <c r="AC11" s="29">
        <f>Z11+AA11</f>
        <v>0</v>
      </c>
      <c r="AD11" s="29">
        <f>V11+AB11</f>
        <v>0</v>
      </c>
      <c r="AE11" s="29">
        <f t="shared" si="12"/>
        <v>0</v>
      </c>
      <c r="AF11" s="29"/>
    </row>
    <row r="12" spans="1:60" x14ac:dyDescent="0.2">
      <c r="C12" s="7">
        <v>4</v>
      </c>
      <c r="D12" s="7" t="s">
        <v>19</v>
      </c>
      <c r="E12" s="28">
        <v>0</v>
      </c>
      <c r="F12" s="28">
        <v>713.66200000000003</v>
      </c>
      <c r="G12" s="28">
        <v>4351.47</v>
      </c>
      <c r="H12" s="28">
        <v>0</v>
      </c>
      <c r="I12" s="29">
        <f t="shared" si="9"/>
        <v>5065.1320000000005</v>
      </c>
      <c r="J12" s="28">
        <v>1357.75</v>
      </c>
      <c r="K12" s="29">
        <f>I12+J12</f>
        <v>6422.8820000000005</v>
      </c>
      <c r="L12" s="28">
        <v>3311.51</v>
      </c>
      <c r="M12" s="28">
        <v>0</v>
      </c>
      <c r="N12" s="29">
        <f t="shared" si="10"/>
        <v>3311.51</v>
      </c>
      <c r="O12" s="28">
        <v>2851.85</v>
      </c>
      <c r="P12" s="29">
        <f>O12+N12</f>
        <v>6163.3600000000006</v>
      </c>
      <c r="Q12" s="29">
        <f t="shared" si="11"/>
        <v>259.52199999999993</v>
      </c>
      <c r="R12" s="24">
        <v>0</v>
      </c>
      <c r="S12" s="24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9">
        <f>W12+X12</f>
        <v>0</v>
      </c>
      <c r="AC12" s="29">
        <f>Z12+AA12</f>
        <v>0</v>
      </c>
      <c r="AD12" s="29">
        <f>V12+AB12</f>
        <v>0</v>
      </c>
      <c r="AE12" s="29">
        <f t="shared" si="12"/>
        <v>0</v>
      </c>
      <c r="AF12" s="29"/>
    </row>
    <row r="13" spans="1:60" x14ac:dyDescent="0.2">
      <c r="C13" s="7">
        <v>5</v>
      </c>
      <c r="D13" s="7" t="s">
        <v>20</v>
      </c>
      <c r="E13" s="28">
        <v>0</v>
      </c>
      <c r="F13" s="28">
        <v>417.25700000000001</v>
      </c>
      <c r="G13" s="28">
        <v>620.69000000000005</v>
      </c>
      <c r="H13" s="28">
        <v>0</v>
      </c>
      <c r="I13" s="29">
        <f t="shared" si="9"/>
        <v>1037.9470000000001</v>
      </c>
      <c r="J13" s="28">
        <v>2717.39</v>
      </c>
      <c r="K13" s="29">
        <f>I13+J13</f>
        <v>3755.337</v>
      </c>
      <c r="L13" s="28">
        <v>3122.9</v>
      </c>
      <c r="M13" s="28">
        <v>0</v>
      </c>
      <c r="N13" s="29">
        <f t="shared" si="10"/>
        <v>3122.9</v>
      </c>
      <c r="O13" s="28">
        <v>480.71</v>
      </c>
      <c r="P13" s="29">
        <f>O13+N13</f>
        <v>3603.61</v>
      </c>
      <c r="Q13" s="29">
        <f t="shared" si="11"/>
        <v>151.72699999999986</v>
      </c>
      <c r="R13" s="24">
        <v>0</v>
      </c>
      <c r="S13" s="24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9">
        <f>W13+X13</f>
        <v>0</v>
      </c>
      <c r="AC13" s="29">
        <f>Z13+AA13</f>
        <v>0</v>
      </c>
      <c r="AD13" s="29">
        <f>V13+AB13</f>
        <v>0</v>
      </c>
      <c r="AE13" s="29">
        <f t="shared" si="12"/>
        <v>0</v>
      </c>
      <c r="AF13" s="29"/>
    </row>
    <row r="14" spans="1:60" x14ac:dyDescent="0.2">
      <c r="E14" s="25">
        <f>SUM(E9:E13)</f>
        <v>0</v>
      </c>
      <c r="F14" s="25">
        <f t="shared" ref="F14:P14" si="13">SUM(F9:F13)</f>
        <v>2709.5840000000003</v>
      </c>
      <c r="G14" s="25">
        <f t="shared" si="13"/>
        <v>14286.85</v>
      </c>
      <c r="H14" s="25">
        <f>SUM(H9:H13)</f>
        <v>0</v>
      </c>
      <c r="I14" s="25">
        <f>SUM(I9:I13)</f>
        <v>16996.434000000001</v>
      </c>
      <c r="J14" s="25">
        <f t="shared" si="13"/>
        <v>7389.74</v>
      </c>
      <c r="K14" s="25">
        <f t="shared" si="13"/>
        <v>24386.173999999999</v>
      </c>
      <c r="L14" s="25">
        <f>SUM(L9:L13)</f>
        <v>16011.13</v>
      </c>
      <c r="M14" s="25">
        <f>SUM(M9:M13)</f>
        <v>0</v>
      </c>
      <c r="N14" s="25">
        <f>SUM(N9:N13)</f>
        <v>16011.13</v>
      </c>
      <c r="O14" s="25">
        <f>SUM(O9:O13)</f>
        <v>7389.7400000000007</v>
      </c>
      <c r="P14" s="25">
        <f t="shared" si="13"/>
        <v>23400.870000000003</v>
      </c>
      <c r="Q14" s="25">
        <f>SUM(Q9:Q13)</f>
        <v>985.30399999999918</v>
      </c>
      <c r="R14" s="25">
        <f t="shared" ref="R14:AC14" si="14">SUM(R9:R13)</f>
        <v>1631.73</v>
      </c>
      <c r="S14" s="25">
        <f t="shared" si="14"/>
        <v>0</v>
      </c>
      <c r="T14" s="25">
        <f t="shared" si="14"/>
        <v>0</v>
      </c>
      <c r="U14" s="25">
        <f t="shared" si="14"/>
        <v>0</v>
      </c>
      <c r="V14" s="25">
        <f t="shared" si="14"/>
        <v>0</v>
      </c>
      <c r="W14" s="25">
        <f t="shared" si="14"/>
        <v>0</v>
      </c>
      <c r="X14" s="25">
        <f t="shared" si="14"/>
        <v>0</v>
      </c>
      <c r="Y14" s="25">
        <f>SUM(Y9:Y13)</f>
        <v>0</v>
      </c>
      <c r="Z14" s="25">
        <f>SUM(Z9:Z13)</f>
        <v>0</v>
      </c>
      <c r="AA14" s="25">
        <f t="shared" si="14"/>
        <v>0</v>
      </c>
      <c r="AB14" s="25">
        <f t="shared" si="14"/>
        <v>0</v>
      </c>
      <c r="AC14" s="25">
        <f t="shared" si="14"/>
        <v>0</v>
      </c>
      <c r="AD14" s="25">
        <f>SUM(AD9:AD13)</f>
        <v>0</v>
      </c>
      <c r="AE14" s="50">
        <f>SUM(AE9:AE13)</f>
        <v>0</v>
      </c>
      <c r="AF14" s="50"/>
    </row>
    <row r="15" spans="1:60" x14ac:dyDescent="0.2"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50"/>
      <c r="AF15" s="50"/>
    </row>
    <row r="16" spans="1:60" s="8" customFormat="1" x14ac:dyDescent="0.2">
      <c r="A16" s="8">
        <v>1</v>
      </c>
      <c r="B16" s="59" t="s">
        <v>69</v>
      </c>
      <c r="C16" s="8">
        <v>1</v>
      </c>
      <c r="D16" s="8" t="s">
        <v>16</v>
      </c>
      <c r="E16" s="24">
        <v>0</v>
      </c>
      <c r="F16" s="24">
        <v>477.125</v>
      </c>
      <c r="G16" s="24">
        <v>1631.73</v>
      </c>
      <c r="H16" s="24">
        <v>0</v>
      </c>
      <c r="I16" s="29">
        <f>E16+F16+G16+H16</f>
        <v>2108.855</v>
      </c>
      <c r="J16" s="24">
        <v>2185.2399999999998</v>
      </c>
      <c r="K16" s="29">
        <f>I16+J16</f>
        <v>4294.0949999999993</v>
      </c>
      <c r="L16" s="24">
        <v>3160.99</v>
      </c>
      <c r="M16" s="24">
        <v>0</v>
      </c>
      <c r="N16" s="29">
        <f>L16+M16</f>
        <v>3160.99</v>
      </c>
      <c r="O16" s="24">
        <v>959.6</v>
      </c>
      <c r="P16" s="29">
        <f>O16+N16</f>
        <v>4120.59</v>
      </c>
      <c r="Q16" s="29">
        <f>MAX(K16-P16,0)</f>
        <v>173.5049999999992</v>
      </c>
      <c r="R16" s="24">
        <v>1631.73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9">
        <f>W16+X16</f>
        <v>0</v>
      </c>
      <c r="AC16" s="29">
        <f>Z16+AA16</f>
        <v>0</v>
      </c>
      <c r="AD16" s="29">
        <f>V16+AB16</f>
        <v>0</v>
      </c>
      <c r="AE16" s="29">
        <f>Y16+AC16</f>
        <v>0</v>
      </c>
      <c r="AF16" s="29"/>
    </row>
    <row r="17" spans="1:32" s="8" customFormat="1" x14ac:dyDescent="0.2">
      <c r="B17" s="59"/>
      <c r="C17" s="8">
        <v>2</v>
      </c>
      <c r="D17" s="8" t="s">
        <v>17</v>
      </c>
      <c r="E17" s="24">
        <v>0</v>
      </c>
      <c r="F17" s="24">
        <v>587.69299999999998</v>
      </c>
      <c r="G17" s="24">
        <v>4303.24</v>
      </c>
      <c r="H17" s="24">
        <v>0</v>
      </c>
      <c r="I17" s="29">
        <f t="shared" ref="I17:I20" si="15">E17+F17+G17+H17</f>
        <v>4890.933</v>
      </c>
      <c r="J17" s="24">
        <v>398.37</v>
      </c>
      <c r="K17" s="29">
        <f>I17+J17</f>
        <v>5289.3029999999999</v>
      </c>
      <c r="L17" s="24">
        <v>3231.37</v>
      </c>
      <c r="M17" s="24">
        <v>0</v>
      </c>
      <c r="N17" s="29">
        <f t="shared" ref="N17:N20" si="16">L17+M17</f>
        <v>3231.37</v>
      </c>
      <c r="O17" s="24">
        <v>1844.24</v>
      </c>
      <c r="P17" s="29">
        <f>O17+N17</f>
        <v>5075.6099999999997</v>
      </c>
      <c r="Q17" s="29">
        <f t="shared" ref="Q17:Q20" si="17">MAX(K17-P17,0)</f>
        <v>213.69300000000021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9">
        <f>W17+X17</f>
        <v>0</v>
      </c>
      <c r="AC17" s="29">
        <f>Z17+AA17</f>
        <v>0</v>
      </c>
      <c r="AD17" s="29">
        <f>V17+AB17</f>
        <v>0</v>
      </c>
      <c r="AE17" s="29">
        <f t="shared" ref="AE17:AE20" si="18">Y17+AC17</f>
        <v>0</v>
      </c>
      <c r="AF17" s="29"/>
    </row>
    <row r="18" spans="1:32" s="8" customFormat="1" x14ac:dyDescent="0.2">
      <c r="B18" s="59"/>
      <c r="C18" s="8">
        <v>3</v>
      </c>
      <c r="D18" s="8" t="s">
        <v>18</v>
      </c>
      <c r="E18" s="24">
        <v>0</v>
      </c>
      <c r="F18" s="24">
        <v>513.84699999999998</v>
      </c>
      <c r="G18" s="24">
        <v>3379.72</v>
      </c>
      <c r="H18" s="24">
        <v>0</v>
      </c>
      <c r="I18" s="29">
        <f t="shared" si="15"/>
        <v>3893.567</v>
      </c>
      <c r="J18" s="24">
        <v>730.99</v>
      </c>
      <c r="K18" s="29">
        <f>I18+J18</f>
        <v>4624.5569999999998</v>
      </c>
      <c r="L18" s="24">
        <v>3184.36</v>
      </c>
      <c r="M18" s="24">
        <v>0</v>
      </c>
      <c r="N18" s="29">
        <f t="shared" si="16"/>
        <v>3184.36</v>
      </c>
      <c r="O18" s="24">
        <v>1253.3399999999999</v>
      </c>
      <c r="P18" s="29">
        <f>O18+N18</f>
        <v>4437.7</v>
      </c>
      <c r="Q18" s="29">
        <f t="shared" si="17"/>
        <v>186.85699999999997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9">
        <f>W18+X18</f>
        <v>0</v>
      </c>
      <c r="AC18" s="29">
        <f>Z18+AA18</f>
        <v>0</v>
      </c>
      <c r="AD18" s="29">
        <f>V18+AB18</f>
        <v>0</v>
      </c>
      <c r="AE18" s="29">
        <f t="shared" si="18"/>
        <v>0</v>
      </c>
      <c r="AF18" s="29"/>
    </row>
    <row r="19" spans="1:32" s="8" customFormat="1" x14ac:dyDescent="0.2">
      <c r="B19" s="59"/>
      <c r="C19" s="8">
        <v>4</v>
      </c>
      <c r="D19" s="8" t="s">
        <v>19</v>
      </c>
      <c r="E19" s="24">
        <v>0</v>
      </c>
      <c r="F19" s="24">
        <v>713.66200000000003</v>
      </c>
      <c r="G19" s="24">
        <v>4351.47</v>
      </c>
      <c r="H19" s="24">
        <v>0</v>
      </c>
      <c r="I19" s="29">
        <f t="shared" si="15"/>
        <v>5065.1320000000005</v>
      </c>
      <c r="J19" s="24">
        <v>1357.75</v>
      </c>
      <c r="K19" s="29">
        <f>I19+J19</f>
        <v>6422.8820000000005</v>
      </c>
      <c r="L19" s="24">
        <v>3311.51</v>
      </c>
      <c r="M19" s="24">
        <v>0</v>
      </c>
      <c r="N19" s="29">
        <f t="shared" si="16"/>
        <v>3311.51</v>
      </c>
      <c r="O19" s="24">
        <v>2851.85</v>
      </c>
      <c r="P19" s="29">
        <f>O19+N19</f>
        <v>6163.3600000000006</v>
      </c>
      <c r="Q19" s="29">
        <f t="shared" si="17"/>
        <v>259.52199999999993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9">
        <f>W19+X19</f>
        <v>0</v>
      </c>
      <c r="AC19" s="29">
        <f>Z19+AA19</f>
        <v>0</v>
      </c>
      <c r="AD19" s="29">
        <f>V19+AB19</f>
        <v>0</v>
      </c>
      <c r="AE19" s="29">
        <f t="shared" si="18"/>
        <v>0</v>
      </c>
      <c r="AF19" s="29"/>
    </row>
    <row r="20" spans="1:32" s="8" customFormat="1" x14ac:dyDescent="0.2">
      <c r="B20" s="59"/>
      <c r="C20" s="8">
        <v>5</v>
      </c>
      <c r="D20" s="8" t="s">
        <v>20</v>
      </c>
      <c r="E20" s="24">
        <v>0</v>
      </c>
      <c r="F20" s="24">
        <v>417.25700000000001</v>
      </c>
      <c r="G20" s="24">
        <v>620.69000000000005</v>
      </c>
      <c r="H20" s="24">
        <v>0</v>
      </c>
      <c r="I20" s="29">
        <f t="shared" si="15"/>
        <v>1037.9470000000001</v>
      </c>
      <c r="J20" s="24">
        <v>2717.39</v>
      </c>
      <c r="K20" s="29">
        <f>I20+J20</f>
        <v>3755.337</v>
      </c>
      <c r="L20" s="24">
        <v>3122.9</v>
      </c>
      <c r="M20" s="24">
        <v>0</v>
      </c>
      <c r="N20" s="29">
        <f t="shared" si="16"/>
        <v>3122.9</v>
      </c>
      <c r="O20" s="24">
        <v>480.71</v>
      </c>
      <c r="P20" s="29">
        <f>O20+N20</f>
        <v>3603.61</v>
      </c>
      <c r="Q20" s="29">
        <f t="shared" si="17"/>
        <v>151.72699999999986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9">
        <f>W20+X20</f>
        <v>0</v>
      </c>
      <c r="AC20" s="29">
        <f>Z20+AA20</f>
        <v>0</v>
      </c>
      <c r="AD20" s="29">
        <f>V20+AB20</f>
        <v>0</v>
      </c>
      <c r="AE20" s="29">
        <f t="shared" si="18"/>
        <v>0</v>
      </c>
      <c r="AF20" s="29"/>
    </row>
    <row r="21" spans="1:32" s="8" customFormat="1" x14ac:dyDescent="0.2">
      <c r="B21" s="59"/>
      <c r="E21" s="25">
        <f>SUM(E16:E20)</f>
        <v>0</v>
      </c>
      <c r="F21" s="25">
        <f t="shared" ref="F21:G21" si="19">SUM(F16:F20)</f>
        <v>2709.5840000000003</v>
      </c>
      <c r="G21" s="25">
        <f t="shared" si="19"/>
        <v>14286.85</v>
      </c>
      <c r="H21" s="25">
        <f>SUM(H16:H20)</f>
        <v>0</v>
      </c>
      <c r="I21" s="25">
        <f>SUM(I16:I20)</f>
        <v>16996.434000000001</v>
      </c>
      <c r="J21" s="25">
        <f t="shared" ref="J21:K21" si="20">SUM(J16:J20)</f>
        <v>7389.74</v>
      </c>
      <c r="K21" s="25">
        <f t="shared" si="20"/>
        <v>24386.173999999999</v>
      </c>
      <c r="L21" s="25">
        <f>SUM(L16:L20)</f>
        <v>16011.13</v>
      </c>
      <c r="M21" s="25">
        <f>SUM(M16:M20)</f>
        <v>0</v>
      </c>
      <c r="N21" s="25">
        <f>SUM(N16:N20)</f>
        <v>16011.13</v>
      </c>
      <c r="O21" s="25">
        <f>SUM(O16:O20)</f>
        <v>7389.7400000000007</v>
      </c>
      <c r="P21" s="25">
        <f t="shared" ref="P21" si="21">SUM(P16:P20)</f>
        <v>23400.870000000003</v>
      </c>
      <c r="Q21" s="25">
        <f>SUM(Q16:Q20)</f>
        <v>985.30399999999918</v>
      </c>
      <c r="R21" s="25">
        <f t="shared" ref="R21:X21" si="22">SUM(R16:R20)</f>
        <v>1631.73</v>
      </c>
      <c r="S21" s="25">
        <f t="shared" si="22"/>
        <v>0</v>
      </c>
      <c r="T21" s="25">
        <f t="shared" si="22"/>
        <v>0</v>
      </c>
      <c r="U21" s="25">
        <f t="shared" si="22"/>
        <v>0</v>
      </c>
      <c r="V21" s="25">
        <f t="shared" si="22"/>
        <v>0</v>
      </c>
      <c r="W21" s="25">
        <f t="shared" si="22"/>
        <v>0</v>
      </c>
      <c r="X21" s="25">
        <f t="shared" si="22"/>
        <v>0</v>
      </c>
      <c r="Y21" s="25">
        <f>SUM(Y16:Y20)</f>
        <v>0</v>
      </c>
      <c r="Z21" s="25">
        <f>SUM(Z16:Z20)</f>
        <v>0</v>
      </c>
      <c r="AA21" s="25">
        <f t="shared" ref="AA21:AC21" si="23">SUM(AA16:AA20)</f>
        <v>0</v>
      </c>
      <c r="AB21" s="25">
        <f t="shared" si="23"/>
        <v>0</v>
      </c>
      <c r="AC21" s="25">
        <f t="shared" si="23"/>
        <v>0</v>
      </c>
      <c r="AD21" s="25">
        <f>SUM(AD16:AD20)</f>
        <v>0</v>
      </c>
      <c r="AE21" s="25">
        <f>SUM(AE16:AE20)</f>
        <v>0</v>
      </c>
      <c r="AF21" s="25"/>
    </row>
    <row r="22" spans="1:32" x14ac:dyDescent="0.2"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50"/>
      <c r="AF22" s="50"/>
    </row>
    <row r="23" spans="1:32" s="8" customFormat="1" x14ac:dyDescent="0.2">
      <c r="A23" s="8">
        <v>1</v>
      </c>
      <c r="B23" s="59" t="s">
        <v>85</v>
      </c>
      <c r="C23" s="8">
        <v>1</v>
      </c>
      <c r="D23" s="8" t="s">
        <v>16</v>
      </c>
      <c r="E23" s="24">
        <v>0</v>
      </c>
      <c r="F23" s="24">
        <v>477.125</v>
      </c>
      <c r="G23" s="24">
        <v>1631.73</v>
      </c>
      <c r="H23" s="24">
        <v>0</v>
      </c>
      <c r="I23" s="29">
        <f>E23+F23+G23+H23</f>
        <v>2108.855</v>
      </c>
      <c r="J23" s="24">
        <v>2185.2399999999998</v>
      </c>
      <c r="K23" s="29">
        <f>I23+J23</f>
        <v>4294.0949999999993</v>
      </c>
      <c r="L23" s="24">
        <v>3160.99</v>
      </c>
      <c r="M23" s="24">
        <v>0</v>
      </c>
      <c r="N23" s="29">
        <f>L23+M23</f>
        <v>3160.99</v>
      </c>
      <c r="O23" s="24">
        <v>959.6</v>
      </c>
      <c r="P23" s="29">
        <f>O23+N23</f>
        <v>4120.59</v>
      </c>
      <c r="Q23" s="29">
        <f>MAX(K23-P23,0)</f>
        <v>173.5049999999992</v>
      </c>
      <c r="R23" s="24">
        <v>1631.73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9">
        <f>W23+X23</f>
        <v>0</v>
      </c>
      <c r="AC23" s="29">
        <f>Z23+AA23</f>
        <v>0</v>
      </c>
      <c r="AD23" s="29">
        <f>V23+AB23</f>
        <v>0</v>
      </c>
      <c r="AE23" s="29">
        <f>Y23+AC23</f>
        <v>0</v>
      </c>
      <c r="AF23" s="29"/>
    </row>
    <row r="24" spans="1:32" s="8" customFormat="1" x14ac:dyDescent="0.2">
      <c r="B24" s="59"/>
      <c r="C24" s="8">
        <v>2</v>
      </c>
      <c r="D24" s="8" t="s">
        <v>17</v>
      </c>
      <c r="E24" s="24">
        <v>0</v>
      </c>
      <c r="F24" s="24">
        <v>587.69299999999998</v>
      </c>
      <c r="G24" s="24">
        <v>4303.24</v>
      </c>
      <c r="H24" s="24">
        <v>0</v>
      </c>
      <c r="I24" s="29">
        <f t="shared" ref="I24:I27" si="24">E24+F24+G24+H24</f>
        <v>4890.933</v>
      </c>
      <c r="J24" s="24">
        <v>398.37</v>
      </c>
      <c r="K24" s="29">
        <f>I24+J24</f>
        <v>5289.3029999999999</v>
      </c>
      <c r="L24" s="24">
        <v>3231.37</v>
      </c>
      <c r="M24" s="24">
        <v>0</v>
      </c>
      <c r="N24" s="29">
        <f t="shared" ref="N24:N27" si="25">L24+M24</f>
        <v>3231.37</v>
      </c>
      <c r="O24" s="24">
        <v>1844.24</v>
      </c>
      <c r="P24" s="29">
        <f>O24+N24</f>
        <v>5075.6099999999997</v>
      </c>
      <c r="Q24" s="29">
        <f t="shared" ref="Q24:Q27" si="26">MAX(K24-P24,0)</f>
        <v>213.69300000000021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9">
        <f>W24+X24</f>
        <v>0</v>
      </c>
      <c r="AC24" s="29">
        <f>Z24+AA24</f>
        <v>0</v>
      </c>
      <c r="AD24" s="29">
        <f>V24+AB24</f>
        <v>0</v>
      </c>
      <c r="AE24" s="29">
        <f t="shared" ref="AE24:AE27" si="27">Y24+AC24</f>
        <v>0</v>
      </c>
      <c r="AF24" s="29"/>
    </row>
    <row r="25" spans="1:32" s="8" customFormat="1" x14ac:dyDescent="0.2">
      <c r="B25" s="59"/>
      <c r="C25" s="8">
        <v>3</v>
      </c>
      <c r="D25" s="8" t="s">
        <v>18</v>
      </c>
      <c r="E25" s="24">
        <v>0</v>
      </c>
      <c r="F25" s="24">
        <v>513.84699999999998</v>
      </c>
      <c r="G25" s="24">
        <v>3379.72</v>
      </c>
      <c r="H25" s="24">
        <v>0</v>
      </c>
      <c r="I25" s="29">
        <f t="shared" si="24"/>
        <v>3893.567</v>
      </c>
      <c r="J25" s="24">
        <v>730.99</v>
      </c>
      <c r="K25" s="29">
        <f>I25+J25</f>
        <v>4624.5569999999998</v>
      </c>
      <c r="L25" s="24">
        <v>3184.36</v>
      </c>
      <c r="M25" s="24">
        <v>0</v>
      </c>
      <c r="N25" s="29">
        <f t="shared" si="25"/>
        <v>3184.36</v>
      </c>
      <c r="O25" s="24">
        <v>1253.3399999999999</v>
      </c>
      <c r="P25" s="29">
        <f>O25+N25</f>
        <v>4437.7</v>
      </c>
      <c r="Q25" s="29">
        <f t="shared" si="26"/>
        <v>186.85699999999997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9">
        <f>W25+X25</f>
        <v>0</v>
      </c>
      <c r="AC25" s="29">
        <f>Z25+AA25</f>
        <v>0</v>
      </c>
      <c r="AD25" s="29">
        <f>V25+AB25</f>
        <v>0</v>
      </c>
      <c r="AE25" s="29">
        <f t="shared" si="27"/>
        <v>0</v>
      </c>
      <c r="AF25" s="29"/>
    </row>
    <row r="26" spans="1:32" s="8" customFormat="1" x14ac:dyDescent="0.2">
      <c r="B26" s="59"/>
      <c r="C26" s="8">
        <v>4</v>
      </c>
      <c r="D26" s="8" t="s">
        <v>19</v>
      </c>
      <c r="E26" s="24">
        <v>0</v>
      </c>
      <c r="F26" s="24">
        <v>713.66200000000003</v>
      </c>
      <c r="G26" s="24">
        <v>4351.47</v>
      </c>
      <c r="H26" s="24">
        <v>0</v>
      </c>
      <c r="I26" s="29">
        <f t="shared" si="24"/>
        <v>5065.1320000000005</v>
      </c>
      <c r="J26" s="24">
        <v>1357.75</v>
      </c>
      <c r="K26" s="29">
        <f>I26+J26</f>
        <v>6422.8820000000005</v>
      </c>
      <c r="L26" s="24">
        <v>3311.51</v>
      </c>
      <c r="M26" s="24">
        <v>0</v>
      </c>
      <c r="N26" s="29">
        <f t="shared" si="25"/>
        <v>3311.51</v>
      </c>
      <c r="O26" s="24">
        <v>2851.85</v>
      </c>
      <c r="P26" s="29">
        <f>O26+N26</f>
        <v>6163.3600000000006</v>
      </c>
      <c r="Q26" s="29">
        <f t="shared" si="26"/>
        <v>259.52199999999993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9">
        <f>W26+X26</f>
        <v>0</v>
      </c>
      <c r="AC26" s="29">
        <f>Z26+AA26</f>
        <v>0</v>
      </c>
      <c r="AD26" s="29">
        <f>V26+AB26</f>
        <v>0</v>
      </c>
      <c r="AE26" s="29">
        <f t="shared" si="27"/>
        <v>0</v>
      </c>
      <c r="AF26" s="29"/>
    </row>
    <row r="27" spans="1:32" s="8" customFormat="1" x14ac:dyDescent="0.2">
      <c r="B27" s="59"/>
      <c r="C27" s="8">
        <v>5</v>
      </c>
      <c r="D27" s="8" t="s">
        <v>20</v>
      </c>
      <c r="E27" s="24">
        <v>0</v>
      </c>
      <c r="F27" s="24">
        <v>417.25700000000001</v>
      </c>
      <c r="G27" s="24">
        <v>620.69000000000005</v>
      </c>
      <c r="H27" s="24">
        <v>0</v>
      </c>
      <c r="I27" s="29">
        <f t="shared" si="24"/>
        <v>1037.9470000000001</v>
      </c>
      <c r="J27" s="24">
        <v>2717.39</v>
      </c>
      <c r="K27" s="29">
        <f>I27+J27</f>
        <v>3755.337</v>
      </c>
      <c r="L27" s="24">
        <v>3122.9</v>
      </c>
      <c r="M27" s="24">
        <v>0</v>
      </c>
      <c r="N27" s="29">
        <f t="shared" si="25"/>
        <v>3122.9</v>
      </c>
      <c r="O27" s="24">
        <v>480.71</v>
      </c>
      <c r="P27" s="29">
        <f>O27+N27</f>
        <v>3603.61</v>
      </c>
      <c r="Q27" s="29">
        <f t="shared" si="26"/>
        <v>151.72699999999986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9">
        <f>W27+X27</f>
        <v>0</v>
      </c>
      <c r="AC27" s="29">
        <f>Z27+AA27</f>
        <v>0</v>
      </c>
      <c r="AD27" s="29">
        <f>V27+AB27</f>
        <v>0</v>
      </c>
      <c r="AE27" s="29">
        <f t="shared" si="27"/>
        <v>0</v>
      </c>
      <c r="AF27" s="29"/>
    </row>
    <row r="28" spans="1:32" s="8" customFormat="1" x14ac:dyDescent="0.2">
      <c r="B28" s="59"/>
      <c r="E28" s="25">
        <f>SUM(E23:E27)</f>
        <v>0</v>
      </c>
      <c r="F28" s="25">
        <f t="shared" ref="F28:G28" si="28">SUM(F23:F27)</f>
        <v>2709.5840000000003</v>
      </c>
      <c r="G28" s="25">
        <f t="shared" si="28"/>
        <v>14286.85</v>
      </c>
      <c r="H28" s="25">
        <f>SUM(H23:H27)</f>
        <v>0</v>
      </c>
      <c r="I28" s="25">
        <f>SUM(I23:I27)</f>
        <v>16996.434000000001</v>
      </c>
      <c r="J28" s="25">
        <f t="shared" ref="J28:K28" si="29">SUM(J23:J27)</f>
        <v>7389.74</v>
      </c>
      <c r="K28" s="25">
        <f t="shared" si="29"/>
        <v>24386.173999999999</v>
      </c>
      <c r="L28" s="25">
        <f>SUM(L23:L27)</f>
        <v>16011.13</v>
      </c>
      <c r="M28" s="25">
        <f>SUM(M23:M27)</f>
        <v>0</v>
      </c>
      <c r="N28" s="25">
        <f>SUM(N23:N27)</f>
        <v>16011.13</v>
      </c>
      <c r="O28" s="25">
        <f>SUM(O23:O27)</f>
        <v>7389.7400000000007</v>
      </c>
      <c r="P28" s="25">
        <f t="shared" ref="P28" si="30">SUM(P23:P27)</f>
        <v>23400.870000000003</v>
      </c>
      <c r="Q28" s="25">
        <f>SUM(Q23:Q27)</f>
        <v>985.30399999999918</v>
      </c>
      <c r="R28" s="25">
        <f t="shared" ref="R28:X28" si="31">SUM(R23:R27)</f>
        <v>1631.73</v>
      </c>
      <c r="S28" s="25">
        <f t="shared" si="31"/>
        <v>0</v>
      </c>
      <c r="T28" s="25">
        <f t="shared" si="31"/>
        <v>0</v>
      </c>
      <c r="U28" s="25">
        <f t="shared" si="31"/>
        <v>0</v>
      </c>
      <c r="V28" s="25">
        <f t="shared" si="31"/>
        <v>0</v>
      </c>
      <c r="W28" s="25">
        <f t="shared" si="31"/>
        <v>0</v>
      </c>
      <c r="X28" s="25">
        <f t="shared" si="31"/>
        <v>0</v>
      </c>
      <c r="Y28" s="25">
        <f>SUM(Y23:Y27)</f>
        <v>0</v>
      </c>
      <c r="Z28" s="25">
        <f>SUM(Z23:Z27)</f>
        <v>0</v>
      </c>
      <c r="AA28" s="25">
        <f t="shared" ref="AA28:AC28" si="32">SUM(AA23:AA27)</f>
        <v>0</v>
      </c>
      <c r="AB28" s="25">
        <f t="shared" si="32"/>
        <v>0</v>
      </c>
      <c r="AC28" s="25">
        <f t="shared" si="32"/>
        <v>0</v>
      </c>
      <c r="AD28" s="25">
        <f>SUM(AD23:AD27)</f>
        <v>0</v>
      </c>
      <c r="AE28" s="25">
        <f>SUM(AE23:AE27)</f>
        <v>0</v>
      </c>
      <c r="AF28" s="25"/>
    </row>
    <row r="29" spans="1:32" x14ac:dyDescent="0.2"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50"/>
      <c r="AF29" s="50"/>
    </row>
    <row r="30" spans="1:32" s="8" customFormat="1" x14ac:dyDescent="0.2">
      <c r="A30" s="8">
        <v>1</v>
      </c>
      <c r="B30" s="59" t="s">
        <v>86</v>
      </c>
      <c r="C30" s="8">
        <v>1</v>
      </c>
      <c r="D30" s="8" t="s">
        <v>16</v>
      </c>
      <c r="E30" s="24">
        <v>0</v>
      </c>
      <c r="F30" s="24">
        <v>477.125</v>
      </c>
      <c r="G30" s="24">
        <v>1631.73</v>
      </c>
      <c r="H30" s="24">
        <v>0</v>
      </c>
      <c r="I30" s="29">
        <f>E30+F30+G30+H30</f>
        <v>2108.855</v>
      </c>
      <c r="J30" s="24">
        <v>2185.2399999999998</v>
      </c>
      <c r="K30" s="29">
        <f>I30+J30</f>
        <v>4294.0949999999993</v>
      </c>
      <c r="L30" s="24">
        <v>3160.99</v>
      </c>
      <c r="M30" s="24">
        <v>0</v>
      </c>
      <c r="N30" s="29">
        <f>L30+M30</f>
        <v>3160.99</v>
      </c>
      <c r="O30" s="24">
        <v>959.6</v>
      </c>
      <c r="P30" s="29">
        <f>O30+N30</f>
        <v>4120.59</v>
      </c>
      <c r="Q30" s="29">
        <f>MAX(K30-P30,0)</f>
        <v>173.5049999999992</v>
      </c>
      <c r="R30" s="24">
        <v>1631.73</v>
      </c>
      <c r="S30" s="24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29">
        <f>W30+X30</f>
        <v>0</v>
      </c>
      <c r="AC30" s="29">
        <f>Z30+AA30</f>
        <v>0</v>
      </c>
      <c r="AD30" s="29">
        <f>V30+AB30</f>
        <v>0</v>
      </c>
      <c r="AE30" s="29">
        <f>Y30+AC30</f>
        <v>0</v>
      </c>
      <c r="AF30" s="29"/>
    </row>
    <row r="31" spans="1:32" s="8" customFormat="1" x14ac:dyDescent="0.2">
      <c r="B31" s="59"/>
      <c r="C31" s="8">
        <v>2</v>
      </c>
      <c r="D31" s="8" t="s">
        <v>17</v>
      </c>
      <c r="E31" s="24">
        <v>0</v>
      </c>
      <c r="F31" s="24">
        <v>587.69299999999998</v>
      </c>
      <c r="G31" s="24">
        <v>4303.24</v>
      </c>
      <c r="H31" s="24">
        <v>0</v>
      </c>
      <c r="I31" s="29">
        <f t="shared" ref="I31:I34" si="33">E31+F31+G31+H31</f>
        <v>4890.933</v>
      </c>
      <c r="J31" s="24">
        <v>398.37</v>
      </c>
      <c r="K31" s="29">
        <f>I31+J31</f>
        <v>5289.3029999999999</v>
      </c>
      <c r="L31" s="24">
        <v>3231.37</v>
      </c>
      <c r="M31" s="24">
        <v>0</v>
      </c>
      <c r="N31" s="29">
        <f t="shared" ref="N31:N34" si="34">L31+M31</f>
        <v>3231.37</v>
      </c>
      <c r="O31" s="24">
        <v>1844.24</v>
      </c>
      <c r="P31" s="29">
        <f>O31+N31</f>
        <v>5075.6099999999997</v>
      </c>
      <c r="Q31" s="29">
        <f t="shared" ref="Q31:Q34" si="35">MAX(K31-P31,0)</f>
        <v>213.69300000000021</v>
      </c>
      <c r="R31" s="24">
        <v>0</v>
      </c>
      <c r="S31" s="24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29">
        <f>W31+X31</f>
        <v>0</v>
      </c>
      <c r="AC31" s="29">
        <f>Z31+AA31</f>
        <v>0</v>
      </c>
      <c r="AD31" s="29">
        <f>V31+AB31</f>
        <v>0</v>
      </c>
      <c r="AE31" s="29">
        <f t="shared" ref="AE31:AE34" si="36">Y31+AC31</f>
        <v>0</v>
      </c>
      <c r="AF31" s="29"/>
    </row>
    <row r="32" spans="1:32" s="8" customFormat="1" x14ac:dyDescent="0.2">
      <c r="B32" s="59"/>
      <c r="C32" s="8">
        <v>3</v>
      </c>
      <c r="D32" s="8" t="s">
        <v>18</v>
      </c>
      <c r="E32" s="24">
        <v>0</v>
      </c>
      <c r="F32" s="24">
        <v>513.84699999999998</v>
      </c>
      <c r="G32" s="24">
        <v>3379.72</v>
      </c>
      <c r="H32" s="24">
        <v>0</v>
      </c>
      <c r="I32" s="29">
        <f t="shared" si="33"/>
        <v>3893.567</v>
      </c>
      <c r="J32" s="24">
        <v>730.99</v>
      </c>
      <c r="K32" s="29">
        <f>I32+J32</f>
        <v>4624.5569999999998</v>
      </c>
      <c r="L32" s="24">
        <v>3184.36</v>
      </c>
      <c r="M32" s="24">
        <v>0</v>
      </c>
      <c r="N32" s="29">
        <f t="shared" si="34"/>
        <v>3184.36</v>
      </c>
      <c r="O32" s="24">
        <v>1253.3399999999999</v>
      </c>
      <c r="P32" s="29">
        <f>O32+N32</f>
        <v>4437.7</v>
      </c>
      <c r="Q32" s="29">
        <f t="shared" si="35"/>
        <v>186.85699999999997</v>
      </c>
      <c r="R32" s="24">
        <v>0</v>
      </c>
      <c r="S32" s="24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29">
        <f>W32+X32</f>
        <v>0</v>
      </c>
      <c r="AC32" s="29">
        <f>Z32+AA32</f>
        <v>0</v>
      </c>
      <c r="AD32" s="29">
        <f>V32+AB32</f>
        <v>0</v>
      </c>
      <c r="AE32" s="29">
        <f t="shared" si="36"/>
        <v>0</v>
      </c>
      <c r="AF32" s="29"/>
    </row>
    <row r="33" spans="1:32" s="8" customFormat="1" x14ac:dyDescent="0.2">
      <c r="B33" s="59"/>
      <c r="C33" s="8">
        <v>4</v>
      </c>
      <c r="D33" s="8" t="s">
        <v>19</v>
      </c>
      <c r="E33" s="24">
        <v>0</v>
      </c>
      <c r="F33" s="24">
        <v>713.66200000000003</v>
      </c>
      <c r="G33" s="24">
        <v>4351.47</v>
      </c>
      <c r="H33" s="24">
        <v>0</v>
      </c>
      <c r="I33" s="29">
        <f t="shared" si="33"/>
        <v>5065.1320000000005</v>
      </c>
      <c r="J33" s="24">
        <v>1357.75</v>
      </c>
      <c r="K33" s="29">
        <f>I33+J33</f>
        <v>6422.8820000000005</v>
      </c>
      <c r="L33" s="24">
        <v>3311.51</v>
      </c>
      <c r="M33" s="24">
        <v>0</v>
      </c>
      <c r="N33" s="29">
        <f t="shared" si="34"/>
        <v>3311.51</v>
      </c>
      <c r="O33" s="24">
        <v>2851.85</v>
      </c>
      <c r="P33" s="29">
        <f>O33+N33</f>
        <v>6163.3600000000006</v>
      </c>
      <c r="Q33" s="29">
        <f t="shared" si="35"/>
        <v>259.52199999999993</v>
      </c>
      <c r="R33" s="24">
        <v>0</v>
      </c>
      <c r="S33" s="24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29">
        <f>W33+X33</f>
        <v>0</v>
      </c>
      <c r="AC33" s="29">
        <f>Z33+AA33</f>
        <v>0</v>
      </c>
      <c r="AD33" s="29">
        <f>V33+AB33</f>
        <v>0</v>
      </c>
      <c r="AE33" s="29">
        <f t="shared" si="36"/>
        <v>0</v>
      </c>
      <c r="AF33" s="29"/>
    </row>
    <row r="34" spans="1:32" s="8" customFormat="1" x14ac:dyDescent="0.2">
      <c r="B34" s="59"/>
      <c r="C34" s="8">
        <v>5</v>
      </c>
      <c r="D34" s="8" t="s">
        <v>20</v>
      </c>
      <c r="E34" s="24">
        <v>0</v>
      </c>
      <c r="F34" s="24">
        <v>417.25700000000001</v>
      </c>
      <c r="G34" s="24">
        <v>620.69000000000005</v>
      </c>
      <c r="H34" s="24">
        <v>0</v>
      </c>
      <c r="I34" s="29">
        <f t="shared" si="33"/>
        <v>1037.9470000000001</v>
      </c>
      <c r="J34" s="24">
        <v>2717.39</v>
      </c>
      <c r="K34" s="29">
        <f>I34+J34</f>
        <v>3755.337</v>
      </c>
      <c r="L34" s="24">
        <v>3122.9</v>
      </c>
      <c r="M34" s="24">
        <v>0</v>
      </c>
      <c r="N34" s="29">
        <f t="shared" si="34"/>
        <v>3122.9</v>
      </c>
      <c r="O34" s="24">
        <v>480.71</v>
      </c>
      <c r="P34" s="29">
        <f>O34+N34</f>
        <v>3603.61</v>
      </c>
      <c r="Q34" s="29">
        <f t="shared" si="35"/>
        <v>151.72699999999986</v>
      </c>
      <c r="R34" s="24">
        <v>0</v>
      </c>
      <c r="S34" s="24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29">
        <f>W34+X34</f>
        <v>0</v>
      </c>
      <c r="AC34" s="29">
        <f>Z34+AA34</f>
        <v>0</v>
      </c>
      <c r="AD34" s="29">
        <f>V34+AB34</f>
        <v>0</v>
      </c>
      <c r="AE34" s="29">
        <f t="shared" si="36"/>
        <v>0</v>
      </c>
      <c r="AF34" s="29"/>
    </row>
    <row r="35" spans="1:32" s="8" customFormat="1" x14ac:dyDescent="0.2">
      <c r="B35" s="59"/>
      <c r="E35" s="25">
        <f>SUM(E30:E34)</f>
        <v>0</v>
      </c>
      <c r="F35" s="25">
        <f t="shared" ref="F35:G35" si="37">SUM(F30:F34)</f>
        <v>2709.5840000000003</v>
      </c>
      <c r="G35" s="25">
        <f t="shared" si="37"/>
        <v>14286.85</v>
      </c>
      <c r="H35" s="25">
        <f>SUM(H30:H34)</f>
        <v>0</v>
      </c>
      <c r="I35" s="25">
        <f>SUM(I30:I34)</f>
        <v>16996.434000000001</v>
      </c>
      <c r="J35" s="25">
        <f t="shared" ref="J35:K35" si="38">SUM(J30:J34)</f>
        <v>7389.74</v>
      </c>
      <c r="K35" s="25">
        <f t="shared" si="38"/>
        <v>24386.173999999999</v>
      </c>
      <c r="L35" s="25">
        <f>SUM(L30:L34)</f>
        <v>16011.13</v>
      </c>
      <c r="M35" s="25">
        <f>SUM(M30:M34)</f>
        <v>0</v>
      </c>
      <c r="N35" s="25">
        <f>SUM(N30:N34)</f>
        <v>16011.13</v>
      </c>
      <c r="O35" s="25">
        <f>SUM(O30:O34)</f>
        <v>7389.7400000000007</v>
      </c>
      <c r="P35" s="25">
        <f t="shared" ref="P35" si="39">SUM(P30:P34)</f>
        <v>23400.870000000003</v>
      </c>
      <c r="Q35" s="25">
        <f>SUM(Q30:Q34)</f>
        <v>985.30399999999918</v>
      </c>
      <c r="R35" s="25">
        <f t="shared" ref="R35:X35" si="40">SUM(R30:R34)</f>
        <v>1631.73</v>
      </c>
      <c r="S35" s="25">
        <f t="shared" si="40"/>
        <v>0</v>
      </c>
      <c r="T35" s="25">
        <f t="shared" si="40"/>
        <v>0</v>
      </c>
      <c r="U35" s="25">
        <f t="shared" si="40"/>
        <v>0</v>
      </c>
      <c r="V35" s="25">
        <f t="shared" si="40"/>
        <v>0</v>
      </c>
      <c r="W35" s="25">
        <f t="shared" si="40"/>
        <v>0</v>
      </c>
      <c r="X35" s="25">
        <f t="shared" si="40"/>
        <v>0</v>
      </c>
      <c r="Y35" s="25">
        <f>SUM(Y30:Y34)</f>
        <v>0</v>
      </c>
      <c r="Z35" s="25">
        <f>SUM(Z30:Z34)</f>
        <v>0</v>
      </c>
      <c r="AA35" s="25">
        <f t="shared" ref="AA35:AC35" si="41">SUM(AA30:AA34)</f>
        <v>0</v>
      </c>
      <c r="AB35" s="25">
        <f t="shared" si="41"/>
        <v>0</v>
      </c>
      <c r="AC35" s="25">
        <f t="shared" si="41"/>
        <v>0</v>
      </c>
      <c r="AD35" s="25">
        <f>SUM(AD30:AD34)</f>
        <v>0</v>
      </c>
      <c r="AE35" s="25">
        <f>SUM(AE30:AE34)</f>
        <v>0</v>
      </c>
      <c r="AF35" s="25"/>
    </row>
    <row r="36" spans="1:32" x14ac:dyDescent="0.2"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50"/>
      <c r="AF36" s="50"/>
    </row>
    <row r="37" spans="1:32" x14ac:dyDescent="0.2">
      <c r="A37" s="7">
        <v>1</v>
      </c>
      <c r="B37" s="20" t="s">
        <v>64</v>
      </c>
      <c r="C37" s="7">
        <v>1</v>
      </c>
      <c r="D37" s="13" t="s">
        <v>16</v>
      </c>
      <c r="E37" s="28">
        <v>0</v>
      </c>
      <c r="F37" s="28">
        <v>477.125</v>
      </c>
      <c r="G37" s="39">
        <v>0</v>
      </c>
      <c r="H37" s="28">
        <v>0</v>
      </c>
      <c r="I37" s="29">
        <f>E37+F37+G37+H37</f>
        <v>477.125</v>
      </c>
      <c r="J37" s="28">
        <v>2185.2399999999998</v>
      </c>
      <c r="K37" s="29">
        <f>I37+J37</f>
        <v>2662.3649999999998</v>
      </c>
      <c r="L37" s="39">
        <v>2042.355</v>
      </c>
      <c r="M37" s="28">
        <v>0</v>
      </c>
      <c r="N37" s="29">
        <f>L37+M37</f>
        <v>2042.355</v>
      </c>
      <c r="O37" s="39">
        <v>620.00900000000001</v>
      </c>
      <c r="P37" s="29">
        <f>O37+N37</f>
        <v>2662.364</v>
      </c>
      <c r="Q37" s="41">
        <v>0</v>
      </c>
      <c r="R37" s="41">
        <v>339.59900000000005</v>
      </c>
      <c r="S37" s="30">
        <v>0</v>
      </c>
      <c r="T37" s="28">
        <v>0</v>
      </c>
      <c r="U37" s="39">
        <v>1118.6423</v>
      </c>
      <c r="V37" s="56">
        <v>339.6</v>
      </c>
      <c r="W37" s="28">
        <v>0</v>
      </c>
      <c r="X37" s="24">
        <v>0</v>
      </c>
      <c r="Y37" s="28">
        <v>0</v>
      </c>
      <c r="Z37" s="28">
        <v>0</v>
      </c>
      <c r="AA37" s="28">
        <v>0</v>
      </c>
      <c r="AB37" s="29">
        <f>W37+X37</f>
        <v>0</v>
      </c>
      <c r="AC37" s="29">
        <f>Z37+AA37</f>
        <v>0</v>
      </c>
      <c r="AD37" s="29">
        <f>V37+AB37</f>
        <v>339.6</v>
      </c>
      <c r="AE37" s="29">
        <f>Y37+AC37</f>
        <v>0</v>
      </c>
      <c r="AF37" s="29"/>
    </row>
    <row r="38" spans="1:32" x14ac:dyDescent="0.2">
      <c r="C38" s="7">
        <v>2</v>
      </c>
      <c r="D38" s="7" t="s">
        <v>17</v>
      </c>
      <c r="E38" s="28">
        <v>0</v>
      </c>
      <c r="F38" s="28">
        <v>587.69299999999998</v>
      </c>
      <c r="G38" s="28">
        <v>4303.24</v>
      </c>
      <c r="H38" s="28">
        <v>0</v>
      </c>
      <c r="I38" s="29">
        <f t="shared" ref="I38:I41" si="42">E38+F38+G38+H38</f>
        <v>4890.933</v>
      </c>
      <c r="J38" s="28">
        <v>398.37</v>
      </c>
      <c r="K38" s="29">
        <f>I38+J38</f>
        <v>5289.3029999999999</v>
      </c>
      <c r="L38" s="28">
        <v>3231.37</v>
      </c>
      <c r="M38" s="28">
        <v>0</v>
      </c>
      <c r="N38" s="29">
        <f t="shared" ref="N38:N41" si="43">L38+M38</f>
        <v>3231.37</v>
      </c>
      <c r="O38" s="28">
        <v>1844.24</v>
      </c>
      <c r="P38" s="29">
        <f>O38+N38</f>
        <v>5075.6099999999997</v>
      </c>
      <c r="Q38" s="30">
        <v>213.69300000000021</v>
      </c>
      <c r="R38" s="30">
        <v>0</v>
      </c>
      <c r="S38" s="30">
        <v>0</v>
      </c>
      <c r="T38" s="28">
        <v>0</v>
      </c>
      <c r="U38" s="28">
        <v>0</v>
      </c>
      <c r="V38" s="55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9">
        <f>W38+X38</f>
        <v>0</v>
      </c>
      <c r="AC38" s="29">
        <f>Z38+AA38</f>
        <v>0</v>
      </c>
      <c r="AD38" s="29">
        <f>V38+AB38</f>
        <v>0</v>
      </c>
      <c r="AE38" s="29">
        <f t="shared" ref="AE38:AE41" si="44">Y38+AC38</f>
        <v>0</v>
      </c>
      <c r="AF38" s="29"/>
    </row>
    <row r="39" spans="1:32" x14ac:dyDescent="0.2">
      <c r="C39" s="7">
        <v>3</v>
      </c>
      <c r="D39" s="7" t="s">
        <v>18</v>
      </c>
      <c r="E39" s="28">
        <v>0</v>
      </c>
      <c r="F39" s="28">
        <v>513.84699999999998</v>
      </c>
      <c r="G39" s="28">
        <v>3379.72</v>
      </c>
      <c r="H39" s="28">
        <v>0</v>
      </c>
      <c r="I39" s="29">
        <f t="shared" si="42"/>
        <v>3893.567</v>
      </c>
      <c r="J39" s="28">
        <v>730.99</v>
      </c>
      <c r="K39" s="29">
        <f>I39+J39</f>
        <v>4624.5569999999998</v>
      </c>
      <c r="L39" s="28">
        <v>3184.36</v>
      </c>
      <c r="M39" s="28">
        <v>0</v>
      </c>
      <c r="N39" s="29">
        <f t="shared" si="43"/>
        <v>3184.36</v>
      </c>
      <c r="O39" s="28">
        <v>1253.3399999999999</v>
      </c>
      <c r="P39" s="29">
        <f>O39+N39</f>
        <v>4437.7</v>
      </c>
      <c r="Q39" s="30">
        <v>186.85699999999997</v>
      </c>
      <c r="R39" s="30">
        <v>0</v>
      </c>
      <c r="S39" s="30">
        <v>0</v>
      </c>
      <c r="T39" s="28">
        <v>0</v>
      </c>
      <c r="U39" s="28">
        <v>0</v>
      </c>
      <c r="V39" s="55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9">
        <f>W39+X39</f>
        <v>0</v>
      </c>
      <c r="AC39" s="29">
        <f>Z39+AA39</f>
        <v>0</v>
      </c>
      <c r="AD39" s="29">
        <f>V39+AB39</f>
        <v>0</v>
      </c>
      <c r="AE39" s="29">
        <f t="shared" si="44"/>
        <v>0</v>
      </c>
      <c r="AF39" s="29"/>
    </row>
    <row r="40" spans="1:32" x14ac:dyDescent="0.2">
      <c r="C40" s="7">
        <v>4</v>
      </c>
      <c r="D40" s="7" t="s">
        <v>19</v>
      </c>
      <c r="E40" s="28">
        <v>0</v>
      </c>
      <c r="F40" s="28">
        <v>713.66200000000003</v>
      </c>
      <c r="G40" s="28">
        <v>4351.47</v>
      </c>
      <c r="H40" s="28">
        <v>0</v>
      </c>
      <c r="I40" s="29">
        <f t="shared" si="42"/>
        <v>5065.1320000000005</v>
      </c>
      <c r="J40" s="28">
        <v>1357.75</v>
      </c>
      <c r="K40" s="29">
        <f>I40+J40</f>
        <v>6422.8820000000005</v>
      </c>
      <c r="L40" s="28">
        <v>3311.51</v>
      </c>
      <c r="M40" s="28">
        <v>0</v>
      </c>
      <c r="N40" s="29">
        <f t="shared" si="43"/>
        <v>3311.51</v>
      </c>
      <c r="O40" s="28">
        <v>2851.85</v>
      </c>
      <c r="P40" s="29">
        <f>O40+N40</f>
        <v>6163.3600000000006</v>
      </c>
      <c r="Q40" s="30">
        <v>259.52199999999993</v>
      </c>
      <c r="R40" s="30">
        <v>0</v>
      </c>
      <c r="S40" s="30">
        <v>0</v>
      </c>
      <c r="T40" s="28">
        <v>0</v>
      </c>
      <c r="U40" s="28">
        <v>0</v>
      </c>
      <c r="V40" s="55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9">
        <f>W40+X40</f>
        <v>0</v>
      </c>
      <c r="AC40" s="29">
        <f>Z40+AA40</f>
        <v>0</v>
      </c>
      <c r="AD40" s="29">
        <f>V40+AB40</f>
        <v>0</v>
      </c>
      <c r="AE40" s="29">
        <f t="shared" si="44"/>
        <v>0</v>
      </c>
      <c r="AF40" s="29"/>
    </row>
    <row r="41" spans="1:32" x14ac:dyDescent="0.2">
      <c r="C41" s="7">
        <v>5</v>
      </c>
      <c r="D41" s="7" t="s">
        <v>20</v>
      </c>
      <c r="E41" s="28">
        <v>0</v>
      </c>
      <c r="F41" s="28">
        <v>417.25700000000001</v>
      </c>
      <c r="G41" s="28">
        <v>620.69000000000005</v>
      </c>
      <c r="H41" s="28">
        <v>0</v>
      </c>
      <c r="I41" s="29">
        <f t="shared" si="42"/>
        <v>1037.9470000000001</v>
      </c>
      <c r="J41" s="28">
        <v>2717.39</v>
      </c>
      <c r="K41" s="29">
        <f>I41+J41</f>
        <v>3755.337</v>
      </c>
      <c r="L41" s="28">
        <v>3122.9</v>
      </c>
      <c r="M41" s="28">
        <v>0</v>
      </c>
      <c r="N41" s="29">
        <f t="shared" si="43"/>
        <v>3122.9</v>
      </c>
      <c r="O41" s="28">
        <v>480.71</v>
      </c>
      <c r="P41" s="29">
        <f>O41+N41</f>
        <v>3603.61</v>
      </c>
      <c r="Q41" s="30">
        <v>151.72699999999986</v>
      </c>
      <c r="R41" s="30">
        <v>0</v>
      </c>
      <c r="S41" s="30">
        <v>0</v>
      </c>
      <c r="T41" s="28">
        <v>0</v>
      </c>
      <c r="U41" s="28">
        <v>0</v>
      </c>
      <c r="V41" s="55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9">
        <f>W41+X41</f>
        <v>0</v>
      </c>
      <c r="AC41" s="29">
        <f>Z41+AA41</f>
        <v>0</v>
      </c>
      <c r="AD41" s="29">
        <f>V41+AB41</f>
        <v>0</v>
      </c>
      <c r="AE41" s="29">
        <f t="shared" si="44"/>
        <v>0</v>
      </c>
      <c r="AF41" s="29"/>
    </row>
    <row r="42" spans="1:32" x14ac:dyDescent="0.2">
      <c r="E42" s="25">
        <f>SUM(E37:E41)</f>
        <v>0</v>
      </c>
      <c r="F42" s="25">
        <f t="shared" ref="F42:G42" si="45">SUM(F37:F41)</f>
        <v>2709.5840000000003</v>
      </c>
      <c r="G42" s="25">
        <f t="shared" si="45"/>
        <v>12655.12</v>
      </c>
      <c r="H42" s="25">
        <f>SUM(H37:H41)</f>
        <v>0</v>
      </c>
      <c r="I42" s="25">
        <f>SUM(I37:I41)</f>
        <v>15364.704000000002</v>
      </c>
      <c r="J42" s="25">
        <f t="shared" ref="J42:K42" si="46">SUM(J37:J41)</f>
        <v>7389.74</v>
      </c>
      <c r="K42" s="25">
        <f t="shared" si="46"/>
        <v>22754.444</v>
      </c>
      <c r="L42" s="25">
        <f>SUM(L37:L41)</f>
        <v>14892.495000000001</v>
      </c>
      <c r="M42" s="25">
        <f>SUM(M37:M41)</f>
        <v>0</v>
      </c>
      <c r="N42" s="25">
        <f>SUM(N37:N41)</f>
        <v>14892.495000000001</v>
      </c>
      <c r="O42" s="25">
        <f>SUM(O37:O41)</f>
        <v>7050.1490000000003</v>
      </c>
      <c r="P42" s="25">
        <f t="shared" ref="P42" si="47">SUM(P37:P41)</f>
        <v>21942.644</v>
      </c>
      <c r="Q42" s="25">
        <f>SUM(Q37:Q41)</f>
        <v>811.79899999999998</v>
      </c>
      <c r="R42" s="25">
        <f t="shared" ref="R42:X42" si="48">SUM(R37:R41)</f>
        <v>339.59900000000005</v>
      </c>
      <c r="S42" s="25">
        <f t="shared" si="48"/>
        <v>0</v>
      </c>
      <c r="T42" s="25">
        <f t="shared" si="48"/>
        <v>0</v>
      </c>
      <c r="U42" s="25">
        <f t="shared" si="48"/>
        <v>1118.6423</v>
      </c>
      <c r="V42" s="25">
        <f t="shared" si="48"/>
        <v>339.6</v>
      </c>
      <c r="W42" s="25">
        <f t="shared" si="48"/>
        <v>0</v>
      </c>
      <c r="X42" s="25">
        <f t="shared" si="48"/>
        <v>0</v>
      </c>
      <c r="Y42" s="25">
        <f>SUM(Y37:Y41)</f>
        <v>0</v>
      </c>
      <c r="Z42" s="25">
        <f>SUM(Z37:Z41)</f>
        <v>0</v>
      </c>
      <c r="AA42" s="25">
        <f t="shared" ref="AA42:AC42" si="49">SUM(AA37:AA41)</f>
        <v>0</v>
      </c>
      <c r="AB42" s="25">
        <f t="shared" si="49"/>
        <v>0</v>
      </c>
      <c r="AC42" s="25">
        <f t="shared" si="49"/>
        <v>0</v>
      </c>
      <c r="AD42" s="25">
        <f>SUM(AD37:AD41)</f>
        <v>339.6</v>
      </c>
      <c r="AE42" s="50">
        <f>SUM(AE37:AE41)</f>
        <v>0</v>
      </c>
      <c r="AF42" s="50"/>
    </row>
    <row r="44" spans="1:32" x14ac:dyDescent="0.2">
      <c r="A44" s="7">
        <v>1</v>
      </c>
      <c r="B44" s="20" t="s">
        <v>66</v>
      </c>
      <c r="C44" s="7">
        <v>1</v>
      </c>
      <c r="D44" s="13" t="s">
        <v>16</v>
      </c>
      <c r="E44" s="28">
        <v>0</v>
      </c>
      <c r="F44" s="24">
        <v>477.125</v>
      </c>
      <c r="G44" s="24">
        <v>0</v>
      </c>
      <c r="H44" s="24">
        <v>0</v>
      </c>
      <c r="I44" s="29">
        <f>E44+F44+G44+H44</f>
        <v>477.125</v>
      </c>
      <c r="J44" s="24">
        <v>2185.2399999999998</v>
      </c>
      <c r="K44" s="29">
        <f>I44+J44</f>
        <v>2662.3649999999998</v>
      </c>
      <c r="L44" s="24">
        <v>2042.355</v>
      </c>
      <c r="M44" s="24">
        <v>0</v>
      </c>
      <c r="N44" s="29">
        <f>L44+M44</f>
        <v>2042.355</v>
      </c>
      <c r="O44" s="24">
        <v>620.00900000000001</v>
      </c>
      <c r="P44" s="29">
        <f>O44+N44</f>
        <v>2662.364</v>
      </c>
      <c r="Q44" s="30">
        <v>0</v>
      </c>
      <c r="R44" s="30">
        <v>339.59900000000005</v>
      </c>
      <c r="S44" s="30">
        <v>0</v>
      </c>
      <c r="T44" s="24">
        <v>0</v>
      </c>
      <c r="U44" s="24">
        <v>1118.6423</v>
      </c>
      <c r="V44" s="27">
        <v>339.6</v>
      </c>
      <c r="W44" s="24">
        <v>0</v>
      </c>
      <c r="X44" s="24">
        <v>0</v>
      </c>
      <c r="Y44" s="24">
        <v>0</v>
      </c>
      <c r="Z44" s="28">
        <v>0</v>
      </c>
      <c r="AA44" s="28">
        <v>0</v>
      </c>
      <c r="AB44" s="29">
        <f>W44+X44</f>
        <v>0</v>
      </c>
      <c r="AC44" s="29">
        <f>Z44+AA44</f>
        <v>0</v>
      </c>
      <c r="AD44" s="29">
        <f>V44+AB44</f>
        <v>339.6</v>
      </c>
      <c r="AE44" s="29">
        <f>Y44+AC44</f>
        <v>0</v>
      </c>
      <c r="AF44" s="29"/>
    </row>
    <row r="45" spans="1:32" x14ac:dyDescent="0.2">
      <c r="C45" s="7">
        <v>2</v>
      </c>
      <c r="D45" s="7" t="s">
        <v>17</v>
      </c>
      <c r="E45" s="28">
        <v>0</v>
      </c>
      <c r="F45" s="24">
        <v>587.69299999999998</v>
      </c>
      <c r="G45" s="24">
        <v>4303.24</v>
      </c>
      <c r="H45" s="24">
        <v>0</v>
      </c>
      <c r="I45" s="29">
        <f t="shared" ref="I45:I48" si="50">E45+F45+G45+H45</f>
        <v>4890.933</v>
      </c>
      <c r="J45" s="24">
        <v>398.37</v>
      </c>
      <c r="K45" s="29">
        <f>I45+J45</f>
        <v>5289.3029999999999</v>
      </c>
      <c r="L45" s="24">
        <v>3231.37</v>
      </c>
      <c r="M45" s="24">
        <v>0</v>
      </c>
      <c r="N45" s="29">
        <f t="shared" ref="N45:N48" si="51">L45+M45</f>
        <v>3231.37</v>
      </c>
      <c r="O45" s="24">
        <v>1844.24</v>
      </c>
      <c r="P45" s="29">
        <f>O45+N45</f>
        <v>5075.6099999999997</v>
      </c>
      <c r="Q45" s="30">
        <v>213.69300000000021</v>
      </c>
      <c r="R45" s="30">
        <v>0</v>
      </c>
      <c r="S45" s="30">
        <v>0</v>
      </c>
      <c r="T45" s="24">
        <v>0</v>
      </c>
      <c r="U45" s="24">
        <v>0</v>
      </c>
      <c r="V45" s="27">
        <v>0</v>
      </c>
      <c r="W45" s="24">
        <v>0</v>
      </c>
      <c r="X45" s="24">
        <v>0</v>
      </c>
      <c r="Y45" s="24">
        <v>0</v>
      </c>
      <c r="Z45" s="28">
        <v>0</v>
      </c>
      <c r="AA45" s="28">
        <v>0</v>
      </c>
      <c r="AB45" s="29">
        <f>W45+X45</f>
        <v>0</v>
      </c>
      <c r="AC45" s="29">
        <f>Z45+AA45</f>
        <v>0</v>
      </c>
      <c r="AD45" s="29">
        <f>V45+AB45</f>
        <v>0</v>
      </c>
      <c r="AE45" s="29">
        <f t="shared" ref="AE45:AE48" si="52">Y45+AC45</f>
        <v>0</v>
      </c>
      <c r="AF45" s="29"/>
    </row>
    <row r="46" spans="1:32" x14ac:dyDescent="0.2">
      <c r="C46" s="7">
        <v>3</v>
      </c>
      <c r="D46" s="7" t="s">
        <v>18</v>
      </c>
      <c r="E46" s="28">
        <v>0</v>
      </c>
      <c r="F46" s="24">
        <v>513.84699999999998</v>
      </c>
      <c r="G46" s="24">
        <v>3379.72</v>
      </c>
      <c r="H46" s="24">
        <v>0</v>
      </c>
      <c r="I46" s="29">
        <f t="shared" si="50"/>
        <v>3893.567</v>
      </c>
      <c r="J46" s="24">
        <v>730.99</v>
      </c>
      <c r="K46" s="29">
        <f>I46+J46</f>
        <v>4624.5569999999998</v>
      </c>
      <c r="L46" s="24">
        <v>3184.36</v>
      </c>
      <c r="M46" s="24">
        <v>0</v>
      </c>
      <c r="N46" s="29">
        <f t="shared" si="51"/>
        <v>3184.36</v>
      </c>
      <c r="O46" s="24">
        <v>1253.3399999999999</v>
      </c>
      <c r="P46" s="29">
        <f>O46+N46</f>
        <v>4437.7</v>
      </c>
      <c r="Q46" s="30">
        <v>186.85699999999997</v>
      </c>
      <c r="R46" s="30">
        <v>0</v>
      </c>
      <c r="S46" s="30">
        <v>0</v>
      </c>
      <c r="T46" s="24">
        <v>0</v>
      </c>
      <c r="U46" s="24">
        <v>0</v>
      </c>
      <c r="V46" s="27">
        <v>0</v>
      </c>
      <c r="W46" s="24">
        <v>0</v>
      </c>
      <c r="X46" s="24">
        <v>0</v>
      </c>
      <c r="Y46" s="24">
        <v>0</v>
      </c>
      <c r="Z46" s="28">
        <v>0</v>
      </c>
      <c r="AA46" s="28">
        <v>0</v>
      </c>
      <c r="AB46" s="29">
        <f>W46+X46</f>
        <v>0</v>
      </c>
      <c r="AC46" s="29">
        <f>Z46+AA46</f>
        <v>0</v>
      </c>
      <c r="AD46" s="29">
        <f>V46+AB46</f>
        <v>0</v>
      </c>
      <c r="AE46" s="29">
        <f t="shared" si="52"/>
        <v>0</v>
      </c>
      <c r="AF46" s="29"/>
    </row>
    <row r="47" spans="1:32" x14ac:dyDescent="0.2">
      <c r="C47" s="7">
        <v>4</v>
      </c>
      <c r="D47" s="7" t="s">
        <v>19</v>
      </c>
      <c r="E47" s="28">
        <v>0</v>
      </c>
      <c r="F47" s="24">
        <v>713.66200000000003</v>
      </c>
      <c r="G47" s="24">
        <v>4351.47</v>
      </c>
      <c r="H47" s="24">
        <v>0</v>
      </c>
      <c r="I47" s="29">
        <f t="shared" si="50"/>
        <v>5065.1320000000005</v>
      </c>
      <c r="J47" s="24">
        <v>1357.75</v>
      </c>
      <c r="K47" s="29">
        <f>I47+J47</f>
        <v>6422.8820000000005</v>
      </c>
      <c r="L47" s="24">
        <v>3311.51</v>
      </c>
      <c r="M47" s="24">
        <v>0</v>
      </c>
      <c r="N47" s="29">
        <f t="shared" si="51"/>
        <v>3311.51</v>
      </c>
      <c r="O47" s="24">
        <v>2851.85</v>
      </c>
      <c r="P47" s="29">
        <f>O47+N47</f>
        <v>6163.3600000000006</v>
      </c>
      <c r="Q47" s="30">
        <v>259.52199999999993</v>
      </c>
      <c r="R47" s="30">
        <v>0</v>
      </c>
      <c r="S47" s="30">
        <v>0</v>
      </c>
      <c r="T47" s="24">
        <v>0</v>
      </c>
      <c r="U47" s="24">
        <v>0</v>
      </c>
      <c r="V47" s="27">
        <v>0</v>
      </c>
      <c r="W47" s="24">
        <v>0</v>
      </c>
      <c r="X47" s="24">
        <v>0</v>
      </c>
      <c r="Y47" s="24">
        <v>0</v>
      </c>
      <c r="Z47" s="28">
        <v>0</v>
      </c>
      <c r="AA47" s="28">
        <v>0</v>
      </c>
      <c r="AB47" s="29">
        <f>W47+X47</f>
        <v>0</v>
      </c>
      <c r="AC47" s="29">
        <f>Z47+AA47</f>
        <v>0</v>
      </c>
      <c r="AD47" s="29">
        <f>V47+AB47</f>
        <v>0</v>
      </c>
      <c r="AE47" s="29">
        <f t="shared" si="52"/>
        <v>0</v>
      </c>
      <c r="AF47" s="29"/>
    </row>
    <row r="48" spans="1:32" x14ac:dyDescent="0.2">
      <c r="C48" s="7">
        <v>5</v>
      </c>
      <c r="D48" s="7" t="s">
        <v>20</v>
      </c>
      <c r="E48" s="28">
        <v>0</v>
      </c>
      <c r="F48" s="28">
        <v>417.25700000000001</v>
      </c>
      <c r="G48" s="28">
        <v>620.69000000000005</v>
      </c>
      <c r="H48" s="28">
        <v>0</v>
      </c>
      <c r="I48" s="29">
        <f t="shared" si="50"/>
        <v>1037.9470000000001</v>
      </c>
      <c r="J48" s="28">
        <v>2717.39</v>
      </c>
      <c r="K48" s="29">
        <f>I48+J48</f>
        <v>3755.337</v>
      </c>
      <c r="L48" s="28">
        <v>3122.9</v>
      </c>
      <c r="M48" s="28">
        <v>0</v>
      </c>
      <c r="N48" s="29">
        <f t="shared" si="51"/>
        <v>3122.9</v>
      </c>
      <c r="O48" s="28">
        <v>480.71</v>
      </c>
      <c r="P48" s="29">
        <f>O48+N48</f>
        <v>3603.61</v>
      </c>
      <c r="Q48" s="30">
        <v>151.72699999999986</v>
      </c>
      <c r="R48" s="30">
        <v>0</v>
      </c>
      <c r="S48" s="30">
        <v>0</v>
      </c>
      <c r="T48" s="28">
        <v>0</v>
      </c>
      <c r="U48" s="28">
        <v>0</v>
      </c>
      <c r="V48" s="55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9">
        <f>W48+X48</f>
        <v>0</v>
      </c>
      <c r="AC48" s="29">
        <f>Z48+AA48</f>
        <v>0</v>
      </c>
      <c r="AD48" s="29">
        <f>V48+AB48</f>
        <v>0</v>
      </c>
      <c r="AE48" s="29">
        <f t="shared" si="52"/>
        <v>0</v>
      </c>
      <c r="AF48" s="29"/>
    </row>
    <row r="49" spans="1:32" x14ac:dyDescent="0.2">
      <c r="E49" s="25">
        <f>SUM(E44:E48)</f>
        <v>0</v>
      </c>
      <c r="F49" s="25">
        <f t="shared" ref="F49:G49" si="53">SUM(F44:F48)</f>
        <v>2709.5840000000003</v>
      </c>
      <c r="G49" s="25">
        <f t="shared" si="53"/>
        <v>12655.12</v>
      </c>
      <c r="H49" s="25">
        <f>SUM(H44:H48)</f>
        <v>0</v>
      </c>
      <c r="I49" s="25">
        <f>SUM(I44:I48)</f>
        <v>15364.704000000002</v>
      </c>
      <c r="J49" s="25">
        <f t="shared" ref="J49:K49" si="54">SUM(J44:J48)</f>
        <v>7389.74</v>
      </c>
      <c r="K49" s="25">
        <f t="shared" si="54"/>
        <v>22754.444</v>
      </c>
      <c r="L49" s="25">
        <f>SUM(L44:L48)</f>
        <v>14892.495000000001</v>
      </c>
      <c r="M49" s="25">
        <f>SUM(M44:M48)</f>
        <v>0</v>
      </c>
      <c r="N49" s="25">
        <f>SUM(N44:N48)</f>
        <v>14892.495000000001</v>
      </c>
      <c r="O49" s="25">
        <f>SUM(O44:O48)</f>
        <v>7050.1490000000003</v>
      </c>
      <c r="P49" s="25">
        <f t="shared" ref="P49" si="55">SUM(P44:P48)</f>
        <v>21942.644</v>
      </c>
      <c r="Q49" s="25">
        <f>SUM(Q44:Q48)</f>
        <v>811.79899999999998</v>
      </c>
      <c r="R49" s="25">
        <f t="shared" ref="R49:X49" si="56">SUM(R44:R48)</f>
        <v>339.59900000000005</v>
      </c>
      <c r="S49" s="25">
        <f t="shared" si="56"/>
        <v>0</v>
      </c>
      <c r="T49" s="25">
        <f t="shared" si="56"/>
        <v>0</v>
      </c>
      <c r="U49" s="25">
        <f t="shared" si="56"/>
        <v>1118.6423</v>
      </c>
      <c r="V49" s="25">
        <f t="shared" si="56"/>
        <v>339.6</v>
      </c>
      <c r="W49" s="25">
        <f t="shared" si="56"/>
        <v>0</v>
      </c>
      <c r="X49" s="25">
        <f t="shared" si="56"/>
        <v>0</v>
      </c>
      <c r="Y49" s="25">
        <f>SUM(Y44:Y48)</f>
        <v>0</v>
      </c>
      <c r="Z49" s="25">
        <f>SUM(Z44:Z48)</f>
        <v>0</v>
      </c>
      <c r="AA49" s="25">
        <f t="shared" ref="AA49:AC49" si="57">SUM(AA44:AA48)</f>
        <v>0</v>
      </c>
      <c r="AB49" s="25">
        <f t="shared" si="57"/>
        <v>0</v>
      </c>
      <c r="AC49" s="25">
        <f t="shared" si="57"/>
        <v>0</v>
      </c>
      <c r="AD49" s="25">
        <f>SUM(AD44:AD48)</f>
        <v>339.6</v>
      </c>
      <c r="AE49" s="50">
        <f>SUM(AE44:AE48)</f>
        <v>0</v>
      </c>
      <c r="AF49" s="50"/>
    </row>
    <row r="51" spans="1:32" x14ac:dyDescent="0.2">
      <c r="A51" s="7">
        <v>1</v>
      </c>
      <c r="B51" s="20" t="s">
        <v>73</v>
      </c>
      <c r="C51" s="7">
        <v>1</v>
      </c>
      <c r="D51" s="14" t="s">
        <v>16</v>
      </c>
      <c r="E51" s="28">
        <v>0</v>
      </c>
      <c r="F51" s="28">
        <v>477.125</v>
      </c>
      <c r="G51" s="24">
        <v>0</v>
      </c>
      <c r="H51" s="24">
        <v>0</v>
      </c>
      <c r="I51" s="29">
        <f>E51+F51+G51+H51</f>
        <v>477.125</v>
      </c>
      <c r="J51" s="24">
        <v>2185.2399999999998</v>
      </c>
      <c r="K51" s="29">
        <f>I51+J51</f>
        <v>2662.3649999999998</v>
      </c>
      <c r="L51" s="24">
        <v>2042.355</v>
      </c>
      <c r="M51" s="24">
        <v>0</v>
      </c>
      <c r="N51" s="29">
        <f>L51+M51</f>
        <v>2042.355</v>
      </c>
      <c r="O51" s="24">
        <v>620.00900000000001</v>
      </c>
      <c r="P51" s="29">
        <f>O51+N51</f>
        <v>2662.364</v>
      </c>
      <c r="Q51" s="30">
        <v>0</v>
      </c>
      <c r="R51" s="30">
        <v>339.59900000000005</v>
      </c>
      <c r="S51" s="30">
        <v>0</v>
      </c>
      <c r="T51" s="24">
        <v>0</v>
      </c>
      <c r="U51" s="24">
        <v>1118.6423</v>
      </c>
      <c r="V51" s="27">
        <v>339.6</v>
      </c>
      <c r="W51" s="24">
        <v>0</v>
      </c>
      <c r="X51" s="33">
        <v>2185.2399999999998</v>
      </c>
      <c r="Y51" s="24">
        <v>0</v>
      </c>
      <c r="Z51" s="28">
        <v>0</v>
      </c>
      <c r="AA51" s="28">
        <v>0</v>
      </c>
      <c r="AB51" s="29">
        <f>W51+X51</f>
        <v>2185.2399999999998</v>
      </c>
      <c r="AC51" s="29">
        <f>Z51+AA51</f>
        <v>0</v>
      </c>
      <c r="AD51" s="29">
        <f>V51+AB51</f>
        <v>2524.8399999999997</v>
      </c>
      <c r="AE51" s="29">
        <f>Y51+AC51</f>
        <v>0</v>
      </c>
      <c r="AF51" s="29"/>
    </row>
    <row r="52" spans="1:32" x14ac:dyDescent="0.2">
      <c r="C52" s="7">
        <v>2</v>
      </c>
      <c r="D52" s="7" t="s">
        <v>17</v>
      </c>
      <c r="E52" s="28">
        <v>0</v>
      </c>
      <c r="F52" s="28">
        <v>587.69299999999998</v>
      </c>
      <c r="G52" s="24">
        <v>4303.24</v>
      </c>
      <c r="H52" s="24">
        <v>0</v>
      </c>
      <c r="I52" s="29">
        <f t="shared" ref="I52:I55" si="58">E52+F52+G52+H52</f>
        <v>4890.933</v>
      </c>
      <c r="J52" s="24">
        <v>398.37</v>
      </c>
      <c r="K52" s="29">
        <f>I52+J52</f>
        <v>5289.3029999999999</v>
      </c>
      <c r="L52" s="24">
        <v>3231.37</v>
      </c>
      <c r="M52" s="24">
        <v>0</v>
      </c>
      <c r="N52" s="29">
        <f t="shared" ref="N52:N55" si="59">L52+M52</f>
        <v>3231.37</v>
      </c>
      <c r="O52" s="24">
        <v>1844.24</v>
      </c>
      <c r="P52" s="29">
        <f>O52+N52</f>
        <v>5075.6099999999997</v>
      </c>
      <c r="Q52" s="30">
        <v>213.69300000000021</v>
      </c>
      <c r="R52" s="30">
        <v>0</v>
      </c>
      <c r="S52" s="30">
        <v>0</v>
      </c>
      <c r="T52" s="24">
        <v>0</v>
      </c>
      <c r="U52" s="24">
        <v>0</v>
      </c>
      <c r="V52" s="27">
        <v>0</v>
      </c>
      <c r="W52" s="24">
        <v>0</v>
      </c>
      <c r="X52" s="24">
        <v>0</v>
      </c>
      <c r="Y52" s="24">
        <v>0</v>
      </c>
      <c r="Z52" s="28">
        <v>0</v>
      </c>
      <c r="AA52" s="28">
        <v>0</v>
      </c>
      <c r="AB52" s="29">
        <f>W52+X52</f>
        <v>0</v>
      </c>
      <c r="AC52" s="29">
        <f>Z52+AA52</f>
        <v>0</v>
      </c>
      <c r="AD52" s="29">
        <f>V52+AB52</f>
        <v>0</v>
      </c>
      <c r="AE52" s="29">
        <f t="shared" ref="AE52:AE55" si="60">Y52+AC52</f>
        <v>0</v>
      </c>
      <c r="AF52" s="29"/>
    </row>
    <row r="53" spans="1:32" x14ac:dyDescent="0.2">
      <c r="C53" s="7">
        <v>3</v>
      </c>
      <c r="D53" s="7" t="s">
        <v>18</v>
      </c>
      <c r="E53" s="28">
        <v>0</v>
      </c>
      <c r="F53" s="28">
        <v>513.84699999999998</v>
      </c>
      <c r="G53" s="24">
        <v>3379.72</v>
      </c>
      <c r="H53" s="24">
        <v>0</v>
      </c>
      <c r="I53" s="29">
        <f t="shared" si="58"/>
        <v>3893.567</v>
      </c>
      <c r="J53" s="24">
        <v>730.99</v>
      </c>
      <c r="K53" s="29">
        <f>I53+J53</f>
        <v>4624.5569999999998</v>
      </c>
      <c r="L53" s="24">
        <v>3184.36</v>
      </c>
      <c r="M53" s="24">
        <v>0</v>
      </c>
      <c r="N53" s="29">
        <f t="shared" si="59"/>
        <v>3184.36</v>
      </c>
      <c r="O53" s="24">
        <v>1253.3399999999999</v>
      </c>
      <c r="P53" s="29">
        <f>O53+N53</f>
        <v>4437.7</v>
      </c>
      <c r="Q53" s="30">
        <v>186.85699999999997</v>
      </c>
      <c r="R53" s="30">
        <v>0</v>
      </c>
      <c r="S53" s="30">
        <v>0</v>
      </c>
      <c r="T53" s="24">
        <v>0</v>
      </c>
      <c r="U53" s="24">
        <v>0</v>
      </c>
      <c r="V53" s="27">
        <v>0</v>
      </c>
      <c r="W53" s="24">
        <v>0</v>
      </c>
      <c r="X53" s="24">
        <v>0</v>
      </c>
      <c r="Y53" s="24">
        <v>0</v>
      </c>
      <c r="Z53" s="28">
        <v>0</v>
      </c>
      <c r="AA53" s="28">
        <v>0</v>
      </c>
      <c r="AB53" s="29">
        <f>W53+X53</f>
        <v>0</v>
      </c>
      <c r="AC53" s="29">
        <f>Z53+AA53</f>
        <v>0</v>
      </c>
      <c r="AD53" s="29">
        <f>V53+AB53</f>
        <v>0</v>
      </c>
      <c r="AE53" s="29">
        <f t="shared" si="60"/>
        <v>0</v>
      </c>
      <c r="AF53" s="29"/>
    </row>
    <row r="54" spans="1:32" x14ac:dyDescent="0.2">
      <c r="C54" s="7">
        <v>4</v>
      </c>
      <c r="D54" s="7" t="s">
        <v>19</v>
      </c>
      <c r="E54" s="28">
        <v>0</v>
      </c>
      <c r="F54" s="28">
        <v>713.66200000000003</v>
      </c>
      <c r="G54" s="24">
        <v>4351.47</v>
      </c>
      <c r="H54" s="24">
        <v>0</v>
      </c>
      <c r="I54" s="29">
        <f t="shared" si="58"/>
        <v>5065.1320000000005</v>
      </c>
      <c r="J54" s="24">
        <v>1357.75</v>
      </c>
      <c r="K54" s="29">
        <f>I54+J54</f>
        <v>6422.8820000000005</v>
      </c>
      <c r="L54" s="24">
        <v>3311.51</v>
      </c>
      <c r="M54" s="24">
        <v>0</v>
      </c>
      <c r="N54" s="29">
        <f t="shared" si="59"/>
        <v>3311.51</v>
      </c>
      <c r="O54" s="24">
        <v>2851.85</v>
      </c>
      <c r="P54" s="29">
        <f>O54+N54</f>
        <v>6163.3600000000006</v>
      </c>
      <c r="Q54" s="30">
        <v>259.52199999999993</v>
      </c>
      <c r="R54" s="30">
        <v>0</v>
      </c>
      <c r="S54" s="30">
        <v>0</v>
      </c>
      <c r="T54" s="24">
        <v>0</v>
      </c>
      <c r="U54" s="24">
        <v>0</v>
      </c>
      <c r="V54" s="27">
        <v>0</v>
      </c>
      <c r="W54" s="24">
        <v>0</v>
      </c>
      <c r="X54" s="24">
        <v>0</v>
      </c>
      <c r="Y54" s="24">
        <v>0</v>
      </c>
      <c r="Z54" s="28">
        <v>0</v>
      </c>
      <c r="AA54" s="28">
        <v>0</v>
      </c>
      <c r="AB54" s="29">
        <f>W54+X54</f>
        <v>0</v>
      </c>
      <c r="AC54" s="29">
        <f>Z54+AA54</f>
        <v>0</v>
      </c>
      <c r="AD54" s="29">
        <f>V54+AB54</f>
        <v>0</v>
      </c>
      <c r="AE54" s="29">
        <f t="shared" si="60"/>
        <v>0</v>
      </c>
      <c r="AF54" s="29"/>
    </row>
    <row r="55" spans="1:32" x14ac:dyDescent="0.2">
      <c r="C55" s="7">
        <v>5</v>
      </c>
      <c r="D55" s="7" t="s">
        <v>20</v>
      </c>
      <c r="E55" s="28">
        <v>0</v>
      </c>
      <c r="F55" s="28">
        <v>417.25700000000001</v>
      </c>
      <c r="G55" s="24">
        <v>620.69000000000005</v>
      </c>
      <c r="H55" s="24">
        <v>0</v>
      </c>
      <c r="I55" s="29">
        <f t="shared" si="58"/>
        <v>1037.9470000000001</v>
      </c>
      <c r="J55" s="24">
        <v>2717.39</v>
      </c>
      <c r="K55" s="29">
        <f>I55+J55</f>
        <v>3755.337</v>
      </c>
      <c r="L55" s="24">
        <v>3122.9</v>
      </c>
      <c r="M55" s="24">
        <v>0</v>
      </c>
      <c r="N55" s="29">
        <f t="shared" si="59"/>
        <v>3122.9</v>
      </c>
      <c r="O55" s="24">
        <v>480.71</v>
      </c>
      <c r="P55" s="29">
        <f>O55+N55</f>
        <v>3603.61</v>
      </c>
      <c r="Q55" s="30">
        <v>151.72699999999986</v>
      </c>
      <c r="R55" s="30">
        <v>0</v>
      </c>
      <c r="S55" s="30">
        <v>0</v>
      </c>
      <c r="T55" s="24">
        <v>0</v>
      </c>
      <c r="U55" s="24">
        <v>0</v>
      </c>
      <c r="V55" s="27">
        <v>0</v>
      </c>
      <c r="W55" s="24">
        <v>0</v>
      </c>
      <c r="X55" s="24">
        <v>0</v>
      </c>
      <c r="Y55" s="24">
        <v>0</v>
      </c>
      <c r="Z55" s="28">
        <v>0</v>
      </c>
      <c r="AA55" s="28">
        <v>0</v>
      </c>
      <c r="AB55" s="29">
        <f>W55+X55</f>
        <v>0</v>
      </c>
      <c r="AC55" s="29">
        <f>Z55+AA55</f>
        <v>0</v>
      </c>
      <c r="AD55" s="29">
        <f>V55+AB55</f>
        <v>0</v>
      </c>
      <c r="AE55" s="29">
        <f t="shared" si="60"/>
        <v>0</v>
      </c>
      <c r="AF55" s="29"/>
    </row>
    <row r="56" spans="1:32" x14ac:dyDescent="0.2">
      <c r="E56" s="25">
        <f>SUM(E51:E55)</f>
        <v>0</v>
      </c>
      <c r="F56" s="25">
        <f t="shared" ref="F56:G56" si="61">SUM(F51:F55)</f>
        <v>2709.5840000000003</v>
      </c>
      <c r="G56" s="25">
        <f t="shared" si="61"/>
        <v>12655.12</v>
      </c>
      <c r="H56" s="25">
        <f>SUM(H51:H55)</f>
        <v>0</v>
      </c>
      <c r="I56" s="25">
        <f>SUM(I51:I55)</f>
        <v>15364.704000000002</v>
      </c>
      <c r="J56" s="25">
        <f t="shared" ref="J56:K56" si="62">SUM(J51:J55)</f>
        <v>7389.74</v>
      </c>
      <c r="K56" s="25">
        <f t="shared" si="62"/>
        <v>22754.444</v>
      </c>
      <c r="L56" s="25">
        <f>SUM(L51:L55)</f>
        <v>14892.495000000001</v>
      </c>
      <c r="M56" s="25">
        <f>SUM(M51:M55)</f>
        <v>0</v>
      </c>
      <c r="N56" s="25">
        <f>SUM(N51:N55)</f>
        <v>14892.495000000001</v>
      </c>
      <c r="O56" s="25">
        <f>SUM(O51:O55)</f>
        <v>7050.1490000000003</v>
      </c>
      <c r="P56" s="25">
        <f t="shared" ref="P56" si="63">SUM(P51:P55)</f>
        <v>21942.644</v>
      </c>
      <c r="Q56" s="25">
        <f>SUM(Q51:Q55)</f>
        <v>811.79899999999998</v>
      </c>
      <c r="R56" s="25">
        <f t="shared" ref="R56:X56" si="64">SUM(R51:R55)</f>
        <v>339.59900000000005</v>
      </c>
      <c r="S56" s="25">
        <f t="shared" si="64"/>
        <v>0</v>
      </c>
      <c r="T56" s="25">
        <f t="shared" si="64"/>
        <v>0</v>
      </c>
      <c r="U56" s="25">
        <f t="shared" si="64"/>
        <v>1118.6423</v>
      </c>
      <c r="V56" s="25">
        <f t="shared" si="64"/>
        <v>339.6</v>
      </c>
      <c r="W56" s="25">
        <f t="shared" si="64"/>
        <v>0</v>
      </c>
      <c r="X56" s="25">
        <f t="shared" si="64"/>
        <v>2185.2399999999998</v>
      </c>
      <c r="Y56" s="25">
        <f>SUM(Y51:Y55)</f>
        <v>0</v>
      </c>
      <c r="Z56" s="25">
        <f>SUM(Z51:Z55)</f>
        <v>0</v>
      </c>
      <c r="AA56" s="25">
        <f t="shared" ref="AA56:AC56" si="65">SUM(AA51:AA55)</f>
        <v>0</v>
      </c>
      <c r="AB56" s="25">
        <f t="shared" si="65"/>
        <v>2185.2399999999998</v>
      </c>
      <c r="AC56" s="25">
        <f t="shared" si="65"/>
        <v>0</v>
      </c>
      <c r="AD56" s="25">
        <f>SUM(AD51:AD55)</f>
        <v>2524.8399999999997</v>
      </c>
      <c r="AE56" s="50">
        <f>SUM(AE51:AE55)</f>
        <v>0</v>
      </c>
      <c r="AF56" s="50"/>
    </row>
    <row r="58" spans="1:32" x14ac:dyDescent="0.2">
      <c r="A58" s="7">
        <v>2</v>
      </c>
      <c r="B58" s="20" t="s">
        <v>67</v>
      </c>
      <c r="C58" s="7">
        <v>1</v>
      </c>
      <c r="D58" s="14" t="s">
        <v>16</v>
      </c>
      <c r="E58" s="28">
        <v>0</v>
      </c>
      <c r="F58" s="28">
        <v>477.125</v>
      </c>
      <c r="G58" s="24">
        <v>0</v>
      </c>
      <c r="H58" s="28">
        <v>0</v>
      </c>
      <c r="I58" s="29">
        <f>E58+F58+G58+H58</f>
        <v>477.125</v>
      </c>
      <c r="J58" s="24">
        <v>2185.2399999999998</v>
      </c>
      <c r="K58" s="29">
        <f>I58+J58</f>
        <v>2662.3649999999998</v>
      </c>
      <c r="L58" s="24">
        <v>2042.355</v>
      </c>
      <c r="M58" s="28">
        <v>0</v>
      </c>
      <c r="N58" s="29">
        <f>L58+M58</f>
        <v>2042.355</v>
      </c>
      <c r="O58" s="24">
        <v>620.00099999999998</v>
      </c>
      <c r="P58" s="29">
        <f>O58+N58</f>
        <v>2662.3559999999998</v>
      </c>
      <c r="Q58" s="30">
        <v>0</v>
      </c>
      <c r="R58" s="45">
        <v>0</v>
      </c>
      <c r="S58" s="45">
        <v>0</v>
      </c>
      <c r="T58" s="28">
        <v>0</v>
      </c>
      <c r="U58" s="28">
        <v>0</v>
      </c>
      <c r="V58" s="24">
        <v>339.59900000000005</v>
      </c>
      <c r="W58" s="28">
        <v>0</v>
      </c>
      <c r="X58" s="24">
        <v>2185.2399999999998</v>
      </c>
      <c r="Y58" s="28">
        <v>0</v>
      </c>
      <c r="Z58" s="28">
        <v>0</v>
      </c>
      <c r="AA58" s="28">
        <v>0</v>
      </c>
      <c r="AB58" s="29">
        <f>W58+X58</f>
        <v>2185.2399999999998</v>
      </c>
      <c r="AC58" s="29">
        <f>Z58+AA58</f>
        <v>0</v>
      </c>
      <c r="AD58" s="29">
        <f>V58+AB58</f>
        <v>2524.8389999999999</v>
      </c>
      <c r="AE58" s="29">
        <f>Y58+AC58</f>
        <v>0</v>
      </c>
      <c r="AF58" s="29"/>
    </row>
    <row r="59" spans="1:32" x14ac:dyDescent="0.2">
      <c r="C59" s="7">
        <v>2</v>
      </c>
      <c r="D59" s="7" t="s">
        <v>17</v>
      </c>
      <c r="E59" s="28">
        <v>0</v>
      </c>
      <c r="F59" s="28">
        <v>587.69299999999998</v>
      </c>
      <c r="G59" s="28">
        <v>4303.24</v>
      </c>
      <c r="H59" s="28">
        <v>0</v>
      </c>
      <c r="I59" s="29">
        <f t="shared" ref="I59:I62" si="66">E59+F59+G59+H59</f>
        <v>4890.933</v>
      </c>
      <c r="J59" s="28">
        <v>398.37</v>
      </c>
      <c r="K59" s="29">
        <f>I59+J59</f>
        <v>5289.3029999999999</v>
      </c>
      <c r="L59" s="28">
        <v>3231.37</v>
      </c>
      <c r="M59" s="28">
        <v>0</v>
      </c>
      <c r="N59" s="29">
        <f t="shared" ref="N59:N62" si="67">L59+M59</f>
        <v>3231.37</v>
      </c>
      <c r="O59" s="28">
        <v>1844.24</v>
      </c>
      <c r="P59" s="29">
        <f>O59+N59</f>
        <v>5075.6099999999997</v>
      </c>
      <c r="Q59" s="30">
        <v>213.69300000000021</v>
      </c>
      <c r="R59" s="45">
        <v>0</v>
      </c>
      <c r="S59" s="45">
        <v>0</v>
      </c>
      <c r="T59" s="28">
        <v>0</v>
      </c>
      <c r="U59" s="28">
        <v>0</v>
      </c>
      <c r="V59" s="24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9">
        <f>W59+X59</f>
        <v>0</v>
      </c>
      <c r="AC59" s="29">
        <f>Z59+AA59</f>
        <v>0</v>
      </c>
      <c r="AD59" s="29">
        <f>V59+AB59</f>
        <v>0</v>
      </c>
      <c r="AE59" s="29">
        <f t="shared" ref="AE59:AE62" si="68">Y59+AC59</f>
        <v>0</v>
      </c>
      <c r="AF59" s="29"/>
    </row>
    <row r="60" spans="1:32" x14ac:dyDescent="0.2">
      <c r="C60" s="7">
        <v>3</v>
      </c>
      <c r="D60" s="7" t="s">
        <v>18</v>
      </c>
      <c r="E60" s="28">
        <v>0</v>
      </c>
      <c r="F60" s="28">
        <v>513.84699999999998</v>
      </c>
      <c r="G60" s="28">
        <v>3379.72</v>
      </c>
      <c r="H60" s="28">
        <v>0</v>
      </c>
      <c r="I60" s="29">
        <f t="shared" si="66"/>
        <v>3893.567</v>
      </c>
      <c r="J60" s="28">
        <v>730.99</v>
      </c>
      <c r="K60" s="29">
        <f>I60+J60</f>
        <v>4624.5569999999998</v>
      </c>
      <c r="L60" s="28">
        <v>3184.36</v>
      </c>
      <c r="M60" s="28">
        <v>0</v>
      </c>
      <c r="N60" s="29">
        <f t="shared" si="67"/>
        <v>3184.36</v>
      </c>
      <c r="O60" s="28">
        <v>1253.3399999999999</v>
      </c>
      <c r="P60" s="29">
        <f>O60+N60</f>
        <v>4437.7</v>
      </c>
      <c r="Q60" s="30">
        <v>186.85699999999997</v>
      </c>
      <c r="R60" s="45">
        <v>0</v>
      </c>
      <c r="S60" s="45">
        <v>0</v>
      </c>
      <c r="T60" s="28">
        <v>0</v>
      </c>
      <c r="U60" s="28">
        <v>0</v>
      </c>
      <c r="V60" s="24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9">
        <f>W60+X60</f>
        <v>0</v>
      </c>
      <c r="AC60" s="29">
        <f>Z60+AA60</f>
        <v>0</v>
      </c>
      <c r="AD60" s="29">
        <f>V60+AB60</f>
        <v>0</v>
      </c>
      <c r="AE60" s="29">
        <f t="shared" si="68"/>
        <v>0</v>
      </c>
      <c r="AF60" s="29"/>
    </row>
    <row r="61" spans="1:32" x14ac:dyDescent="0.2">
      <c r="C61" s="7">
        <v>4</v>
      </c>
      <c r="D61" s="7" t="s">
        <v>19</v>
      </c>
      <c r="E61" s="28">
        <v>0</v>
      </c>
      <c r="F61" s="28">
        <v>713.66200000000003</v>
      </c>
      <c r="G61" s="28">
        <v>4351.47</v>
      </c>
      <c r="H61" s="28">
        <v>0</v>
      </c>
      <c r="I61" s="29">
        <f t="shared" si="66"/>
        <v>5065.1320000000005</v>
      </c>
      <c r="J61" s="28">
        <v>1357.75</v>
      </c>
      <c r="K61" s="29">
        <f>I61+J61</f>
        <v>6422.8820000000005</v>
      </c>
      <c r="L61" s="28">
        <v>3311.51</v>
      </c>
      <c r="M61" s="28">
        <v>0</v>
      </c>
      <c r="N61" s="29">
        <f t="shared" si="67"/>
        <v>3311.51</v>
      </c>
      <c r="O61" s="28">
        <v>2851.85</v>
      </c>
      <c r="P61" s="29">
        <f>O61+N61</f>
        <v>6163.3600000000006</v>
      </c>
      <c r="Q61" s="30">
        <v>259.52199999999993</v>
      </c>
      <c r="R61" s="45">
        <v>0</v>
      </c>
      <c r="S61" s="45">
        <v>0</v>
      </c>
      <c r="T61" s="28">
        <v>0</v>
      </c>
      <c r="U61" s="28">
        <v>0</v>
      </c>
      <c r="V61" s="24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9">
        <f>W61+X61</f>
        <v>0</v>
      </c>
      <c r="AC61" s="29">
        <f>Z61+AA61</f>
        <v>0</v>
      </c>
      <c r="AD61" s="29">
        <f>V61+AB61</f>
        <v>0</v>
      </c>
      <c r="AE61" s="29">
        <f t="shared" si="68"/>
        <v>0</v>
      </c>
      <c r="AF61" s="29"/>
    </row>
    <row r="62" spans="1:32" x14ac:dyDescent="0.2">
      <c r="C62" s="7">
        <v>5</v>
      </c>
      <c r="D62" s="7" t="s">
        <v>20</v>
      </c>
      <c r="E62" s="28">
        <v>0</v>
      </c>
      <c r="F62" s="28">
        <v>417.25700000000001</v>
      </c>
      <c r="G62" s="28">
        <v>620.69000000000005</v>
      </c>
      <c r="H62" s="28">
        <v>0</v>
      </c>
      <c r="I62" s="29">
        <f t="shared" si="66"/>
        <v>1037.9470000000001</v>
      </c>
      <c r="J62" s="28">
        <v>2717.39</v>
      </c>
      <c r="K62" s="29">
        <f>I62+J62</f>
        <v>3755.337</v>
      </c>
      <c r="L62" s="28">
        <v>3122.9</v>
      </c>
      <c r="M62" s="28">
        <v>0</v>
      </c>
      <c r="N62" s="29">
        <f t="shared" si="67"/>
        <v>3122.9</v>
      </c>
      <c r="O62" s="28">
        <v>480.71</v>
      </c>
      <c r="P62" s="29">
        <f>O62+N62</f>
        <v>3603.61</v>
      </c>
      <c r="Q62" s="30">
        <v>151.72699999999986</v>
      </c>
      <c r="R62" s="45">
        <v>0</v>
      </c>
      <c r="S62" s="45">
        <v>0</v>
      </c>
      <c r="T62" s="28">
        <v>0</v>
      </c>
      <c r="U62" s="28">
        <v>0</v>
      </c>
      <c r="V62" s="24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9">
        <f>W62+X62</f>
        <v>0</v>
      </c>
      <c r="AC62" s="29">
        <f>Z62+AA62</f>
        <v>0</v>
      </c>
      <c r="AD62" s="29">
        <f>V62+AB62</f>
        <v>0</v>
      </c>
      <c r="AE62" s="29">
        <f t="shared" si="68"/>
        <v>0</v>
      </c>
      <c r="AF62" s="29"/>
    </row>
    <row r="63" spans="1:32" x14ac:dyDescent="0.2">
      <c r="E63" s="25">
        <f>SUM(E58:E62)</f>
        <v>0</v>
      </c>
      <c r="F63" s="25">
        <f t="shared" ref="F63:G63" si="69">SUM(F58:F62)</f>
        <v>2709.5840000000003</v>
      </c>
      <c r="G63" s="25">
        <f t="shared" si="69"/>
        <v>12655.12</v>
      </c>
      <c r="H63" s="25">
        <f>SUM(H58:H62)</f>
        <v>0</v>
      </c>
      <c r="I63" s="25">
        <f>SUM(I58:I62)</f>
        <v>15364.704000000002</v>
      </c>
      <c r="J63" s="25">
        <f t="shared" ref="J63:K63" si="70">SUM(J58:J62)</f>
        <v>7389.74</v>
      </c>
      <c r="K63" s="25">
        <f t="shared" si="70"/>
        <v>22754.444</v>
      </c>
      <c r="L63" s="25">
        <f>SUM(L58:L62)</f>
        <v>14892.495000000001</v>
      </c>
      <c r="M63" s="25">
        <f>SUM(M58:M62)</f>
        <v>0</v>
      </c>
      <c r="N63" s="25">
        <f>SUM(N58:N62)</f>
        <v>14892.495000000001</v>
      </c>
      <c r="O63" s="25">
        <f>SUM(O58:O62)</f>
        <v>7050.1410000000005</v>
      </c>
      <c r="P63" s="25">
        <f t="shared" ref="P63" si="71">SUM(P58:P62)</f>
        <v>21942.635999999999</v>
      </c>
      <c r="Q63" s="25">
        <f>SUM(Q58:Q62)</f>
        <v>811.79899999999998</v>
      </c>
      <c r="R63" s="25">
        <f t="shared" ref="R63:X63" si="72">SUM(R58:R62)</f>
        <v>0</v>
      </c>
      <c r="S63" s="25">
        <f t="shared" si="72"/>
        <v>0</v>
      </c>
      <c r="T63" s="25">
        <f t="shared" si="72"/>
        <v>0</v>
      </c>
      <c r="U63" s="25">
        <f t="shared" si="72"/>
        <v>0</v>
      </c>
      <c r="V63" s="25">
        <f t="shared" si="72"/>
        <v>339.59900000000005</v>
      </c>
      <c r="W63" s="25">
        <f t="shared" si="72"/>
        <v>0</v>
      </c>
      <c r="X63" s="25">
        <f t="shared" si="72"/>
        <v>2185.2399999999998</v>
      </c>
      <c r="Y63" s="25">
        <f>SUM(Y58:Y62)</f>
        <v>0</v>
      </c>
      <c r="Z63" s="25">
        <f>SUM(Z58:Z62)</f>
        <v>0</v>
      </c>
      <c r="AA63" s="25">
        <f t="shared" ref="AA63:AC63" si="73">SUM(AA58:AA62)</f>
        <v>0</v>
      </c>
      <c r="AB63" s="25">
        <f t="shared" si="73"/>
        <v>2185.2399999999998</v>
      </c>
      <c r="AC63" s="25">
        <f t="shared" si="73"/>
        <v>0</v>
      </c>
      <c r="AD63" s="25">
        <f>SUM(AD58:AD62)</f>
        <v>2524.8389999999999</v>
      </c>
      <c r="AE63" s="50">
        <f>SUM(AE58:AE62)</f>
        <v>0</v>
      </c>
      <c r="AF63" s="50"/>
    </row>
    <row r="64" spans="1:32" x14ac:dyDescent="0.2"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50"/>
      <c r="AF64" s="50"/>
    </row>
    <row r="65" spans="1:32" x14ac:dyDescent="0.2">
      <c r="A65" s="7">
        <v>2</v>
      </c>
      <c r="B65" s="20" t="s">
        <v>68</v>
      </c>
      <c r="C65" s="7">
        <v>1</v>
      </c>
      <c r="D65" s="14" t="s">
        <v>16</v>
      </c>
      <c r="E65" s="28">
        <v>0</v>
      </c>
      <c r="F65" s="28">
        <v>477.125</v>
      </c>
      <c r="G65" s="28">
        <v>0</v>
      </c>
      <c r="H65" s="28">
        <v>0</v>
      </c>
      <c r="I65" s="29">
        <f>E65+F65+G65+H65</f>
        <v>477.125</v>
      </c>
      <c r="J65" s="24">
        <v>2185.2399999999998</v>
      </c>
      <c r="K65" s="29">
        <f>I65+J65</f>
        <v>2662.3649999999998</v>
      </c>
      <c r="L65" s="24">
        <v>2042.355</v>
      </c>
      <c r="M65" s="28">
        <v>0</v>
      </c>
      <c r="N65" s="29">
        <f>L65+M65</f>
        <v>2042.355</v>
      </c>
      <c r="O65" s="24">
        <v>620.00900000000001</v>
      </c>
      <c r="P65" s="29">
        <f>O65+N65</f>
        <v>2662.364</v>
      </c>
      <c r="Q65" s="30">
        <v>0</v>
      </c>
      <c r="R65" s="30">
        <v>0</v>
      </c>
      <c r="S65" s="30">
        <v>0</v>
      </c>
      <c r="T65" s="28">
        <v>0</v>
      </c>
      <c r="U65" s="28">
        <v>0</v>
      </c>
      <c r="V65" s="24">
        <v>339.59900000000005</v>
      </c>
      <c r="W65" s="28">
        <v>0</v>
      </c>
      <c r="X65" s="24">
        <v>2185.2399999999998</v>
      </c>
      <c r="Y65" s="28">
        <v>0</v>
      </c>
      <c r="Z65" s="28">
        <v>0</v>
      </c>
      <c r="AA65" s="28">
        <v>0</v>
      </c>
      <c r="AB65" s="29">
        <f>W65+X65</f>
        <v>2185.2399999999998</v>
      </c>
      <c r="AC65" s="29">
        <f>Z65+AA65</f>
        <v>0</v>
      </c>
      <c r="AD65" s="29">
        <f>V65+AB65</f>
        <v>2524.8389999999999</v>
      </c>
      <c r="AE65" s="29">
        <f>Y65+AC65</f>
        <v>0</v>
      </c>
      <c r="AF65" s="29"/>
    </row>
    <row r="66" spans="1:32" x14ac:dyDescent="0.2">
      <c r="C66" s="7">
        <v>2</v>
      </c>
      <c r="D66" s="7" t="s">
        <v>17</v>
      </c>
      <c r="E66" s="28">
        <v>0</v>
      </c>
      <c r="F66" s="28">
        <v>587.69299999999998</v>
      </c>
      <c r="G66" s="28">
        <v>4303.24</v>
      </c>
      <c r="H66" s="28">
        <v>0</v>
      </c>
      <c r="I66" s="29">
        <f t="shared" ref="I66:I69" si="74">E66+F66+G66+H66</f>
        <v>4890.933</v>
      </c>
      <c r="J66" s="28">
        <v>398.37</v>
      </c>
      <c r="K66" s="29">
        <f>I66+J66</f>
        <v>5289.3029999999999</v>
      </c>
      <c r="L66" s="28">
        <v>3231.37</v>
      </c>
      <c r="M66" s="28">
        <v>0</v>
      </c>
      <c r="N66" s="29">
        <f t="shared" ref="N66:N69" si="75">L66+M66</f>
        <v>3231.37</v>
      </c>
      <c r="O66" s="28">
        <v>1844.24</v>
      </c>
      <c r="P66" s="29">
        <f>O66+N66</f>
        <v>5075.6099999999997</v>
      </c>
      <c r="Q66" s="30">
        <v>213.69300000000021</v>
      </c>
      <c r="R66" s="42">
        <v>38.698</v>
      </c>
      <c r="S66" s="30">
        <v>0</v>
      </c>
      <c r="T66" s="28">
        <v>0</v>
      </c>
      <c r="U66" s="28">
        <v>0</v>
      </c>
      <c r="V66" s="24">
        <v>0</v>
      </c>
      <c r="W66" s="28">
        <v>0</v>
      </c>
      <c r="X66" s="24">
        <v>0</v>
      </c>
      <c r="Y66" s="31">
        <v>38.698</v>
      </c>
      <c r="Z66" s="28">
        <v>0</v>
      </c>
      <c r="AA66" s="28">
        <v>0</v>
      </c>
      <c r="AB66" s="29">
        <f>W66+X66</f>
        <v>0</v>
      </c>
      <c r="AC66" s="29">
        <f>Z66+AA66</f>
        <v>0</v>
      </c>
      <c r="AD66" s="29">
        <f>V66+AB66</f>
        <v>0</v>
      </c>
      <c r="AE66" s="29">
        <f t="shared" ref="AE66:AE69" si="76">Y66+AC66</f>
        <v>38.698</v>
      </c>
      <c r="AF66" s="29"/>
    </row>
    <row r="67" spans="1:32" x14ac:dyDescent="0.2">
      <c r="C67" s="7">
        <v>3</v>
      </c>
      <c r="D67" s="7" t="s">
        <v>18</v>
      </c>
      <c r="E67" s="28">
        <v>0</v>
      </c>
      <c r="F67" s="28">
        <v>513.84699999999998</v>
      </c>
      <c r="G67" s="28">
        <v>3379.72</v>
      </c>
      <c r="H67" s="28">
        <v>0</v>
      </c>
      <c r="I67" s="29">
        <f t="shared" si="74"/>
        <v>3893.567</v>
      </c>
      <c r="J67" s="28">
        <v>730.99</v>
      </c>
      <c r="K67" s="29">
        <f>I67+J67</f>
        <v>4624.5569999999998</v>
      </c>
      <c r="L67" s="28">
        <v>3184.36</v>
      </c>
      <c r="M67" s="28">
        <v>0</v>
      </c>
      <c r="N67" s="29">
        <f t="shared" si="75"/>
        <v>3184.36</v>
      </c>
      <c r="O67" s="28">
        <v>1253.3399999999999</v>
      </c>
      <c r="P67" s="29">
        <f>O67+N67</f>
        <v>4437.7</v>
      </c>
      <c r="Q67" s="30">
        <v>186.85699999999997</v>
      </c>
      <c r="R67" s="42">
        <v>258.68799999999999</v>
      </c>
      <c r="S67" s="30">
        <v>0</v>
      </c>
      <c r="T67" s="28">
        <v>0</v>
      </c>
      <c r="U67" s="28">
        <v>0</v>
      </c>
      <c r="V67" s="24">
        <v>0</v>
      </c>
      <c r="W67" s="28">
        <v>0</v>
      </c>
      <c r="X67" s="24">
        <v>0</v>
      </c>
      <c r="Y67" s="31">
        <v>258.68799999999999</v>
      </c>
      <c r="Z67" s="28">
        <v>0</v>
      </c>
      <c r="AA67" s="28">
        <v>0</v>
      </c>
      <c r="AB67" s="29">
        <f>W67+X67</f>
        <v>0</v>
      </c>
      <c r="AC67" s="29">
        <f>Z67+AA67</f>
        <v>0</v>
      </c>
      <c r="AD67" s="29">
        <f>V67+AB67</f>
        <v>0</v>
      </c>
      <c r="AE67" s="29">
        <f t="shared" si="76"/>
        <v>258.68799999999999</v>
      </c>
      <c r="AF67" s="29"/>
    </row>
    <row r="68" spans="1:32" x14ac:dyDescent="0.2">
      <c r="C68" s="7">
        <v>4</v>
      </c>
      <c r="D68" s="7" t="s">
        <v>19</v>
      </c>
      <c r="E68" s="28">
        <v>0</v>
      </c>
      <c r="F68" s="28">
        <v>713.66200000000003</v>
      </c>
      <c r="G68" s="28">
        <v>4351.47</v>
      </c>
      <c r="H68" s="28">
        <v>0</v>
      </c>
      <c r="I68" s="29">
        <f t="shared" si="74"/>
        <v>5065.1320000000005</v>
      </c>
      <c r="J68" s="28">
        <v>1357.75</v>
      </c>
      <c r="K68" s="29">
        <f>I68+J68</f>
        <v>6422.8820000000005</v>
      </c>
      <c r="L68" s="28">
        <v>3311.51</v>
      </c>
      <c r="M68" s="28">
        <v>0</v>
      </c>
      <c r="N68" s="29">
        <f t="shared" si="75"/>
        <v>3311.51</v>
      </c>
      <c r="O68" s="28">
        <v>2851.85</v>
      </c>
      <c r="P68" s="29">
        <f>O68+N68</f>
        <v>6163.3600000000006</v>
      </c>
      <c r="Q68" s="30">
        <v>259.52199999999993</v>
      </c>
      <c r="R68" s="42">
        <v>42.204999999999998</v>
      </c>
      <c r="S68" s="30">
        <v>0</v>
      </c>
      <c r="T68" s="28">
        <v>0</v>
      </c>
      <c r="U68" s="28">
        <v>0</v>
      </c>
      <c r="V68" s="24">
        <v>0</v>
      </c>
      <c r="W68" s="28">
        <v>0</v>
      </c>
      <c r="X68" s="24">
        <v>0</v>
      </c>
      <c r="Y68" s="31">
        <v>42.204999999999998</v>
      </c>
      <c r="Z68" s="28">
        <v>0</v>
      </c>
      <c r="AA68" s="28">
        <v>0</v>
      </c>
      <c r="AB68" s="29">
        <f>W68+X68</f>
        <v>0</v>
      </c>
      <c r="AC68" s="29">
        <f>Z68+AA68</f>
        <v>0</v>
      </c>
      <c r="AD68" s="29">
        <f>V68+AB68</f>
        <v>0</v>
      </c>
      <c r="AE68" s="29">
        <f t="shared" si="76"/>
        <v>42.204999999999998</v>
      </c>
      <c r="AF68" s="29"/>
    </row>
    <row r="69" spans="1:32" x14ac:dyDescent="0.2">
      <c r="C69" s="7">
        <v>5</v>
      </c>
      <c r="D69" s="7" t="s">
        <v>20</v>
      </c>
      <c r="E69" s="28">
        <v>0</v>
      </c>
      <c r="F69" s="28">
        <v>417.25700000000001</v>
      </c>
      <c r="G69" s="28">
        <v>620.69000000000005</v>
      </c>
      <c r="H69" s="28">
        <v>0</v>
      </c>
      <c r="I69" s="29">
        <f t="shared" si="74"/>
        <v>1037.9470000000001</v>
      </c>
      <c r="J69" s="28">
        <v>2717.39</v>
      </c>
      <c r="K69" s="29">
        <f>I69+J69</f>
        <v>3755.337</v>
      </c>
      <c r="L69" s="28">
        <v>3122.9</v>
      </c>
      <c r="M69" s="28">
        <v>0</v>
      </c>
      <c r="N69" s="29">
        <f t="shared" si="75"/>
        <v>3122.9</v>
      </c>
      <c r="O69" s="28">
        <v>480.71</v>
      </c>
      <c r="P69" s="29">
        <f>O69+N69</f>
        <v>3603.61</v>
      </c>
      <c r="Q69" s="30">
        <v>151.72699999999986</v>
      </c>
      <c r="R69" s="30">
        <v>0</v>
      </c>
      <c r="S69" s="30">
        <v>0</v>
      </c>
      <c r="T69" s="28">
        <v>0</v>
      </c>
      <c r="U69" s="28">
        <v>0</v>
      </c>
      <c r="V69" s="24">
        <v>0</v>
      </c>
      <c r="W69" s="28">
        <v>0</v>
      </c>
      <c r="X69" s="24">
        <v>0</v>
      </c>
      <c r="Y69" s="24">
        <v>0</v>
      </c>
      <c r="Z69" s="28">
        <v>0</v>
      </c>
      <c r="AA69" s="28">
        <v>0</v>
      </c>
      <c r="AB69" s="29">
        <f>W69+X69</f>
        <v>0</v>
      </c>
      <c r="AC69" s="29">
        <f>Z69+AA69</f>
        <v>0</v>
      </c>
      <c r="AD69" s="29">
        <f>V69+AB69</f>
        <v>0</v>
      </c>
      <c r="AE69" s="29">
        <f t="shared" si="76"/>
        <v>0</v>
      </c>
      <c r="AF69" s="29"/>
    </row>
    <row r="70" spans="1:32" x14ac:dyDescent="0.2">
      <c r="E70" s="25">
        <f>SUM(E65:E69)</f>
        <v>0</v>
      </c>
      <c r="F70" s="25">
        <f t="shared" ref="F70:K70" si="77">SUM(F65:F69)</f>
        <v>2709.5840000000003</v>
      </c>
      <c r="G70" s="25">
        <f t="shared" si="77"/>
        <v>12655.12</v>
      </c>
      <c r="H70" s="25">
        <f>SUM(H65:H69)</f>
        <v>0</v>
      </c>
      <c r="I70" s="25">
        <f>SUM(I65:I69)</f>
        <v>15364.704000000002</v>
      </c>
      <c r="J70" s="25">
        <f t="shared" si="77"/>
        <v>7389.74</v>
      </c>
      <c r="K70" s="25">
        <f t="shared" si="77"/>
        <v>22754.444</v>
      </c>
      <c r="L70" s="25">
        <f>SUM(L65:L69)</f>
        <v>14892.495000000001</v>
      </c>
      <c r="M70" s="25">
        <f>SUM(M65:M69)</f>
        <v>0</v>
      </c>
      <c r="N70" s="25">
        <f>SUM(N65:N69)</f>
        <v>14892.495000000001</v>
      </c>
      <c r="O70" s="25">
        <f>SUM(O65:O69)</f>
        <v>7050.1490000000003</v>
      </c>
      <c r="P70" s="25">
        <f t="shared" ref="P70" si="78">SUM(P65:P69)</f>
        <v>21942.644</v>
      </c>
      <c r="Q70" s="25">
        <f>SUM(Q65:Q69)</f>
        <v>811.79899999999998</v>
      </c>
      <c r="R70" s="25">
        <f t="shared" ref="R70:V70" si="79">SUM(R65:R69)</f>
        <v>339.59099999999995</v>
      </c>
      <c r="S70" s="25">
        <f t="shared" si="79"/>
        <v>0</v>
      </c>
      <c r="T70" s="25">
        <f t="shared" si="79"/>
        <v>0</v>
      </c>
      <c r="U70" s="25">
        <f t="shared" si="79"/>
        <v>0</v>
      </c>
      <c r="V70" s="25">
        <f t="shared" si="79"/>
        <v>339.59900000000005</v>
      </c>
      <c r="W70" s="25">
        <f>SUM(W65:W69)</f>
        <v>0</v>
      </c>
      <c r="X70" s="25">
        <f>SUM(X65:X69)</f>
        <v>2185.2399999999998</v>
      </c>
      <c r="Y70" s="25">
        <f>SUM(Y65:Y69)</f>
        <v>339.59099999999995</v>
      </c>
      <c r="Z70" s="25">
        <f>SUM(Z65:Z69)</f>
        <v>0</v>
      </c>
      <c r="AA70" s="25">
        <f t="shared" ref="AA70:AC70" si="80">SUM(AA65:AA69)</f>
        <v>0</v>
      </c>
      <c r="AB70" s="25">
        <f>SUM(AB65:AB69)</f>
        <v>2185.2399999999998</v>
      </c>
      <c r="AC70" s="25">
        <f t="shared" si="80"/>
        <v>0</v>
      </c>
      <c r="AD70" s="25">
        <f>SUM(AD65:AD69)</f>
        <v>2524.8389999999999</v>
      </c>
      <c r="AE70" s="50">
        <f>SUM(AE65:AE69)</f>
        <v>339.59099999999995</v>
      </c>
      <c r="AF70" s="50"/>
    </row>
    <row r="72" spans="1:32" x14ac:dyDescent="0.2">
      <c r="A72" s="7">
        <v>2</v>
      </c>
      <c r="B72" s="20" t="s">
        <v>85</v>
      </c>
      <c r="C72" s="7">
        <v>1</v>
      </c>
      <c r="D72" s="14" t="s">
        <v>16</v>
      </c>
      <c r="E72" s="28">
        <v>0</v>
      </c>
      <c r="F72" s="28">
        <v>477.125</v>
      </c>
      <c r="G72" s="28">
        <v>0</v>
      </c>
      <c r="H72" s="28">
        <v>0</v>
      </c>
      <c r="I72" s="29">
        <f>E72+F72+G72+H72</f>
        <v>477.125</v>
      </c>
      <c r="J72" s="24">
        <v>2185.2399999999998</v>
      </c>
      <c r="K72" s="29">
        <f>J72+I72</f>
        <v>2662.3649999999998</v>
      </c>
      <c r="L72" s="24">
        <v>2042.355</v>
      </c>
      <c r="M72" s="28">
        <v>0</v>
      </c>
      <c r="N72" s="29">
        <f>L72+M72</f>
        <v>2042.355</v>
      </c>
      <c r="O72" s="24">
        <v>620.00900000000001</v>
      </c>
      <c r="P72" s="29">
        <f>O72+N72</f>
        <v>2662.364</v>
      </c>
      <c r="Q72" s="30">
        <v>0</v>
      </c>
      <c r="R72" s="30">
        <v>0</v>
      </c>
      <c r="S72" s="24">
        <v>0</v>
      </c>
      <c r="T72" s="28">
        <v>0</v>
      </c>
      <c r="U72" s="28">
        <v>0</v>
      </c>
      <c r="V72" s="24">
        <v>339.59900000000005</v>
      </c>
      <c r="W72" s="28">
        <v>0</v>
      </c>
      <c r="X72" s="24">
        <v>2185.2399999999998</v>
      </c>
      <c r="Y72" s="24">
        <v>0</v>
      </c>
      <c r="Z72" s="28">
        <v>0</v>
      </c>
      <c r="AA72" s="24">
        <v>0</v>
      </c>
      <c r="AB72" s="29">
        <f>W72+X72</f>
        <v>2185.2399999999998</v>
      </c>
      <c r="AC72" s="29">
        <f>Z72+AA72</f>
        <v>0</v>
      </c>
      <c r="AD72" s="29">
        <f>V72+AB72</f>
        <v>2524.8389999999999</v>
      </c>
      <c r="AE72" s="29">
        <f>Y72+AC72</f>
        <v>0</v>
      </c>
      <c r="AF72" s="29"/>
    </row>
    <row r="73" spans="1:32" x14ac:dyDescent="0.2">
      <c r="C73" s="7">
        <v>2</v>
      </c>
      <c r="D73" s="7" t="s">
        <v>17</v>
      </c>
      <c r="E73" s="28">
        <v>0</v>
      </c>
      <c r="F73" s="28">
        <v>587.69299999999998</v>
      </c>
      <c r="G73" s="28">
        <v>4303.24</v>
      </c>
      <c r="H73" s="28">
        <v>0</v>
      </c>
      <c r="I73" s="29">
        <f t="shared" ref="I73:I76" si="81">E73+F73+G73+H73</f>
        <v>4890.933</v>
      </c>
      <c r="J73" s="28">
        <v>398.37</v>
      </c>
      <c r="K73" s="29">
        <f>J73+I73</f>
        <v>5289.3029999999999</v>
      </c>
      <c r="L73" s="28">
        <v>3231.37</v>
      </c>
      <c r="M73" s="28">
        <v>0</v>
      </c>
      <c r="N73" s="29">
        <f t="shared" ref="N73:N76" si="82">L73+M73</f>
        <v>3231.37</v>
      </c>
      <c r="O73" s="28">
        <v>1844.24</v>
      </c>
      <c r="P73" s="29">
        <f>O73+N73</f>
        <v>5075.6099999999997</v>
      </c>
      <c r="Q73" s="30">
        <v>213.69300000000021</v>
      </c>
      <c r="R73" s="30">
        <v>38.698</v>
      </c>
      <c r="S73" s="33">
        <v>1728.55</v>
      </c>
      <c r="T73" s="28">
        <v>0</v>
      </c>
      <c r="U73" s="28">
        <v>0</v>
      </c>
      <c r="V73" s="24">
        <v>0</v>
      </c>
      <c r="W73" s="28">
        <v>0</v>
      </c>
      <c r="X73" s="24">
        <v>0</v>
      </c>
      <c r="Y73" s="24">
        <v>38.698</v>
      </c>
      <c r="Z73" s="28">
        <v>0</v>
      </c>
      <c r="AA73" s="33">
        <v>1728.55</v>
      </c>
      <c r="AB73" s="29">
        <f>W73+X73</f>
        <v>0</v>
      </c>
      <c r="AC73" s="29">
        <f>Z73+AA73</f>
        <v>1728.55</v>
      </c>
      <c r="AD73" s="29">
        <f>V73+AB73</f>
        <v>0</v>
      </c>
      <c r="AE73" s="29">
        <f t="shared" ref="AE73:AE76" si="83">Y73+AC73</f>
        <v>1767.248</v>
      </c>
      <c r="AF73" s="29"/>
    </row>
    <row r="74" spans="1:32" x14ac:dyDescent="0.2">
      <c r="C74" s="7">
        <v>3</v>
      </c>
      <c r="D74" s="7" t="s">
        <v>18</v>
      </c>
      <c r="E74" s="28">
        <v>0</v>
      </c>
      <c r="F74" s="28">
        <v>513.84699999999998</v>
      </c>
      <c r="G74" s="28">
        <v>3379.72</v>
      </c>
      <c r="H74" s="28">
        <v>0</v>
      </c>
      <c r="I74" s="29">
        <f t="shared" si="81"/>
        <v>3893.567</v>
      </c>
      <c r="J74" s="28">
        <v>730.99</v>
      </c>
      <c r="K74" s="29">
        <f>J74+I74</f>
        <v>4624.5569999999998</v>
      </c>
      <c r="L74" s="28">
        <v>3184.36</v>
      </c>
      <c r="M74" s="28">
        <v>0</v>
      </c>
      <c r="N74" s="29">
        <f t="shared" si="82"/>
        <v>3184.36</v>
      </c>
      <c r="O74" s="28">
        <v>1253.3399999999999</v>
      </c>
      <c r="P74" s="29">
        <f>O74+N74</f>
        <v>4437.7</v>
      </c>
      <c r="Q74" s="30">
        <v>186.85699999999997</v>
      </c>
      <c r="R74" s="30">
        <v>258.68799999999999</v>
      </c>
      <c r="S74" s="28">
        <v>0</v>
      </c>
      <c r="T74" s="28">
        <v>0</v>
      </c>
      <c r="U74" s="28">
        <v>0</v>
      </c>
      <c r="V74" s="24">
        <v>0</v>
      </c>
      <c r="W74" s="28">
        <v>0</v>
      </c>
      <c r="X74" s="24">
        <v>0</v>
      </c>
      <c r="Y74" s="24">
        <v>258.68799999999999</v>
      </c>
      <c r="Z74" s="28">
        <v>0</v>
      </c>
      <c r="AA74" s="28">
        <v>0</v>
      </c>
      <c r="AB74" s="29">
        <f>W74+X74</f>
        <v>0</v>
      </c>
      <c r="AC74" s="29">
        <f>Z74+AA74</f>
        <v>0</v>
      </c>
      <c r="AD74" s="29">
        <f>V74+AB74</f>
        <v>0</v>
      </c>
      <c r="AE74" s="29">
        <f t="shared" si="83"/>
        <v>258.68799999999999</v>
      </c>
      <c r="AF74" s="29"/>
    </row>
    <row r="75" spans="1:32" x14ac:dyDescent="0.2">
      <c r="C75" s="7">
        <v>4</v>
      </c>
      <c r="D75" s="7" t="s">
        <v>19</v>
      </c>
      <c r="E75" s="28">
        <v>0</v>
      </c>
      <c r="F75" s="28">
        <v>713.66200000000003</v>
      </c>
      <c r="G75" s="28">
        <v>4351.47</v>
      </c>
      <c r="H75" s="28">
        <v>0</v>
      </c>
      <c r="I75" s="29">
        <f t="shared" si="81"/>
        <v>5065.1320000000005</v>
      </c>
      <c r="J75" s="28">
        <v>1357.75</v>
      </c>
      <c r="K75" s="29">
        <f>J75+I75</f>
        <v>6422.8820000000005</v>
      </c>
      <c r="L75" s="28">
        <v>3311.51</v>
      </c>
      <c r="M75" s="28">
        <v>0</v>
      </c>
      <c r="N75" s="29">
        <f t="shared" si="82"/>
        <v>3311.51</v>
      </c>
      <c r="O75" s="28">
        <v>2851.85</v>
      </c>
      <c r="P75" s="29">
        <f>O75+N75</f>
        <v>6163.3600000000006</v>
      </c>
      <c r="Q75" s="30">
        <v>259.52199999999993</v>
      </c>
      <c r="R75" s="30">
        <v>42.204999999999998</v>
      </c>
      <c r="S75" s="33">
        <v>134.46</v>
      </c>
      <c r="T75" s="28">
        <v>0</v>
      </c>
      <c r="U75" s="28">
        <v>0</v>
      </c>
      <c r="V75" s="24">
        <v>0</v>
      </c>
      <c r="W75" s="28">
        <v>0</v>
      </c>
      <c r="X75" s="24">
        <v>0</v>
      </c>
      <c r="Y75" s="24">
        <v>42.204999999999998</v>
      </c>
      <c r="Z75" s="28">
        <v>0</v>
      </c>
      <c r="AA75" s="33">
        <v>134.46</v>
      </c>
      <c r="AB75" s="29">
        <f>W75+X75</f>
        <v>0</v>
      </c>
      <c r="AC75" s="29">
        <f>Z75+AA75</f>
        <v>134.46</v>
      </c>
      <c r="AD75" s="29">
        <f>V75+AB75</f>
        <v>0</v>
      </c>
      <c r="AE75" s="29">
        <f t="shared" si="83"/>
        <v>176.66500000000002</v>
      </c>
      <c r="AF75" s="29"/>
    </row>
    <row r="76" spans="1:32" x14ac:dyDescent="0.2">
      <c r="C76" s="7">
        <v>5</v>
      </c>
      <c r="D76" s="7" t="s">
        <v>20</v>
      </c>
      <c r="E76" s="28">
        <v>0</v>
      </c>
      <c r="F76" s="28">
        <v>417.25700000000001</v>
      </c>
      <c r="G76" s="28">
        <v>620.69000000000005</v>
      </c>
      <c r="H76" s="28">
        <v>0</v>
      </c>
      <c r="I76" s="29">
        <f t="shared" si="81"/>
        <v>1037.9470000000001</v>
      </c>
      <c r="J76" s="28">
        <v>2717.39</v>
      </c>
      <c r="K76" s="29">
        <f>J76+I76</f>
        <v>3755.337</v>
      </c>
      <c r="L76" s="28">
        <v>3122.9</v>
      </c>
      <c r="M76" s="28">
        <v>0</v>
      </c>
      <c r="N76" s="29">
        <f t="shared" si="82"/>
        <v>3122.9</v>
      </c>
      <c r="O76" s="28">
        <v>480.71</v>
      </c>
      <c r="P76" s="29">
        <f>O76+N76</f>
        <v>3603.61</v>
      </c>
      <c r="Q76" s="30">
        <v>151.72699999999986</v>
      </c>
      <c r="R76" s="30">
        <v>0</v>
      </c>
      <c r="S76" s="33">
        <v>322.23</v>
      </c>
      <c r="T76" s="28">
        <v>0</v>
      </c>
      <c r="U76" s="28">
        <v>0</v>
      </c>
      <c r="V76" s="24">
        <v>0</v>
      </c>
      <c r="W76" s="28">
        <v>0</v>
      </c>
      <c r="X76" s="24">
        <v>0</v>
      </c>
      <c r="Y76" s="24">
        <v>0</v>
      </c>
      <c r="Z76" s="28">
        <v>0</v>
      </c>
      <c r="AA76" s="33">
        <v>322.23</v>
      </c>
      <c r="AB76" s="29">
        <f>W76+X76</f>
        <v>0</v>
      </c>
      <c r="AC76" s="29">
        <f>Z76+AA76</f>
        <v>322.23</v>
      </c>
      <c r="AD76" s="29">
        <f>V76+AB76</f>
        <v>0</v>
      </c>
      <c r="AE76" s="29">
        <f t="shared" si="83"/>
        <v>322.23</v>
      </c>
      <c r="AF76" s="29"/>
    </row>
    <row r="77" spans="1:32" x14ac:dyDescent="0.2">
      <c r="E77" s="25">
        <f t="shared" ref="E77:W77" si="84">SUM(E72:E76)</f>
        <v>0</v>
      </c>
      <c r="F77" s="25">
        <f t="shared" si="84"/>
        <v>2709.5840000000003</v>
      </c>
      <c r="G77" s="25">
        <f t="shared" si="84"/>
        <v>12655.12</v>
      </c>
      <c r="H77" s="25">
        <f t="shared" si="84"/>
        <v>0</v>
      </c>
      <c r="I77" s="25">
        <f>SUM(I72:I76)</f>
        <v>15364.704000000002</v>
      </c>
      <c r="J77" s="25">
        <f t="shared" si="84"/>
        <v>7389.74</v>
      </c>
      <c r="K77" s="25">
        <f t="shared" si="84"/>
        <v>22754.444</v>
      </c>
      <c r="L77" s="25">
        <f>SUM(L72:L76)</f>
        <v>14892.495000000001</v>
      </c>
      <c r="M77" s="25">
        <f t="shared" ref="M77" si="85">SUM(M72:M76)</f>
        <v>0</v>
      </c>
      <c r="N77" s="25">
        <f t="shared" si="84"/>
        <v>14892.495000000001</v>
      </c>
      <c r="O77" s="25">
        <f>SUM(O72:O76)</f>
        <v>7050.1490000000003</v>
      </c>
      <c r="P77" s="25">
        <f t="shared" si="84"/>
        <v>21942.644</v>
      </c>
      <c r="Q77" s="25">
        <f t="shared" si="84"/>
        <v>811.79899999999998</v>
      </c>
      <c r="R77" s="25">
        <f t="shared" si="84"/>
        <v>339.59099999999995</v>
      </c>
      <c r="S77" s="25">
        <f t="shared" si="84"/>
        <v>2185.2399999999998</v>
      </c>
      <c r="T77" s="25">
        <f t="shared" si="84"/>
        <v>0</v>
      </c>
      <c r="U77" s="25">
        <f t="shared" si="84"/>
        <v>0</v>
      </c>
      <c r="V77" s="25">
        <f t="shared" si="84"/>
        <v>339.59900000000005</v>
      </c>
      <c r="W77" s="25">
        <f t="shared" si="84"/>
        <v>0</v>
      </c>
      <c r="X77" s="25">
        <f>SUM(X72:X76)</f>
        <v>2185.2399999999998</v>
      </c>
      <c r="Y77" s="25">
        <f>SUM(Y72:Y76)</f>
        <v>339.59099999999995</v>
      </c>
      <c r="Z77" s="25">
        <f t="shared" ref="Z77" si="86">SUM(Z72:Z76)</f>
        <v>0</v>
      </c>
      <c r="AA77" s="25">
        <f>SUM(AA72:AA76)</f>
        <v>2185.2399999999998</v>
      </c>
      <c r="AB77" s="25">
        <f>SUM(AB72:AB76)</f>
        <v>2185.2399999999998</v>
      </c>
      <c r="AC77" s="25">
        <f>SUM(AC72:AC76)</f>
        <v>2185.2399999999998</v>
      </c>
      <c r="AD77" s="25">
        <f>SUM(AD72:AD76)</f>
        <v>2524.8389999999999</v>
      </c>
      <c r="AE77" s="50">
        <f>SUM(AE72:AE76)</f>
        <v>2524.8310000000001</v>
      </c>
      <c r="AF77" s="50"/>
    </row>
    <row r="79" spans="1:32" x14ac:dyDescent="0.2">
      <c r="A79" s="7">
        <v>2</v>
      </c>
      <c r="B79" s="20" t="s">
        <v>86</v>
      </c>
      <c r="C79" s="7">
        <v>1</v>
      </c>
      <c r="D79" s="14" t="s">
        <v>16</v>
      </c>
      <c r="E79" s="28">
        <v>0</v>
      </c>
      <c r="F79" s="28">
        <v>477.125</v>
      </c>
      <c r="G79" s="28">
        <v>0</v>
      </c>
      <c r="H79" s="28">
        <v>0</v>
      </c>
      <c r="I79" s="29">
        <f>E79+F79+G79+H79</f>
        <v>477.125</v>
      </c>
      <c r="J79" s="24">
        <v>2185.2399999999998</v>
      </c>
      <c r="K79" s="29">
        <f>J79+I79</f>
        <v>2662.3649999999998</v>
      </c>
      <c r="L79" s="24">
        <v>2042.355</v>
      </c>
      <c r="M79" s="28">
        <v>0</v>
      </c>
      <c r="N79" s="29">
        <f>L79+M79</f>
        <v>2042.355</v>
      </c>
      <c r="O79" s="24">
        <v>620.00900000000001</v>
      </c>
      <c r="P79" s="29">
        <f>O79+N79</f>
        <v>2662.364</v>
      </c>
      <c r="Q79" s="30">
        <v>0</v>
      </c>
      <c r="R79" s="30">
        <v>0</v>
      </c>
      <c r="S79" s="24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  <c r="AB79" s="29">
        <f>W79+X79</f>
        <v>0</v>
      </c>
      <c r="AC79" s="29">
        <f>Z79+AA79</f>
        <v>0</v>
      </c>
      <c r="AD79" s="29">
        <f>V79+AB79</f>
        <v>0</v>
      </c>
      <c r="AE79" s="29">
        <f>Y79+AC79</f>
        <v>0</v>
      </c>
      <c r="AF79" s="29"/>
    </row>
    <row r="80" spans="1:32" x14ac:dyDescent="0.2">
      <c r="C80" s="7">
        <v>2</v>
      </c>
      <c r="D80" s="7" t="s">
        <v>17</v>
      </c>
      <c r="E80" s="28">
        <v>0</v>
      </c>
      <c r="F80" s="28">
        <v>587.69299999999998</v>
      </c>
      <c r="G80" s="28">
        <v>4303.24</v>
      </c>
      <c r="H80" s="28">
        <v>0</v>
      </c>
      <c r="I80" s="29">
        <f t="shared" ref="I80:I83" si="87">E80+F80+G80+H80</f>
        <v>4890.933</v>
      </c>
      <c r="J80" s="28">
        <v>398.37</v>
      </c>
      <c r="K80" s="29">
        <f>J80+I80</f>
        <v>5289.3029999999999</v>
      </c>
      <c r="L80" s="28">
        <v>3231.37</v>
      </c>
      <c r="M80" s="28">
        <v>0</v>
      </c>
      <c r="N80" s="29">
        <f t="shared" ref="N80:N83" si="88">L80+M80</f>
        <v>3231.37</v>
      </c>
      <c r="O80" s="28">
        <v>1844.24</v>
      </c>
      <c r="P80" s="29">
        <f>O80+N80</f>
        <v>5075.6099999999997</v>
      </c>
      <c r="Q80" s="30">
        <v>213.69300000000021</v>
      </c>
      <c r="R80" s="30">
        <v>38.698</v>
      </c>
      <c r="S80" s="24">
        <v>1728.55</v>
      </c>
      <c r="T80" s="36">
        <v>0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  <c r="AB80" s="29">
        <f>W80+X80</f>
        <v>0</v>
      </c>
      <c r="AC80" s="29">
        <f>Z80+AA80</f>
        <v>0</v>
      </c>
      <c r="AD80" s="29">
        <f>V80+AB80</f>
        <v>0</v>
      </c>
      <c r="AE80" s="29">
        <f t="shared" ref="AE80:AE83" si="89">Y80+AC80</f>
        <v>0</v>
      </c>
      <c r="AF80" s="29"/>
    </row>
    <row r="81" spans="1:60" x14ac:dyDescent="0.2">
      <c r="C81" s="7">
        <v>3</v>
      </c>
      <c r="D81" s="7" t="s">
        <v>18</v>
      </c>
      <c r="E81" s="28">
        <v>0</v>
      </c>
      <c r="F81" s="28">
        <v>513.84699999999998</v>
      </c>
      <c r="G81" s="28">
        <v>3379.72</v>
      </c>
      <c r="H81" s="28">
        <v>0</v>
      </c>
      <c r="I81" s="29">
        <f t="shared" si="87"/>
        <v>3893.567</v>
      </c>
      <c r="J81" s="28">
        <v>730.99</v>
      </c>
      <c r="K81" s="29">
        <f>J81+I81</f>
        <v>4624.5569999999998</v>
      </c>
      <c r="L81" s="28">
        <v>3184.36</v>
      </c>
      <c r="M81" s="28">
        <v>0</v>
      </c>
      <c r="N81" s="29">
        <f t="shared" si="88"/>
        <v>3184.36</v>
      </c>
      <c r="O81" s="28">
        <v>1253.3399999999999</v>
      </c>
      <c r="P81" s="29">
        <f>O81+N81</f>
        <v>4437.7</v>
      </c>
      <c r="Q81" s="30">
        <v>186.85699999999997</v>
      </c>
      <c r="R81" s="30">
        <v>258.68799999999999</v>
      </c>
      <c r="S81" s="24">
        <v>0</v>
      </c>
      <c r="T81" s="36">
        <v>0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  <c r="AB81" s="29">
        <f>W81+X81</f>
        <v>0</v>
      </c>
      <c r="AC81" s="29">
        <f>Z81+AA81</f>
        <v>0</v>
      </c>
      <c r="AD81" s="29">
        <f>V81+AB81</f>
        <v>0</v>
      </c>
      <c r="AE81" s="29">
        <f t="shared" si="89"/>
        <v>0</v>
      </c>
      <c r="AF81" s="29"/>
    </row>
    <row r="82" spans="1:60" x14ac:dyDescent="0.2">
      <c r="C82" s="7">
        <v>4</v>
      </c>
      <c r="D82" s="7" t="s">
        <v>19</v>
      </c>
      <c r="E82" s="28">
        <v>0</v>
      </c>
      <c r="F82" s="28">
        <v>713.66200000000003</v>
      </c>
      <c r="G82" s="28">
        <v>4351.47</v>
      </c>
      <c r="H82" s="28">
        <v>0</v>
      </c>
      <c r="I82" s="29">
        <f t="shared" si="87"/>
        <v>5065.1320000000005</v>
      </c>
      <c r="J82" s="28">
        <v>1357.75</v>
      </c>
      <c r="K82" s="29">
        <f>J82+I82</f>
        <v>6422.8820000000005</v>
      </c>
      <c r="L82" s="28">
        <v>3311.51</v>
      </c>
      <c r="M82" s="28">
        <v>0</v>
      </c>
      <c r="N82" s="29">
        <f t="shared" si="88"/>
        <v>3311.51</v>
      </c>
      <c r="O82" s="28">
        <v>2851.85</v>
      </c>
      <c r="P82" s="29">
        <f>O82+N82</f>
        <v>6163.3600000000006</v>
      </c>
      <c r="Q82" s="30">
        <v>259.52199999999993</v>
      </c>
      <c r="R82" s="30">
        <v>42.204999999999998</v>
      </c>
      <c r="S82" s="24">
        <v>134.46</v>
      </c>
      <c r="T82" s="36">
        <v>0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0</v>
      </c>
      <c r="AA82" s="36">
        <v>0</v>
      </c>
      <c r="AB82" s="29">
        <f>W82+X82</f>
        <v>0</v>
      </c>
      <c r="AC82" s="29">
        <f>Z82+AA82</f>
        <v>0</v>
      </c>
      <c r="AD82" s="29">
        <f>V82+AB82</f>
        <v>0</v>
      </c>
      <c r="AE82" s="29">
        <f t="shared" si="89"/>
        <v>0</v>
      </c>
      <c r="AF82" s="29"/>
    </row>
    <row r="83" spans="1:60" x14ac:dyDescent="0.2">
      <c r="C83" s="7">
        <v>5</v>
      </c>
      <c r="D83" s="7" t="s">
        <v>20</v>
      </c>
      <c r="E83" s="28">
        <v>0</v>
      </c>
      <c r="F83" s="28">
        <v>417.25700000000001</v>
      </c>
      <c r="G83" s="28">
        <v>620.69000000000005</v>
      </c>
      <c r="H83" s="28">
        <v>0</v>
      </c>
      <c r="I83" s="29">
        <f t="shared" si="87"/>
        <v>1037.9470000000001</v>
      </c>
      <c r="J83" s="28">
        <v>2717.39</v>
      </c>
      <c r="K83" s="29">
        <f>J83+I83</f>
        <v>3755.337</v>
      </c>
      <c r="L83" s="28">
        <v>3122.9</v>
      </c>
      <c r="M83" s="28">
        <v>0</v>
      </c>
      <c r="N83" s="29">
        <f t="shared" si="88"/>
        <v>3122.9</v>
      </c>
      <c r="O83" s="28">
        <v>480.71</v>
      </c>
      <c r="P83" s="29">
        <f>O83+N83</f>
        <v>3603.61</v>
      </c>
      <c r="Q83" s="30">
        <v>151.72699999999986</v>
      </c>
      <c r="R83" s="30">
        <v>0</v>
      </c>
      <c r="S83" s="24">
        <v>322.23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  <c r="AB83" s="29">
        <f>W83+X83</f>
        <v>0</v>
      </c>
      <c r="AC83" s="29">
        <f>Z83+AA83</f>
        <v>0</v>
      </c>
      <c r="AD83" s="29">
        <f>V83+AB83</f>
        <v>0</v>
      </c>
      <c r="AE83" s="29">
        <f t="shared" si="89"/>
        <v>0</v>
      </c>
      <c r="AF83" s="29"/>
    </row>
    <row r="84" spans="1:60" x14ac:dyDescent="0.2">
      <c r="E84" s="25">
        <f t="shared" ref="E84:H84" si="90">SUM(E79:E83)</f>
        <v>0</v>
      </c>
      <c r="F84" s="25">
        <f t="shared" si="90"/>
        <v>2709.5840000000003</v>
      </c>
      <c r="G84" s="25">
        <f t="shared" si="90"/>
        <v>12655.12</v>
      </c>
      <c r="H84" s="25">
        <f t="shared" si="90"/>
        <v>0</v>
      </c>
      <c r="I84" s="25">
        <f>SUM(I79:I83)</f>
        <v>15364.704000000002</v>
      </c>
      <c r="J84" s="25">
        <f t="shared" ref="J84:K84" si="91">SUM(J79:J83)</f>
        <v>7389.74</v>
      </c>
      <c r="K84" s="25">
        <f t="shared" si="91"/>
        <v>22754.444</v>
      </c>
      <c r="L84" s="25">
        <f>SUM(L79:L83)</f>
        <v>14892.495000000001</v>
      </c>
      <c r="M84" s="25">
        <f t="shared" ref="M84:N84" si="92">SUM(M79:M83)</f>
        <v>0</v>
      </c>
      <c r="N84" s="25">
        <f t="shared" si="92"/>
        <v>14892.495000000001</v>
      </c>
      <c r="O84" s="25">
        <f>SUM(O79:O83)</f>
        <v>7050.1490000000003</v>
      </c>
      <c r="P84" s="25">
        <f t="shared" ref="P84:W84" si="93">SUM(P79:P83)</f>
        <v>21942.644</v>
      </c>
      <c r="Q84" s="25">
        <f t="shared" si="93"/>
        <v>811.79899999999998</v>
      </c>
      <c r="R84" s="25">
        <f t="shared" si="93"/>
        <v>339.59099999999995</v>
      </c>
      <c r="S84" s="25">
        <f t="shared" si="93"/>
        <v>2185.2399999999998</v>
      </c>
      <c r="T84" s="25">
        <f t="shared" si="93"/>
        <v>0</v>
      </c>
      <c r="U84" s="25">
        <f t="shared" si="93"/>
        <v>0</v>
      </c>
      <c r="V84" s="25">
        <f t="shared" si="93"/>
        <v>0</v>
      </c>
      <c r="W84" s="25">
        <f t="shared" si="93"/>
        <v>0</v>
      </c>
      <c r="X84" s="25">
        <f>SUM(X79:X83)</f>
        <v>0</v>
      </c>
      <c r="Y84" s="25">
        <f>SUM(Y79:Y83)</f>
        <v>0</v>
      </c>
      <c r="Z84" s="25">
        <f t="shared" ref="Z84" si="94">SUM(Z79:Z83)</f>
        <v>0</v>
      </c>
      <c r="AA84" s="25">
        <f>SUM(AA79:AA83)</f>
        <v>0</v>
      </c>
      <c r="AB84" s="25">
        <f>SUM(AB79:AB83)</f>
        <v>0</v>
      </c>
      <c r="AC84" s="25">
        <f>SUM(AC79:AC83)</f>
        <v>0</v>
      </c>
      <c r="AD84" s="25">
        <f>SUM(AD79:AD83)</f>
        <v>0</v>
      </c>
      <c r="AE84" s="50">
        <f>SUM(AE79:AE83)</f>
        <v>0</v>
      </c>
      <c r="AF84" s="50"/>
    </row>
    <row r="86" spans="1:60" x14ac:dyDescent="0.2">
      <c r="A86" s="7">
        <v>2</v>
      </c>
      <c r="B86" s="20" t="s">
        <v>64</v>
      </c>
      <c r="C86" s="7">
        <v>1</v>
      </c>
      <c r="D86" s="14" t="s">
        <v>16</v>
      </c>
      <c r="E86" s="28">
        <v>0</v>
      </c>
      <c r="F86" s="28">
        <v>477.125</v>
      </c>
      <c r="G86" s="28">
        <v>0</v>
      </c>
      <c r="H86" s="28">
        <v>0</v>
      </c>
      <c r="I86" s="29">
        <f>E86+F86+G86+H86</f>
        <v>477.125</v>
      </c>
      <c r="J86" s="24">
        <v>2185.2399999999998</v>
      </c>
      <c r="K86" s="29">
        <f>J86+I86</f>
        <v>2662.3649999999998</v>
      </c>
      <c r="L86" s="24">
        <v>2042.355</v>
      </c>
      <c r="M86" s="28">
        <v>0</v>
      </c>
      <c r="N86" s="29">
        <f>L86+M86</f>
        <v>2042.355</v>
      </c>
      <c r="O86" s="24">
        <v>620.00900000000001</v>
      </c>
      <c r="P86" s="29">
        <f>O86+N86</f>
        <v>2662.364</v>
      </c>
      <c r="Q86" s="30">
        <v>0</v>
      </c>
      <c r="R86" s="30">
        <v>0</v>
      </c>
      <c r="S86" s="24">
        <v>0</v>
      </c>
      <c r="T86" s="28">
        <v>0</v>
      </c>
      <c r="U86" s="28">
        <v>0</v>
      </c>
      <c r="V86" s="24">
        <v>0</v>
      </c>
      <c r="W86" s="28">
        <v>0</v>
      </c>
      <c r="X86" s="24">
        <v>0</v>
      </c>
      <c r="Y86" s="24">
        <v>0</v>
      </c>
      <c r="Z86" s="28">
        <v>0</v>
      </c>
      <c r="AA86" s="24">
        <v>0</v>
      </c>
      <c r="AB86" s="29">
        <f>W86+X86</f>
        <v>0</v>
      </c>
      <c r="AC86" s="29">
        <f>Z86+AA86</f>
        <v>0</v>
      </c>
      <c r="AD86" s="29">
        <f>V86+AB86</f>
        <v>0</v>
      </c>
      <c r="AE86" s="29">
        <f>Y86+AC86</f>
        <v>0</v>
      </c>
      <c r="AF86" s="29"/>
    </row>
    <row r="87" spans="1:60" x14ac:dyDescent="0.2">
      <c r="C87" s="7">
        <v>2</v>
      </c>
      <c r="D87" s="7" t="s">
        <v>17</v>
      </c>
      <c r="E87" s="28">
        <v>0</v>
      </c>
      <c r="F87" s="28">
        <v>587.69299999999998</v>
      </c>
      <c r="G87" s="28">
        <v>4303.24</v>
      </c>
      <c r="H87" s="28">
        <v>0</v>
      </c>
      <c r="I87" s="29">
        <f t="shared" ref="I87:I90" si="95">E87+F87+G87+H87</f>
        <v>4890.933</v>
      </c>
      <c r="J87" s="31">
        <v>359.67214999999999</v>
      </c>
      <c r="K87" s="29">
        <f>J87+I87</f>
        <v>5250.6051500000003</v>
      </c>
      <c r="L87" s="28">
        <v>3231.37</v>
      </c>
      <c r="M87" s="28">
        <v>0</v>
      </c>
      <c r="N87" s="29">
        <f t="shared" ref="N87:N90" si="96">L87+M87</f>
        <v>3231.37</v>
      </c>
      <c r="O87" s="28">
        <v>1844.24</v>
      </c>
      <c r="P87" s="29">
        <f>O87+N87</f>
        <v>5075.6099999999997</v>
      </c>
      <c r="Q87" s="42">
        <v>174.98501999999999</v>
      </c>
      <c r="R87" s="30">
        <v>38.698</v>
      </c>
      <c r="S87" s="24">
        <v>1728.55</v>
      </c>
      <c r="T87" s="28">
        <v>0</v>
      </c>
      <c r="U87" s="28">
        <v>0</v>
      </c>
      <c r="V87" s="24">
        <v>0</v>
      </c>
      <c r="W87" s="28">
        <v>0</v>
      </c>
      <c r="X87" s="24">
        <v>0</v>
      </c>
      <c r="Y87" s="24">
        <v>0</v>
      </c>
      <c r="Z87" s="28">
        <v>0</v>
      </c>
      <c r="AA87" s="24">
        <v>0</v>
      </c>
      <c r="AB87" s="29">
        <f>W87+X87</f>
        <v>0</v>
      </c>
      <c r="AC87" s="29">
        <f>Z87+AA87</f>
        <v>0</v>
      </c>
      <c r="AD87" s="29">
        <f>V87+AB87</f>
        <v>0</v>
      </c>
      <c r="AE87" s="29">
        <f t="shared" ref="AE87:AE90" si="97">Y87+AC87</f>
        <v>0</v>
      </c>
      <c r="AF87" s="29"/>
    </row>
    <row r="88" spans="1:60" x14ac:dyDescent="0.2">
      <c r="C88" s="7">
        <v>3</v>
      </c>
      <c r="D88" s="13" t="s">
        <v>18</v>
      </c>
      <c r="E88" s="28">
        <v>0</v>
      </c>
      <c r="F88" s="28">
        <v>513.84699999999998</v>
      </c>
      <c r="G88" s="28">
        <v>3379.72</v>
      </c>
      <c r="H88" s="28">
        <v>0</v>
      </c>
      <c r="I88" s="29">
        <f t="shared" si="95"/>
        <v>3893.567</v>
      </c>
      <c r="J88" s="31">
        <v>472.30005</v>
      </c>
      <c r="K88" s="29">
        <f>J88+I88</f>
        <v>4365.8670499999998</v>
      </c>
      <c r="L88" s="31">
        <v>3132.8074000000001</v>
      </c>
      <c r="M88" s="28">
        <v>0</v>
      </c>
      <c r="N88" s="29">
        <f t="shared" si="96"/>
        <v>3132.8074000000001</v>
      </c>
      <c r="O88" s="31">
        <v>1233.0491999999999</v>
      </c>
      <c r="P88" s="29">
        <f>O88+N88</f>
        <v>4365.8566000000001</v>
      </c>
      <c r="Q88" s="42">
        <v>0</v>
      </c>
      <c r="R88" s="30">
        <v>258.68799999999999</v>
      </c>
      <c r="S88" s="24">
        <v>0</v>
      </c>
      <c r="T88" s="28">
        <v>0</v>
      </c>
      <c r="U88" s="31">
        <v>51.552734000000001</v>
      </c>
      <c r="V88" s="31">
        <v>20.209771</v>
      </c>
      <c r="W88" s="28">
        <v>0</v>
      </c>
      <c r="X88" s="24">
        <v>0</v>
      </c>
      <c r="Y88" s="24">
        <v>0</v>
      </c>
      <c r="Z88" s="28">
        <v>0</v>
      </c>
      <c r="AA88" s="24">
        <v>0</v>
      </c>
      <c r="AB88" s="29">
        <f>W88+X88</f>
        <v>0</v>
      </c>
      <c r="AC88" s="29">
        <f>Z88+AA88</f>
        <v>0</v>
      </c>
      <c r="AD88" s="29">
        <f>V88+AB88</f>
        <v>20.209771</v>
      </c>
      <c r="AE88" s="29">
        <f t="shared" si="97"/>
        <v>0</v>
      </c>
      <c r="AF88" s="29"/>
    </row>
    <row r="89" spans="1:60" x14ac:dyDescent="0.2">
      <c r="C89" s="7">
        <v>4</v>
      </c>
      <c r="D89" s="7" t="s">
        <v>19</v>
      </c>
      <c r="E89" s="28">
        <v>0</v>
      </c>
      <c r="F89" s="28">
        <v>713.66200000000003</v>
      </c>
      <c r="G89" s="28">
        <v>4351.47</v>
      </c>
      <c r="H89" s="28">
        <v>0</v>
      </c>
      <c r="I89" s="29">
        <f t="shared" si="95"/>
        <v>5065.1320000000005</v>
      </c>
      <c r="J89" s="31">
        <v>1315.5450000000001</v>
      </c>
      <c r="K89" s="29">
        <f>J89+I89</f>
        <v>6380.6770000000006</v>
      </c>
      <c r="L89" s="28">
        <v>3311.51</v>
      </c>
      <c r="M89" s="28">
        <v>0</v>
      </c>
      <c r="N89" s="29">
        <f t="shared" si="96"/>
        <v>3311.51</v>
      </c>
      <c r="O89" s="28">
        <v>2851.85</v>
      </c>
      <c r="P89" s="29">
        <f>O89+N89</f>
        <v>6163.3600000000006</v>
      </c>
      <c r="Q89" s="42">
        <v>217.30753999999999</v>
      </c>
      <c r="R89" s="30">
        <v>42.204999999999998</v>
      </c>
      <c r="S89" s="24">
        <v>134.46</v>
      </c>
      <c r="T89" s="28">
        <v>0</v>
      </c>
      <c r="U89" s="28">
        <v>0</v>
      </c>
      <c r="V89" s="24">
        <v>0</v>
      </c>
      <c r="W89" s="28">
        <v>0</v>
      </c>
      <c r="X89" s="24">
        <v>0</v>
      </c>
      <c r="Y89" s="24">
        <v>0</v>
      </c>
      <c r="Z89" s="28">
        <v>0</v>
      </c>
      <c r="AA89" s="24">
        <v>0</v>
      </c>
      <c r="AB89" s="29">
        <f>W89+X89</f>
        <v>0</v>
      </c>
      <c r="AC89" s="29">
        <f>Z89+AA89</f>
        <v>0</v>
      </c>
      <c r="AD89" s="29">
        <f>V89+AB89</f>
        <v>0</v>
      </c>
      <c r="AE89" s="29">
        <f t="shared" si="97"/>
        <v>0</v>
      </c>
      <c r="AF89" s="29"/>
    </row>
    <row r="90" spans="1:60" x14ac:dyDescent="0.2">
      <c r="C90" s="7">
        <v>5</v>
      </c>
      <c r="D90" s="7" t="s">
        <v>20</v>
      </c>
      <c r="E90" s="28">
        <v>0</v>
      </c>
      <c r="F90" s="28">
        <v>417.25700000000001</v>
      </c>
      <c r="G90" s="28">
        <v>620.69000000000005</v>
      </c>
      <c r="H90" s="28">
        <v>0</v>
      </c>
      <c r="I90" s="29">
        <f t="shared" si="95"/>
        <v>1037.9470000000001</v>
      </c>
      <c r="J90" s="28">
        <v>2717.39</v>
      </c>
      <c r="K90" s="29">
        <f>J90+I90</f>
        <v>3755.337</v>
      </c>
      <c r="L90" s="28">
        <v>3122.9</v>
      </c>
      <c r="M90" s="28">
        <v>0</v>
      </c>
      <c r="N90" s="29">
        <f t="shared" si="96"/>
        <v>3122.9</v>
      </c>
      <c r="O90" s="28">
        <v>480.71</v>
      </c>
      <c r="P90" s="29">
        <f>O90+N90</f>
        <v>3603.61</v>
      </c>
      <c r="Q90" s="30">
        <v>151.72699999999986</v>
      </c>
      <c r="R90" s="30">
        <v>0</v>
      </c>
      <c r="S90" s="24">
        <v>322.23</v>
      </c>
      <c r="T90" s="28">
        <v>0</v>
      </c>
      <c r="U90" s="28">
        <v>0</v>
      </c>
      <c r="V90" s="24">
        <v>0</v>
      </c>
      <c r="W90" s="28">
        <v>0</v>
      </c>
      <c r="X90" s="24">
        <v>0</v>
      </c>
      <c r="Y90" s="24">
        <v>0</v>
      </c>
      <c r="Z90" s="28">
        <v>0</v>
      </c>
      <c r="AA90" s="24">
        <v>0</v>
      </c>
      <c r="AB90" s="29">
        <f>W90+X90</f>
        <v>0</v>
      </c>
      <c r="AC90" s="29">
        <f>Z90+AA90</f>
        <v>0</v>
      </c>
      <c r="AD90" s="29">
        <f>V90+AB90</f>
        <v>0</v>
      </c>
      <c r="AE90" s="29">
        <f t="shared" si="97"/>
        <v>0</v>
      </c>
      <c r="AF90" s="29"/>
    </row>
    <row r="91" spans="1:60" x14ac:dyDescent="0.2">
      <c r="E91" s="25">
        <f t="shared" ref="E91:H91" si="98">SUM(E86:E90)</f>
        <v>0</v>
      </c>
      <c r="F91" s="25">
        <f t="shared" si="98"/>
        <v>2709.5840000000003</v>
      </c>
      <c r="G91" s="25">
        <f t="shared" si="98"/>
        <v>12655.12</v>
      </c>
      <c r="H91" s="25">
        <f t="shared" si="98"/>
        <v>0</v>
      </c>
      <c r="I91" s="25">
        <f>SUM(I86:I90)</f>
        <v>15364.704000000002</v>
      </c>
      <c r="J91" s="25">
        <f t="shared" ref="J91:K91" si="99">SUM(J86:J90)</f>
        <v>7050.1471999999994</v>
      </c>
      <c r="K91" s="25">
        <f t="shared" si="99"/>
        <v>22414.851200000001</v>
      </c>
      <c r="L91" s="25">
        <f>SUM(L86:L90)</f>
        <v>14840.9424</v>
      </c>
      <c r="M91" s="25">
        <f t="shared" ref="M91:N91" si="100">SUM(M86:M90)</f>
        <v>0</v>
      </c>
      <c r="N91" s="25">
        <f t="shared" si="100"/>
        <v>14840.9424</v>
      </c>
      <c r="O91" s="25">
        <f>SUM(O86:O90)</f>
        <v>7029.8581999999997</v>
      </c>
      <c r="P91" s="25">
        <f t="shared" ref="P91:W91" si="101">SUM(P86:P90)</f>
        <v>21870.800600000002</v>
      </c>
      <c r="Q91" s="25">
        <f t="shared" si="101"/>
        <v>544.01955999999984</v>
      </c>
      <c r="R91" s="25">
        <f t="shared" si="101"/>
        <v>339.59099999999995</v>
      </c>
      <c r="S91" s="25">
        <f t="shared" si="101"/>
        <v>2185.2399999999998</v>
      </c>
      <c r="T91" s="25">
        <f t="shared" si="101"/>
        <v>0</v>
      </c>
      <c r="U91" s="25">
        <f t="shared" si="101"/>
        <v>51.552734000000001</v>
      </c>
      <c r="V91" s="25">
        <f t="shared" si="101"/>
        <v>20.209771</v>
      </c>
      <c r="W91" s="25">
        <f t="shared" si="101"/>
        <v>0</v>
      </c>
      <c r="X91" s="25">
        <f>SUM(X86:X90)</f>
        <v>0</v>
      </c>
      <c r="Y91" s="25">
        <f>SUM(Y86:Y90)</f>
        <v>0</v>
      </c>
      <c r="Z91" s="25">
        <f t="shared" ref="Z91" si="102">SUM(Z86:Z90)</f>
        <v>0</v>
      </c>
      <c r="AA91" s="25">
        <f>SUM(AA86:AA90)</f>
        <v>0</v>
      </c>
      <c r="AB91" s="25">
        <f>SUM(AB86:AB90)</f>
        <v>0</v>
      </c>
      <c r="AC91" s="25">
        <f>SUM(AC86:AC90)</f>
        <v>0</v>
      </c>
      <c r="AD91" s="25">
        <f>SUM(AD86:AD90)</f>
        <v>20.209771</v>
      </c>
      <c r="AE91" s="50">
        <f>SUM(AE86:AE90)</f>
        <v>0</v>
      </c>
      <c r="AF91" s="50"/>
    </row>
    <row r="93" spans="1:60" x14ac:dyDescent="0.2">
      <c r="A93" s="7">
        <v>2</v>
      </c>
      <c r="B93" s="20" t="s">
        <v>66</v>
      </c>
      <c r="C93" s="7">
        <v>1</v>
      </c>
      <c r="D93" s="14" t="s">
        <v>16</v>
      </c>
      <c r="E93" s="28">
        <v>0</v>
      </c>
      <c r="F93" s="28">
        <v>477.125</v>
      </c>
      <c r="G93" s="28">
        <v>0</v>
      </c>
      <c r="H93" s="28">
        <v>0</v>
      </c>
      <c r="I93" s="29">
        <f>E93+F93+G93+H93</f>
        <v>477.125</v>
      </c>
      <c r="J93" s="24">
        <v>2185.2399999999998</v>
      </c>
      <c r="K93" s="29">
        <f>J93+I93</f>
        <v>2662.3649999999998</v>
      </c>
      <c r="L93" s="24">
        <v>2042.355</v>
      </c>
      <c r="M93" s="28">
        <v>0</v>
      </c>
      <c r="N93" s="29">
        <f>L93+M93</f>
        <v>2042.355</v>
      </c>
      <c r="O93" s="24">
        <v>620.00900000000001</v>
      </c>
      <c r="P93" s="29">
        <f>O93+N93</f>
        <v>2662.364</v>
      </c>
      <c r="Q93" s="30">
        <v>0</v>
      </c>
      <c r="R93" s="30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9">
        <f>W93+X93</f>
        <v>0</v>
      </c>
      <c r="AC93" s="29">
        <f>Z93+AA93</f>
        <v>0</v>
      </c>
      <c r="AD93" s="29">
        <f>V93+AB93</f>
        <v>0</v>
      </c>
      <c r="AE93" s="29">
        <f>Y93+AC93</f>
        <v>0</v>
      </c>
      <c r="AF93" s="29"/>
      <c r="AG93" s="13" t="s">
        <v>16</v>
      </c>
      <c r="AH93" s="28">
        <v>0</v>
      </c>
      <c r="AI93" s="28">
        <v>477.125</v>
      </c>
      <c r="AJ93" s="28">
        <v>0</v>
      </c>
      <c r="AK93" s="28">
        <v>0</v>
      </c>
      <c r="AL93" s="29">
        <f>AH93+AI93+AJ93+AK93</f>
        <v>477.125</v>
      </c>
      <c r="AM93" s="24">
        <v>2185.2399999999998</v>
      </c>
      <c r="AN93" s="29">
        <f>AM93+AL93</f>
        <v>2662.3649999999998</v>
      </c>
      <c r="AO93" s="24">
        <v>2042.355</v>
      </c>
      <c r="AP93" s="28">
        <v>0</v>
      </c>
      <c r="AQ93" s="29">
        <f>AO93+AP93</f>
        <v>2042.355</v>
      </c>
      <c r="AR93" s="24">
        <v>620.00900000000001</v>
      </c>
      <c r="AS93" s="29">
        <f>AR93+AQ93</f>
        <v>2662.364</v>
      </c>
      <c r="AT93" s="30">
        <v>0</v>
      </c>
      <c r="AU93" s="30">
        <v>0</v>
      </c>
      <c r="AV93" s="24">
        <v>0</v>
      </c>
      <c r="AW93" s="24">
        <v>0</v>
      </c>
      <c r="AX93" s="24">
        <v>0</v>
      </c>
      <c r="AY93" s="24">
        <v>339.59900000000005</v>
      </c>
      <c r="AZ93" s="24">
        <v>0</v>
      </c>
      <c r="BA93" s="24">
        <v>2185.2399999999998</v>
      </c>
      <c r="BB93" s="24">
        <v>0</v>
      </c>
      <c r="BC93" s="24">
        <v>0</v>
      </c>
      <c r="BD93" s="24">
        <v>0</v>
      </c>
      <c r="BE93" s="29">
        <f>AZ93+BA93</f>
        <v>2185.2399999999998</v>
      </c>
      <c r="BF93" s="29">
        <f>BC93+BD93</f>
        <v>0</v>
      </c>
      <c r="BG93" s="29">
        <f>AY93+BE93</f>
        <v>2524.8389999999999</v>
      </c>
      <c r="BH93" s="29">
        <f>BB93+BF93</f>
        <v>0</v>
      </c>
    </row>
    <row r="94" spans="1:60" x14ac:dyDescent="0.2">
      <c r="C94" s="7">
        <v>2</v>
      </c>
      <c r="D94" s="18" t="s">
        <v>17</v>
      </c>
      <c r="E94" s="28">
        <v>0</v>
      </c>
      <c r="F94" s="46">
        <v>0</v>
      </c>
      <c r="G94" s="46">
        <v>3250.3827999999999</v>
      </c>
      <c r="H94" s="28">
        <v>0</v>
      </c>
      <c r="I94" s="29">
        <f t="shared" ref="I94:I97" si="103">E94+F94+G94+H94</f>
        <v>3250.3827999999999</v>
      </c>
      <c r="J94" s="46">
        <v>271.67255</v>
      </c>
      <c r="K94" s="29">
        <f>J94+I94</f>
        <v>3522.0553499999996</v>
      </c>
      <c r="L94" s="24">
        <v>3231.37</v>
      </c>
      <c r="M94" s="28">
        <v>0</v>
      </c>
      <c r="N94" s="29">
        <f t="shared" ref="N94:N97" si="104">L94+M94</f>
        <v>3231.37</v>
      </c>
      <c r="O94" s="46">
        <v>115.68994000000001</v>
      </c>
      <c r="P94" s="29">
        <f>O94+N94</f>
        <v>3347.0599400000001</v>
      </c>
      <c r="Q94" s="30">
        <v>174.98501999999999</v>
      </c>
      <c r="R94" s="30">
        <v>38.698</v>
      </c>
      <c r="S94" s="24">
        <v>1728.55</v>
      </c>
      <c r="T94" s="46">
        <v>1052.8574000000001</v>
      </c>
      <c r="U94" s="24">
        <v>0</v>
      </c>
      <c r="V94" s="24">
        <v>0</v>
      </c>
      <c r="W94" s="47">
        <v>87.999600000000001</v>
      </c>
      <c r="X94" s="24">
        <v>0</v>
      </c>
      <c r="Y94" s="24">
        <v>0</v>
      </c>
      <c r="Z94" s="24">
        <v>0</v>
      </c>
      <c r="AA94" s="24">
        <v>0</v>
      </c>
      <c r="AB94" s="29">
        <f>W94+X94</f>
        <v>87.999600000000001</v>
      </c>
      <c r="AC94" s="29">
        <f>Z94+AA94</f>
        <v>0</v>
      </c>
      <c r="AD94" s="29">
        <f>V94+AB94</f>
        <v>87.999600000000001</v>
      </c>
      <c r="AE94" s="29">
        <f t="shared" ref="AE94:AE97" si="105">Y94+AC94</f>
        <v>0</v>
      </c>
      <c r="AF94" s="29"/>
      <c r="AG94" s="18" t="s">
        <v>17</v>
      </c>
      <c r="AH94" s="28">
        <v>0</v>
      </c>
      <c r="AI94" s="46">
        <v>0</v>
      </c>
      <c r="AJ94" s="46">
        <v>3259.0488</v>
      </c>
      <c r="AK94" s="28">
        <v>0</v>
      </c>
      <c r="AL94" s="29">
        <f t="shared" ref="AL94:AL97" si="106">AH94+AI94+AJ94+AK94</f>
        <v>3259.0488</v>
      </c>
      <c r="AM94" s="46">
        <v>301.70456000000001</v>
      </c>
      <c r="AN94" s="29">
        <f>AM94+AL94</f>
        <v>3560.7533600000002</v>
      </c>
      <c r="AO94" s="24">
        <v>3231.37</v>
      </c>
      <c r="AP94" s="28">
        <v>0</v>
      </c>
      <c r="AQ94" s="29">
        <f t="shared" ref="AQ94:AQ97" si="107">AO94+AP94</f>
        <v>3231.37</v>
      </c>
      <c r="AR94" s="46">
        <v>115.68994000000001</v>
      </c>
      <c r="AS94" s="29">
        <f>AR94+AQ94</f>
        <v>3347.0599400000001</v>
      </c>
      <c r="AT94" s="30">
        <v>174.98501999999999</v>
      </c>
      <c r="AU94" s="30">
        <v>38.698</v>
      </c>
      <c r="AV94" s="24">
        <v>1728.55</v>
      </c>
      <c r="AW94" s="46">
        <v>1044.1913999999999</v>
      </c>
      <c r="AX94" s="24">
        <v>0</v>
      </c>
      <c r="AY94" s="24">
        <v>0</v>
      </c>
      <c r="AZ94" s="51">
        <v>96.665436</v>
      </c>
      <c r="BA94" s="33">
        <v>301.70456000000001</v>
      </c>
      <c r="BB94" s="24">
        <v>38.698</v>
      </c>
      <c r="BC94" s="24">
        <v>0</v>
      </c>
      <c r="BD94" s="24">
        <v>1728.55</v>
      </c>
      <c r="BE94" s="29">
        <f>AZ94+BA94</f>
        <v>398.36999600000001</v>
      </c>
      <c r="BF94" s="29">
        <f>BC94+BD94</f>
        <v>1728.55</v>
      </c>
      <c r="BG94" s="29">
        <f>AY94+BE94</f>
        <v>398.36999600000001</v>
      </c>
      <c r="BH94" s="29">
        <f t="shared" ref="BH94:BH97" si="108">BB94+BF94</f>
        <v>1767.248</v>
      </c>
    </row>
    <row r="95" spans="1:60" x14ac:dyDescent="0.2">
      <c r="C95" s="7">
        <v>3</v>
      </c>
      <c r="D95" s="13" t="s">
        <v>18</v>
      </c>
      <c r="E95" s="28">
        <v>0</v>
      </c>
      <c r="F95" s="28">
        <v>513.84699999999998</v>
      </c>
      <c r="G95" s="28">
        <v>3379.72</v>
      </c>
      <c r="H95" s="28">
        <v>0</v>
      </c>
      <c r="I95" s="29">
        <f t="shared" si="103"/>
        <v>3893.567</v>
      </c>
      <c r="J95" s="24">
        <v>472.30005</v>
      </c>
      <c r="K95" s="29">
        <f>J95+I95</f>
        <v>4365.8670499999998</v>
      </c>
      <c r="L95" s="24">
        <v>3132.8074000000001</v>
      </c>
      <c r="M95" s="28">
        <v>0</v>
      </c>
      <c r="N95" s="29">
        <f t="shared" si="104"/>
        <v>3132.8074000000001</v>
      </c>
      <c r="O95" s="24">
        <v>1233.0491999999999</v>
      </c>
      <c r="P95" s="29">
        <f>O95+N95</f>
        <v>4365.8566000000001</v>
      </c>
      <c r="Q95" s="30">
        <v>0</v>
      </c>
      <c r="R95" s="30">
        <v>258.68799999999999</v>
      </c>
      <c r="S95" s="24">
        <v>0</v>
      </c>
      <c r="T95" s="24">
        <v>0</v>
      </c>
      <c r="U95" s="24">
        <v>51.552734000000001</v>
      </c>
      <c r="V95" s="24">
        <v>20.209771</v>
      </c>
      <c r="W95" s="30">
        <v>0</v>
      </c>
      <c r="X95" s="24">
        <v>0</v>
      </c>
      <c r="Y95" s="24">
        <v>0</v>
      </c>
      <c r="Z95" s="24">
        <v>0</v>
      </c>
      <c r="AA95" s="24">
        <v>0</v>
      </c>
      <c r="AB95" s="29">
        <f>W95+X95</f>
        <v>0</v>
      </c>
      <c r="AC95" s="29">
        <f>Z95+AA95</f>
        <v>0</v>
      </c>
      <c r="AD95" s="29">
        <f>V95+AB95</f>
        <v>20.209771</v>
      </c>
      <c r="AE95" s="29">
        <f t="shared" si="105"/>
        <v>0</v>
      </c>
      <c r="AF95" s="29"/>
      <c r="AG95" s="13" t="s">
        <v>18</v>
      </c>
      <c r="AH95" s="28">
        <v>0</v>
      </c>
      <c r="AI95" s="28">
        <v>513.84699999999998</v>
      </c>
      <c r="AJ95" s="28">
        <v>3379.72</v>
      </c>
      <c r="AK95" s="28">
        <v>0</v>
      </c>
      <c r="AL95" s="29">
        <f t="shared" si="106"/>
        <v>3893.567</v>
      </c>
      <c r="AM95" s="24">
        <v>472.30005</v>
      </c>
      <c r="AN95" s="29">
        <f>AM95+AL95</f>
        <v>4365.8670499999998</v>
      </c>
      <c r="AO95" s="24">
        <v>3132.8074000000001</v>
      </c>
      <c r="AP95" s="28">
        <v>0</v>
      </c>
      <c r="AQ95" s="29">
        <f t="shared" si="107"/>
        <v>3132.8074000000001</v>
      </c>
      <c r="AR95" s="24">
        <v>1233.0491999999999</v>
      </c>
      <c r="AS95" s="29">
        <f>AR95+AQ95</f>
        <v>4365.8566000000001</v>
      </c>
      <c r="AT95" s="30">
        <v>0</v>
      </c>
      <c r="AU95" s="30">
        <v>258.68799999999999</v>
      </c>
      <c r="AV95" s="24">
        <v>0</v>
      </c>
      <c r="AW95" s="24">
        <v>0</v>
      </c>
      <c r="AX95" s="24">
        <v>51.552734000000001</v>
      </c>
      <c r="AY95" s="24">
        <v>20.209771</v>
      </c>
      <c r="AZ95" s="51">
        <v>256.68993999999998</v>
      </c>
      <c r="BA95" s="24">
        <v>472.3005</v>
      </c>
      <c r="BB95" s="24">
        <v>258.68799999999999</v>
      </c>
      <c r="BC95" s="24">
        <v>0</v>
      </c>
      <c r="BD95" s="24">
        <v>0</v>
      </c>
      <c r="BE95" s="29">
        <f>AZ95+BA95</f>
        <v>728.99044000000004</v>
      </c>
      <c r="BF95" s="29">
        <f>BC95+BD95</f>
        <v>0</v>
      </c>
      <c r="BG95" s="29">
        <f>AY95+BE95</f>
        <v>749.20021100000008</v>
      </c>
      <c r="BH95" s="29">
        <f t="shared" si="108"/>
        <v>258.68799999999999</v>
      </c>
    </row>
    <row r="96" spans="1:60" x14ac:dyDescent="0.2">
      <c r="C96" s="7">
        <v>4</v>
      </c>
      <c r="D96" s="7" t="s">
        <v>19</v>
      </c>
      <c r="E96" s="28">
        <v>0</v>
      </c>
      <c r="F96" s="46">
        <v>579.20196999999996</v>
      </c>
      <c r="G96" s="28">
        <v>4351.47</v>
      </c>
      <c r="H96" s="28">
        <v>0</v>
      </c>
      <c r="I96" s="29">
        <f t="shared" si="103"/>
        <v>4930.6719700000003</v>
      </c>
      <c r="J96" s="24">
        <v>1315.5450000000001</v>
      </c>
      <c r="K96" s="29">
        <f>J96+I96</f>
        <v>6246.2169700000004</v>
      </c>
      <c r="L96" s="24">
        <v>3311.51</v>
      </c>
      <c r="M96" s="28">
        <v>0</v>
      </c>
      <c r="N96" s="29">
        <f t="shared" si="104"/>
        <v>3311.51</v>
      </c>
      <c r="O96" s="46">
        <v>2717.39</v>
      </c>
      <c r="P96" s="29">
        <f>O96+N96</f>
        <v>6028.9</v>
      </c>
      <c r="Q96" s="30">
        <v>217.30753999999999</v>
      </c>
      <c r="R96" s="30">
        <v>42.204999999999998</v>
      </c>
      <c r="S96" s="24">
        <v>134.46</v>
      </c>
      <c r="T96" s="24">
        <v>0</v>
      </c>
      <c r="U96" s="24">
        <v>0</v>
      </c>
      <c r="V96" s="24">
        <v>0</v>
      </c>
      <c r="W96" s="30">
        <v>0</v>
      </c>
      <c r="X96" s="24">
        <v>0</v>
      </c>
      <c r="Y96" s="24">
        <v>0</v>
      </c>
      <c r="Z96" s="24">
        <v>0</v>
      </c>
      <c r="AA96" s="24">
        <v>0</v>
      </c>
      <c r="AB96" s="29">
        <f>W96+X96</f>
        <v>0</v>
      </c>
      <c r="AC96" s="29">
        <f>Z96+AA96</f>
        <v>0</v>
      </c>
      <c r="AD96" s="29">
        <f>V96+AB96</f>
        <v>0</v>
      </c>
      <c r="AE96" s="29">
        <f t="shared" si="105"/>
        <v>0</v>
      </c>
      <c r="AF96" s="29"/>
      <c r="AG96" s="7" t="s">
        <v>19</v>
      </c>
      <c r="AH96" s="28">
        <v>0</v>
      </c>
      <c r="AI96" s="46">
        <v>579.20196999999996</v>
      </c>
      <c r="AJ96" s="28">
        <v>4351.47</v>
      </c>
      <c r="AK96" s="28">
        <v>0</v>
      </c>
      <c r="AL96" s="29">
        <f t="shared" si="106"/>
        <v>4930.6719700000003</v>
      </c>
      <c r="AM96" s="24">
        <v>1315.5450000000001</v>
      </c>
      <c r="AN96" s="29">
        <f>AM96+AL96</f>
        <v>6246.2169700000004</v>
      </c>
      <c r="AO96" s="24">
        <v>3311.51</v>
      </c>
      <c r="AP96" s="28">
        <v>0</v>
      </c>
      <c r="AQ96" s="29">
        <f t="shared" si="107"/>
        <v>3311.51</v>
      </c>
      <c r="AR96" s="46">
        <v>2717.39</v>
      </c>
      <c r="AS96" s="29">
        <f>AR96+AQ96</f>
        <v>6028.9</v>
      </c>
      <c r="AT96" s="30">
        <v>217.30753999999999</v>
      </c>
      <c r="AU96" s="30">
        <v>42.204999999999998</v>
      </c>
      <c r="AV96" s="24">
        <v>134.46</v>
      </c>
      <c r="AW96" s="24">
        <v>0</v>
      </c>
      <c r="AX96" s="24">
        <v>0</v>
      </c>
      <c r="AY96" s="24">
        <v>0</v>
      </c>
      <c r="AZ96" s="51">
        <v>42.204956000000003</v>
      </c>
      <c r="BA96" s="24">
        <v>0</v>
      </c>
      <c r="BB96" s="24">
        <v>42.204999999999998</v>
      </c>
      <c r="BC96" s="24">
        <v>0</v>
      </c>
      <c r="BD96" s="24">
        <v>134.46</v>
      </c>
      <c r="BE96" s="29">
        <f>AZ96+BA96</f>
        <v>42.204956000000003</v>
      </c>
      <c r="BF96" s="29">
        <f>BC96+BD96</f>
        <v>134.46</v>
      </c>
      <c r="BG96" s="29">
        <f>AY96+BE96</f>
        <v>42.204956000000003</v>
      </c>
      <c r="BH96" s="29">
        <f t="shared" si="108"/>
        <v>176.66500000000002</v>
      </c>
    </row>
    <row r="97" spans="1:60" x14ac:dyDescent="0.2">
      <c r="C97" s="7">
        <v>5</v>
      </c>
      <c r="D97" s="8" t="s">
        <v>20</v>
      </c>
      <c r="E97" s="28">
        <v>0</v>
      </c>
      <c r="F97" s="46">
        <v>95.026979999999995</v>
      </c>
      <c r="G97" s="28">
        <v>620.69000000000005</v>
      </c>
      <c r="H97" s="28">
        <v>0</v>
      </c>
      <c r="I97" s="29">
        <f t="shared" si="103"/>
        <v>715.71698000000004</v>
      </c>
      <c r="J97" s="24">
        <v>2717.39</v>
      </c>
      <c r="K97" s="29">
        <f>J97+I97</f>
        <v>3433.10698</v>
      </c>
      <c r="L97" s="24">
        <v>3122.9</v>
      </c>
      <c r="M97" s="28">
        <v>0</v>
      </c>
      <c r="N97" s="29">
        <f t="shared" si="104"/>
        <v>3122.9</v>
      </c>
      <c r="O97" s="46">
        <v>158.48000999999999</v>
      </c>
      <c r="P97" s="29">
        <f>O97+N97</f>
        <v>3281.3800099999999</v>
      </c>
      <c r="Q97" s="30">
        <v>151.72699999999986</v>
      </c>
      <c r="R97" s="30">
        <v>0</v>
      </c>
      <c r="S97" s="24">
        <v>322.23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9">
        <f>W97+X97</f>
        <v>0</v>
      </c>
      <c r="AC97" s="29">
        <f>Z97+AA97</f>
        <v>0</v>
      </c>
      <c r="AD97" s="29">
        <f>V97+AB97</f>
        <v>0</v>
      </c>
      <c r="AE97" s="29">
        <f t="shared" si="105"/>
        <v>0</v>
      </c>
      <c r="AF97" s="29"/>
      <c r="AG97" s="8" t="s">
        <v>20</v>
      </c>
      <c r="AH97" s="28">
        <v>0</v>
      </c>
      <c r="AI97" s="46">
        <v>95.026979999999995</v>
      </c>
      <c r="AJ97" s="28">
        <v>620.69000000000005</v>
      </c>
      <c r="AK97" s="28">
        <v>0</v>
      </c>
      <c r="AL97" s="29">
        <f t="shared" si="106"/>
        <v>715.71698000000004</v>
      </c>
      <c r="AM97" s="24">
        <v>2717.39</v>
      </c>
      <c r="AN97" s="29">
        <f>AM97+AL97</f>
        <v>3433.10698</v>
      </c>
      <c r="AO97" s="24">
        <v>3122.9</v>
      </c>
      <c r="AP97" s="28">
        <v>0</v>
      </c>
      <c r="AQ97" s="29">
        <f t="shared" si="107"/>
        <v>3122.9</v>
      </c>
      <c r="AR97" s="46">
        <v>158.48000999999999</v>
      </c>
      <c r="AS97" s="29">
        <f>AR97+AQ97</f>
        <v>3281.3800099999999</v>
      </c>
      <c r="AT97" s="30">
        <v>151.72699999999986</v>
      </c>
      <c r="AU97" s="30">
        <v>0</v>
      </c>
      <c r="AV97" s="24">
        <v>322.23</v>
      </c>
      <c r="AW97" s="24">
        <v>0</v>
      </c>
      <c r="AX97" s="24">
        <v>0</v>
      </c>
      <c r="AY97" s="24">
        <v>0</v>
      </c>
      <c r="AZ97" s="24">
        <v>0</v>
      </c>
      <c r="BA97" s="24">
        <v>0</v>
      </c>
      <c r="BB97" s="24">
        <v>0</v>
      </c>
      <c r="BC97" s="24">
        <v>0</v>
      </c>
      <c r="BD97" s="24">
        <v>322.23</v>
      </c>
      <c r="BE97" s="29">
        <f>AZ97+BA97</f>
        <v>0</v>
      </c>
      <c r="BF97" s="29">
        <f>BC97+BD97</f>
        <v>322.23</v>
      </c>
      <c r="BG97" s="29">
        <f>AY97+BE97</f>
        <v>0</v>
      </c>
      <c r="BH97" s="29">
        <f t="shared" si="108"/>
        <v>322.23</v>
      </c>
    </row>
    <row r="98" spans="1:60" x14ac:dyDescent="0.2">
      <c r="E98" s="25">
        <f t="shared" ref="E98:H98" si="109">SUM(E93:E97)</f>
        <v>0</v>
      </c>
      <c r="F98" s="25">
        <f t="shared" si="109"/>
        <v>1665.2009499999999</v>
      </c>
      <c r="G98" s="25">
        <f t="shared" si="109"/>
        <v>11602.2628</v>
      </c>
      <c r="H98" s="25">
        <f t="shared" si="109"/>
        <v>0</v>
      </c>
      <c r="I98" s="25">
        <f>SUM(I93:I97)</f>
        <v>13267.463750000001</v>
      </c>
      <c r="J98" s="25">
        <f t="shared" ref="J98:K98" si="110">SUM(J93:J97)</f>
        <v>6962.1476000000002</v>
      </c>
      <c r="K98" s="25">
        <f t="shared" si="110"/>
        <v>20229.611349999999</v>
      </c>
      <c r="L98" s="25">
        <f>SUM(L93:L97)</f>
        <v>14840.9424</v>
      </c>
      <c r="M98" s="25">
        <f t="shared" ref="M98:N98" si="111">SUM(M93:M97)</f>
        <v>0</v>
      </c>
      <c r="N98" s="25">
        <f t="shared" si="111"/>
        <v>14840.9424</v>
      </c>
      <c r="O98" s="25">
        <f>SUM(O93:O97)</f>
        <v>4844.6181500000002</v>
      </c>
      <c r="P98" s="25">
        <f t="shared" ref="P98:W98" si="112">SUM(P93:P97)</f>
        <v>19685.560550000002</v>
      </c>
      <c r="Q98" s="25">
        <f t="shared" si="112"/>
        <v>544.01955999999984</v>
      </c>
      <c r="R98" s="25">
        <f t="shared" si="112"/>
        <v>339.59099999999995</v>
      </c>
      <c r="S98" s="25">
        <f t="shared" si="112"/>
        <v>2185.2399999999998</v>
      </c>
      <c r="T98" s="25">
        <f t="shared" si="112"/>
        <v>1052.8574000000001</v>
      </c>
      <c r="U98" s="25">
        <f t="shared" si="112"/>
        <v>51.552734000000001</v>
      </c>
      <c r="V98" s="25">
        <f t="shared" si="112"/>
        <v>20.209771</v>
      </c>
      <c r="W98" s="25">
        <f t="shared" si="112"/>
        <v>87.999600000000001</v>
      </c>
      <c r="X98" s="25">
        <f>SUM(X93:X97)</f>
        <v>0</v>
      </c>
      <c r="Y98" s="25">
        <f>SUM(Y93:Y97)</f>
        <v>0</v>
      </c>
      <c r="Z98" s="25">
        <f t="shared" ref="Z98" si="113">SUM(Z93:Z97)</f>
        <v>0</v>
      </c>
      <c r="AA98" s="25">
        <f>SUM(AA93:AA97)</f>
        <v>0</v>
      </c>
      <c r="AB98" s="25">
        <f>SUM(AB93:AB97)</f>
        <v>87.999600000000001</v>
      </c>
      <c r="AC98" s="25">
        <f>SUM(AC93:AC97)</f>
        <v>0</v>
      </c>
      <c r="AD98" s="25">
        <f>SUM(AD93:AD97)</f>
        <v>108.209371</v>
      </c>
      <c r="AE98" s="50">
        <f>SUM(AE93:AE97)</f>
        <v>0</v>
      </c>
      <c r="AF98" s="50"/>
      <c r="AH98" s="25">
        <f t="shared" ref="AH98:AK98" si="114">SUM(AH93:AH97)</f>
        <v>0</v>
      </c>
      <c r="AI98" s="25">
        <f t="shared" si="114"/>
        <v>1665.2009499999999</v>
      </c>
      <c r="AJ98" s="25">
        <f t="shared" si="114"/>
        <v>11610.9288</v>
      </c>
      <c r="AK98" s="25">
        <f t="shared" si="114"/>
        <v>0</v>
      </c>
      <c r="AL98" s="25">
        <f>SUM(AL93:AL97)</f>
        <v>13276.129749999998</v>
      </c>
      <c r="AM98" s="25">
        <f t="shared" ref="AM98:AN98" si="115">SUM(AM93:AM97)</f>
        <v>6992.1796099999992</v>
      </c>
      <c r="AN98" s="25">
        <f t="shared" si="115"/>
        <v>20268.309360000003</v>
      </c>
      <c r="AO98" s="25">
        <f>SUM(AO93:AO97)</f>
        <v>14840.9424</v>
      </c>
      <c r="AP98" s="25">
        <f t="shared" ref="AP98:AQ98" si="116">SUM(AP93:AP97)</f>
        <v>0</v>
      </c>
      <c r="AQ98" s="25">
        <f t="shared" si="116"/>
        <v>14840.9424</v>
      </c>
      <c r="AR98" s="25">
        <f>SUM(AR93:AR97)</f>
        <v>4844.6181500000002</v>
      </c>
      <c r="AS98" s="25">
        <f t="shared" ref="AS98:AZ98" si="117">SUM(AS93:AS97)</f>
        <v>19685.560550000002</v>
      </c>
      <c r="AT98" s="25">
        <f t="shared" si="117"/>
        <v>544.01955999999984</v>
      </c>
      <c r="AU98" s="25">
        <f t="shared" si="117"/>
        <v>339.59099999999995</v>
      </c>
      <c r="AV98" s="25">
        <f t="shared" si="117"/>
        <v>2185.2399999999998</v>
      </c>
      <c r="AW98" s="25">
        <f t="shared" si="117"/>
        <v>1044.1913999999999</v>
      </c>
      <c r="AX98" s="25">
        <f t="shared" si="117"/>
        <v>51.552734000000001</v>
      </c>
      <c r="AY98" s="25">
        <f t="shared" si="117"/>
        <v>359.80877100000004</v>
      </c>
      <c r="AZ98" s="25">
        <f t="shared" si="117"/>
        <v>395.56033199999996</v>
      </c>
      <c r="BA98" s="25">
        <f>SUM(BA93:BA97)</f>
        <v>2959.2450599999997</v>
      </c>
      <c r="BB98" s="25">
        <f>SUM(BB93:BB97)</f>
        <v>339.59099999999995</v>
      </c>
      <c r="BC98" s="25">
        <f t="shared" ref="BC98" si="118">SUM(BC93:BC97)</f>
        <v>0</v>
      </c>
      <c r="BD98" s="25">
        <f>SUM(BD93:BD97)</f>
        <v>2185.2399999999998</v>
      </c>
      <c r="BE98" s="25">
        <f>SUM(BE93:BE97)</f>
        <v>3354.8053919999998</v>
      </c>
      <c r="BF98" s="25">
        <f>SUM(BF93:BF97)</f>
        <v>2185.2399999999998</v>
      </c>
      <c r="BG98" s="25">
        <f>SUM(BG93:BG97)</f>
        <v>3714.6141629999997</v>
      </c>
      <c r="BH98" s="50">
        <f>SUM(BH93:BH97)</f>
        <v>2524.8310000000001</v>
      </c>
    </row>
    <row r="100" spans="1:60" x14ac:dyDescent="0.2">
      <c r="A100" s="7">
        <v>2</v>
      </c>
      <c r="B100" s="20" t="s">
        <v>73</v>
      </c>
      <c r="C100" s="7">
        <v>1</v>
      </c>
      <c r="D100" s="14" t="s">
        <v>16</v>
      </c>
      <c r="E100" s="28">
        <v>0</v>
      </c>
      <c r="F100" s="24">
        <v>477.125</v>
      </c>
      <c r="G100" s="24">
        <v>0</v>
      </c>
      <c r="H100" s="24">
        <v>0</v>
      </c>
      <c r="I100" s="29">
        <f>E100+F100+G100+H100</f>
        <v>477.125</v>
      </c>
      <c r="J100" s="24">
        <v>2185.2399999999998</v>
      </c>
      <c r="K100" s="29">
        <f>J100+I100</f>
        <v>2662.3649999999998</v>
      </c>
      <c r="L100" s="24">
        <v>2042.355</v>
      </c>
      <c r="M100" s="24">
        <v>0</v>
      </c>
      <c r="N100" s="29">
        <f>L100+M100</f>
        <v>2042.355</v>
      </c>
      <c r="O100" s="24">
        <v>620.00900000000001</v>
      </c>
      <c r="P100" s="29">
        <f>O100+N100</f>
        <v>2662.364</v>
      </c>
      <c r="Q100" s="30">
        <v>0</v>
      </c>
      <c r="R100" s="30">
        <v>0</v>
      </c>
      <c r="S100" s="30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9">
        <f>W100+X100</f>
        <v>0</v>
      </c>
      <c r="AC100" s="29">
        <f>Z100+AA100</f>
        <v>0</v>
      </c>
      <c r="AD100" s="29">
        <f>V100+AB100</f>
        <v>0</v>
      </c>
      <c r="AE100" s="29">
        <f>Y100+AC100</f>
        <v>0</v>
      </c>
      <c r="AF100" s="29"/>
      <c r="AG100" s="12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</row>
    <row r="101" spans="1:60" x14ac:dyDescent="0.2">
      <c r="C101" s="7">
        <v>2</v>
      </c>
      <c r="D101" s="14" t="s">
        <v>17</v>
      </c>
      <c r="E101" s="28">
        <v>0</v>
      </c>
      <c r="F101" s="24">
        <v>0</v>
      </c>
      <c r="G101" s="24">
        <v>3250.3827999999999</v>
      </c>
      <c r="H101" s="24">
        <v>0</v>
      </c>
      <c r="I101" s="29">
        <f t="shared" ref="I101:I104" si="119">E101+F101+G101+H101</f>
        <v>3250.3827999999999</v>
      </c>
      <c r="J101" s="24">
        <v>271.67255</v>
      </c>
      <c r="K101" s="29">
        <f>J101+I101</f>
        <v>3522.0553499999996</v>
      </c>
      <c r="L101" s="24">
        <v>3231.37</v>
      </c>
      <c r="M101" s="24">
        <v>0</v>
      </c>
      <c r="N101" s="29">
        <f t="shared" ref="N101:N104" si="120">L101+M101</f>
        <v>3231.37</v>
      </c>
      <c r="O101" s="24">
        <v>115.68994000000001</v>
      </c>
      <c r="P101" s="29">
        <f>O101+N101</f>
        <v>3347.0599400000001</v>
      </c>
      <c r="Q101" s="30">
        <v>174.98501999999999</v>
      </c>
      <c r="R101" s="30">
        <v>0</v>
      </c>
      <c r="S101" s="30">
        <v>0</v>
      </c>
      <c r="T101" s="33">
        <v>4303.24</v>
      </c>
      <c r="U101" s="24">
        <v>0</v>
      </c>
      <c r="V101" s="24">
        <v>0</v>
      </c>
      <c r="W101" s="30">
        <v>87.999600000000001</v>
      </c>
      <c r="X101" s="33">
        <v>271.67255</v>
      </c>
      <c r="Y101" s="24">
        <v>0</v>
      </c>
      <c r="Z101" s="24">
        <v>0</v>
      </c>
      <c r="AA101" s="24">
        <v>0</v>
      </c>
      <c r="AB101" s="29">
        <f>W101+X101</f>
        <v>359.67214999999999</v>
      </c>
      <c r="AC101" s="29">
        <f>Z101+AA101</f>
        <v>0</v>
      </c>
      <c r="AD101" s="29">
        <f>V101+AB101</f>
        <v>359.67214999999999</v>
      </c>
      <c r="AE101" s="29">
        <f t="shared" ref="AE101:AE104" si="121">Y101+AC101</f>
        <v>0</v>
      </c>
      <c r="AF101" s="29"/>
      <c r="AG101" s="12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</row>
    <row r="102" spans="1:60" x14ac:dyDescent="0.2">
      <c r="C102" s="7">
        <v>3</v>
      </c>
      <c r="D102" s="14" t="s">
        <v>18</v>
      </c>
      <c r="E102" s="28">
        <v>0</v>
      </c>
      <c r="F102" s="24">
        <v>513.84699999999998</v>
      </c>
      <c r="G102" s="24">
        <v>3379.72</v>
      </c>
      <c r="H102" s="24">
        <v>0</v>
      </c>
      <c r="I102" s="29">
        <f t="shared" si="119"/>
        <v>3893.567</v>
      </c>
      <c r="J102" s="24">
        <v>472.30005</v>
      </c>
      <c r="K102" s="29">
        <f>J102+I102</f>
        <v>4365.8670499999998</v>
      </c>
      <c r="L102" s="24">
        <v>3132.8074000000001</v>
      </c>
      <c r="M102" s="24">
        <v>0</v>
      </c>
      <c r="N102" s="29">
        <f t="shared" si="120"/>
        <v>3132.8074000000001</v>
      </c>
      <c r="O102" s="24">
        <v>1233.0491999999999</v>
      </c>
      <c r="P102" s="29">
        <f>O102+N102</f>
        <v>4365.8566000000001</v>
      </c>
      <c r="Q102" s="30">
        <v>0</v>
      </c>
      <c r="R102" s="30">
        <v>0</v>
      </c>
      <c r="S102" s="30">
        <v>0</v>
      </c>
      <c r="T102" s="33">
        <v>3379.72</v>
      </c>
      <c r="U102" s="24">
        <v>51.552734000000001</v>
      </c>
      <c r="V102" s="24">
        <v>20.209771</v>
      </c>
      <c r="W102" s="30">
        <v>0</v>
      </c>
      <c r="X102" s="33">
        <v>472.3005</v>
      </c>
      <c r="Y102" s="24">
        <v>0</v>
      </c>
      <c r="Z102" s="24">
        <v>0</v>
      </c>
      <c r="AA102" s="24">
        <v>0</v>
      </c>
      <c r="AB102" s="29">
        <f>W102+X102</f>
        <v>472.3005</v>
      </c>
      <c r="AC102" s="29">
        <f>Z102+AA102</f>
        <v>0</v>
      </c>
      <c r="AD102" s="29">
        <f>V102+AB102</f>
        <v>492.51027099999999</v>
      </c>
      <c r="AE102" s="29">
        <f t="shared" si="121"/>
        <v>0</v>
      </c>
      <c r="AF102" s="29"/>
      <c r="AG102" s="12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</row>
    <row r="103" spans="1:60" x14ac:dyDescent="0.2">
      <c r="C103" s="7">
        <v>4</v>
      </c>
      <c r="D103" s="7" t="s">
        <v>19</v>
      </c>
      <c r="E103" s="28">
        <v>0</v>
      </c>
      <c r="F103" s="24">
        <v>579.20196999999996</v>
      </c>
      <c r="G103" s="24">
        <v>4351.47</v>
      </c>
      <c r="H103" s="24">
        <v>0</v>
      </c>
      <c r="I103" s="29">
        <f t="shared" si="119"/>
        <v>4930.6719700000003</v>
      </c>
      <c r="J103" s="24">
        <v>1315.5450000000001</v>
      </c>
      <c r="K103" s="29">
        <f>J103+I103</f>
        <v>6246.2169700000004</v>
      </c>
      <c r="L103" s="24">
        <v>3311.51</v>
      </c>
      <c r="M103" s="24">
        <v>0</v>
      </c>
      <c r="N103" s="29">
        <f t="shared" si="120"/>
        <v>3311.51</v>
      </c>
      <c r="O103" s="24">
        <v>2717.39</v>
      </c>
      <c r="P103" s="29">
        <f>O103+N103</f>
        <v>6028.9</v>
      </c>
      <c r="Q103" s="30">
        <v>217.30753999999999</v>
      </c>
      <c r="R103" s="30">
        <v>0</v>
      </c>
      <c r="S103" s="30">
        <v>0</v>
      </c>
      <c r="T103" s="24">
        <v>0</v>
      </c>
      <c r="U103" s="24">
        <v>0</v>
      </c>
      <c r="V103" s="24">
        <v>0</v>
      </c>
      <c r="W103" s="30">
        <v>0</v>
      </c>
      <c r="X103" s="24">
        <v>0</v>
      </c>
      <c r="Y103" s="24">
        <v>0</v>
      </c>
      <c r="Z103" s="24">
        <v>0</v>
      </c>
      <c r="AA103" s="24">
        <v>0</v>
      </c>
      <c r="AB103" s="29">
        <f>W103+X103</f>
        <v>0</v>
      </c>
      <c r="AC103" s="29">
        <f>Z103+AA103</f>
        <v>0</v>
      </c>
      <c r="AD103" s="29">
        <f>V103+AB103</f>
        <v>0</v>
      </c>
      <c r="AE103" s="29">
        <f t="shared" si="121"/>
        <v>0</v>
      </c>
      <c r="AF103" s="29"/>
      <c r="AG103" s="12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</row>
    <row r="104" spans="1:60" x14ac:dyDescent="0.2">
      <c r="C104" s="7">
        <v>5</v>
      </c>
      <c r="D104" s="8" t="s">
        <v>20</v>
      </c>
      <c r="E104" s="28">
        <v>0</v>
      </c>
      <c r="F104" s="24">
        <v>95.026979999999995</v>
      </c>
      <c r="G104" s="24">
        <v>620.69000000000005</v>
      </c>
      <c r="H104" s="24">
        <v>0</v>
      </c>
      <c r="I104" s="29">
        <f t="shared" si="119"/>
        <v>715.71698000000004</v>
      </c>
      <c r="J104" s="24">
        <v>2717.39</v>
      </c>
      <c r="K104" s="29">
        <f>J104+I104</f>
        <v>3433.10698</v>
      </c>
      <c r="L104" s="24">
        <v>3122.9</v>
      </c>
      <c r="M104" s="24">
        <v>0</v>
      </c>
      <c r="N104" s="29">
        <f t="shared" si="120"/>
        <v>3122.9</v>
      </c>
      <c r="O104" s="24">
        <v>158.48000999999999</v>
      </c>
      <c r="P104" s="29">
        <f>O104+N104</f>
        <v>3281.3800099999999</v>
      </c>
      <c r="Q104" s="30">
        <v>151.72699999999986</v>
      </c>
      <c r="R104" s="30">
        <v>0</v>
      </c>
      <c r="S104" s="30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9">
        <f>W104+X104</f>
        <v>0</v>
      </c>
      <c r="AC104" s="29">
        <f>Z104+AA104</f>
        <v>0</v>
      </c>
      <c r="AD104" s="29">
        <f>V104+AB104</f>
        <v>0</v>
      </c>
      <c r="AE104" s="29">
        <f t="shared" si="121"/>
        <v>0</v>
      </c>
      <c r="AF104" s="29"/>
      <c r="AG104" s="12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</row>
    <row r="105" spans="1:60" x14ac:dyDescent="0.2">
      <c r="E105" s="25">
        <f t="shared" ref="E105:H105" si="122">SUM(E100:E104)</f>
        <v>0</v>
      </c>
      <c r="F105" s="25">
        <f t="shared" si="122"/>
        <v>1665.2009499999999</v>
      </c>
      <c r="G105" s="25">
        <f t="shared" si="122"/>
        <v>11602.2628</v>
      </c>
      <c r="H105" s="25">
        <f t="shared" si="122"/>
        <v>0</v>
      </c>
      <c r="I105" s="25">
        <f>SUM(I100:I104)</f>
        <v>13267.463750000001</v>
      </c>
      <c r="J105" s="25">
        <f t="shared" ref="J105:K105" si="123">SUM(J100:J104)</f>
        <v>6962.1476000000002</v>
      </c>
      <c r="K105" s="25">
        <f t="shared" si="123"/>
        <v>20229.611349999999</v>
      </c>
      <c r="L105" s="25">
        <f>SUM(L100:L104)</f>
        <v>14840.9424</v>
      </c>
      <c r="M105" s="25">
        <f t="shared" ref="M105:N105" si="124">SUM(M100:M104)</f>
        <v>0</v>
      </c>
      <c r="N105" s="25">
        <f t="shared" si="124"/>
        <v>14840.9424</v>
      </c>
      <c r="O105" s="25">
        <f>SUM(O100:O104)</f>
        <v>4844.6181500000002</v>
      </c>
      <c r="P105" s="25">
        <f t="shared" ref="P105:W105" si="125">SUM(P100:P104)</f>
        <v>19685.560550000002</v>
      </c>
      <c r="Q105" s="25">
        <f t="shared" si="125"/>
        <v>544.01955999999984</v>
      </c>
      <c r="R105" s="25">
        <f t="shared" si="125"/>
        <v>0</v>
      </c>
      <c r="S105" s="25">
        <f t="shared" si="125"/>
        <v>0</v>
      </c>
      <c r="T105" s="25">
        <f t="shared" si="125"/>
        <v>7682.9599999999991</v>
      </c>
      <c r="U105" s="25">
        <f t="shared" si="125"/>
        <v>51.552734000000001</v>
      </c>
      <c r="V105" s="25">
        <f t="shared" si="125"/>
        <v>20.209771</v>
      </c>
      <c r="W105" s="25">
        <f t="shared" si="125"/>
        <v>87.999600000000001</v>
      </c>
      <c r="X105" s="25">
        <f>SUM(X100:X104)</f>
        <v>743.97305000000006</v>
      </c>
      <c r="Y105" s="25">
        <f>SUM(Y100:Y104)</f>
        <v>0</v>
      </c>
      <c r="Z105" s="25">
        <f t="shared" ref="Z105" si="126">SUM(Z100:Z104)</f>
        <v>0</v>
      </c>
      <c r="AA105" s="25">
        <f>SUM(AA100:AA104)</f>
        <v>0</v>
      </c>
      <c r="AB105" s="25">
        <f>SUM(AB100:AB104)</f>
        <v>831.97264999999993</v>
      </c>
      <c r="AC105" s="25">
        <f>SUM(AC100:AC104)</f>
        <v>0</v>
      </c>
      <c r="AD105" s="25">
        <f>SUM(AD100:AD104)</f>
        <v>852.18242099999998</v>
      </c>
      <c r="AE105" s="50">
        <f>SUM(AE100:AE104)</f>
        <v>0</v>
      </c>
      <c r="AF105" s="50"/>
      <c r="AG105" s="12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</row>
    <row r="106" spans="1:60" x14ac:dyDescent="0.2"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50"/>
      <c r="AF106" s="50"/>
      <c r="AG106" s="12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</row>
    <row r="107" spans="1:60" x14ac:dyDescent="0.2">
      <c r="A107" s="7">
        <v>3</v>
      </c>
      <c r="B107" s="20" t="s">
        <v>67</v>
      </c>
      <c r="C107" s="7">
        <v>1</v>
      </c>
      <c r="D107" s="14" t="s">
        <v>16</v>
      </c>
      <c r="E107" s="28">
        <v>0</v>
      </c>
      <c r="F107" s="24">
        <v>477.125</v>
      </c>
      <c r="G107" s="24">
        <v>0</v>
      </c>
      <c r="H107" s="24">
        <v>0</v>
      </c>
      <c r="I107" s="29">
        <f>E107+F107+G107+H107</f>
        <v>477.125</v>
      </c>
      <c r="J107" s="24">
        <v>2185.2399999999998</v>
      </c>
      <c r="K107" s="29">
        <f>J107+I107</f>
        <v>2662.3649999999998</v>
      </c>
      <c r="L107" s="24">
        <v>2042.355</v>
      </c>
      <c r="M107" s="24">
        <v>0</v>
      </c>
      <c r="N107" s="29">
        <f>L107+M107</f>
        <v>2042.355</v>
      </c>
      <c r="O107" s="24">
        <v>620.00900000000001</v>
      </c>
      <c r="P107" s="29">
        <f>O107+N107</f>
        <v>2662.364</v>
      </c>
      <c r="Q107" s="30">
        <v>0</v>
      </c>
      <c r="R107" s="45">
        <v>0</v>
      </c>
      <c r="S107" s="45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9">
        <f>W107+X107</f>
        <v>0</v>
      </c>
      <c r="AC107" s="29">
        <f>Z107+AA107</f>
        <v>0</v>
      </c>
      <c r="AD107" s="29">
        <f>V107+AB107</f>
        <v>0</v>
      </c>
      <c r="AE107" s="29">
        <f>Y107+AC107</f>
        <v>0</v>
      </c>
      <c r="AF107" s="29"/>
      <c r="AG107" s="12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</row>
    <row r="108" spans="1:60" x14ac:dyDescent="0.2">
      <c r="C108" s="7">
        <v>2</v>
      </c>
      <c r="D108" s="14" t="s">
        <v>17</v>
      </c>
      <c r="E108" s="28">
        <v>0</v>
      </c>
      <c r="F108" s="24">
        <v>0</v>
      </c>
      <c r="G108" s="24">
        <v>3250.3827999999999</v>
      </c>
      <c r="H108" s="24">
        <v>0</v>
      </c>
      <c r="I108" s="29">
        <f t="shared" ref="I108:I111" si="127">E108+F108+G108+H108</f>
        <v>3250.3827999999999</v>
      </c>
      <c r="J108" s="24">
        <v>271.67255</v>
      </c>
      <c r="K108" s="29">
        <f>J108+I108</f>
        <v>3522.0553499999996</v>
      </c>
      <c r="L108" s="24">
        <v>3231.37</v>
      </c>
      <c r="M108" s="24">
        <v>0</v>
      </c>
      <c r="N108" s="29">
        <f t="shared" ref="N108:N111" si="128">L108+M108</f>
        <v>3231.37</v>
      </c>
      <c r="O108" s="24">
        <v>115.68994000000001</v>
      </c>
      <c r="P108" s="29">
        <f>O108+N108</f>
        <v>3347.0599400000001</v>
      </c>
      <c r="Q108" s="30">
        <v>174.98501999999999</v>
      </c>
      <c r="R108" s="45">
        <v>0</v>
      </c>
      <c r="S108" s="45">
        <v>0</v>
      </c>
      <c r="T108" s="24">
        <v>4303.24</v>
      </c>
      <c r="U108" s="24">
        <v>0</v>
      </c>
      <c r="V108" s="24">
        <v>0</v>
      </c>
      <c r="W108" s="30">
        <v>87.999600000000001</v>
      </c>
      <c r="X108" s="24">
        <v>271.67255</v>
      </c>
      <c r="Y108" s="24">
        <v>0</v>
      </c>
      <c r="Z108" s="24">
        <v>0</v>
      </c>
      <c r="AA108" s="24">
        <v>0</v>
      </c>
      <c r="AB108" s="29">
        <f>W108+X108</f>
        <v>359.67214999999999</v>
      </c>
      <c r="AC108" s="29">
        <f>Z108+AA108</f>
        <v>0</v>
      </c>
      <c r="AD108" s="29">
        <f>V108+AB108</f>
        <v>359.67214999999999</v>
      </c>
      <c r="AE108" s="29">
        <f t="shared" ref="AE108:AE111" si="129">Y108+AC108</f>
        <v>0</v>
      </c>
      <c r="AF108" s="29"/>
      <c r="AG108" s="12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</row>
    <row r="109" spans="1:60" x14ac:dyDescent="0.2">
      <c r="C109" s="7">
        <v>3</v>
      </c>
      <c r="D109" s="14" t="s">
        <v>18</v>
      </c>
      <c r="E109" s="28">
        <v>0</v>
      </c>
      <c r="F109" s="24">
        <v>513.84699999999998</v>
      </c>
      <c r="G109" s="24">
        <v>3379.72</v>
      </c>
      <c r="H109" s="24">
        <v>0</v>
      </c>
      <c r="I109" s="29">
        <f t="shared" si="127"/>
        <v>3893.567</v>
      </c>
      <c r="J109" s="24">
        <v>472.30005</v>
      </c>
      <c r="K109" s="29">
        <f>J109+I109</f>
        <v>4365.8670499999998</v>
      </c>
      <c r="L109" s="24">
        <v>3132.8074000000001</v>
      </c>
      <c r="M109" s="24">
        <v>0</v>
      </c>
      <c r="N109" s="29">
        <f t="shared" si="128"/>
        <v>3132.8074000000001</v>
      </c>
      <c r="O109" s="24">
        <v>1233.0491999999999</v>
      </c>
      <c r="P109" s="29">
        <f>O109+N109</f>
        <v>4365.8566000000001</v>
      </c>
      <c r="Q109" s="30">
        <v>0</v>
      </c>
      <c r="R109" s="45">
        <v>0</v>
      </c>
      <c r="S109" s="45">
        <v>0</v>
      </c>
      <c r="T109" s="24">
        <v>3379.72</v>
      </c>
      <c r="U109" s="24">
        <v>51.552734000000001</v>
      </c>
      <c r="V109" s="24">
        <v>20.209771</v>
      </c>
      <c r="W109" s="30">
        <v>0</v>
      </c>
      <c r="X109" s="24">
        <v>472.3005</v>
      </c>
      <c r="Y109" s="24">
        <v>0</v>
      </c>
      <c r="Z109" s="24">
        <v>0</v>
      </c>
      <c r="AA109" s="24">
        <v>0</v>
      </c>
      <c r="AB109" s="29">
        <f>W109+X109</f>
        <v>472.3005</v>
      </c>
      <c r="AC109" s="29">
        <f>Z109+AA109</f>
        <v>0</v>
      </c>
      <c r="AD109" s="29">
        <f>V109+AB109</f>
        <v>492.51027099999999</v>
      </c>
      <c r="AE109" s="29">
        <f t="shared" si="129"/>
        <v>0</v>
      </c>
      <c r="AF109" s="29"/>
      <c r="AG109" s="12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</row>
    <row r="110" spans="1:60" x14ac:dyDescent="0.2">
      <c r="C110" s="7">
        <v>4</v>
      </c>
      <c r="D110" s="7" t="s">
        <v>19</v>
      </c>
      <c r="E110" s="28">
        <v>0</v>
      </c>
      <c r="F110" s="24">
        <v>579.20196999999996</v>
      </c>
      <c r="G110" s="24">
        <v>4351.47</v>
      </c>
      <c r="H110" s="24">
        <v>0</v>
      </c>
      <c r="I110" s="29">
        <f t="shared" si="127"/>
        <v>4930.6719700000003</v>
      </c>
      <c r="J110" s="24">
        <v>1315.5450000000001</v>
      </c>
      <c r="K110" s="29">
        <f>J110+I110</f>
        <v>6246.2169700000004</v>
      </c>
      <c r="L110" s="24">
        <v>3311.51</v>
      </c>
      <c r="M110" s="24">
        <v>0</v>
      </c>
      <c r="N110" s="29">
        <f t="shared" si="128"/>
        <v>3311.51</v>
      </c>
      <c r="O110" s="24">
        <v>2717.39</v>
      </c>
      <c r="P110" s="29">
        <f>O110+N110</f>
        <v>6028.9</v>
      </c>
      <c r="Q110" s="30">
        <v>217.30753999999999</v>
      </c>
      <c r="R110" s="45">
        <v>0</v>
      </c>
      <c r="S110" s="45">
        <v>0</v>
      </c>
      <c r="T110" s="24">
        <v>0</v>
      </c>
      <c r="U110" s="24">
        <v>0</v>
      </c>
      <c r="V110" s="24">
        <v>0</v>
      </c>
      <c r="W110" s="30">
        <v>0</v>
      </c>
      <c r="X110" s="24">
        <v>0</v>
      </c>
      <c r="Y110" s="24">
        <v>0</v>
      </c>
      <c r="Z110" s="24">
        <v>0</v>
      </c>
      <c r="AA110" s="24">
        <v>0</v>
      </c>
      <c r="AB110" s="29">
        <f>W110+X110</f>
        <v>0</v>
      </c>
      <c r="AC110" s="29">
        <f>Z110+AA110</f>
        <v>0</v>
      </c>
      <c r="AD110" s="29">
        <f>V110+AB110</f>
        <v>0</v>
      </c>
      <c r="AE110" s="29">
        <f t="shared" si="129"/>
        <v>0</v>
      </c>
      <c r="AF110" s="29"/>
      <c r="AG110" s="12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</row>
    <row r="111" spans="1:60" x14ac:dyDescent="0.2">
      <c r="C111" s="7">
        <v>5</v>
      </c>
      <c r="D111" s="8" t="s">
        <v>20</v>
      </c>
      <c r="E111" s="28">
        <v>0</v>
      </c>
      <c r="F111" s="24">
        <v>95.026979999999995</v>
      </c>
      <c r="G111" s="24">
        <v>620.69000000000005</v>
      </c>
      <c r="H111" s="24">
        <v>0</v>
      </c>
      <c r="I111" s="29">
        <f t="shared" si="127"/>
        <v>715.71698000000004</v>
      </c>
      <c r="J111" s="24">
        <v>2717.39</v>
      </c>
      <c r="K111" s="29">
        <f>J111+I111</f>
        <v>3433.10698</v>
      </c>
      <c r="L111" s="24">
        <v>3122.9</v>
      </c>
      <c r="M111" s="24">
        <v>0</v>
      </c>
      <c r="N111" s="29">
        <f t="shared" si="128"/>
        <v>3122.9</v>
      </c>
      <c r="O111" s="24">
        <v>158.48000999999999</v>
      </c>
      <c r="P111" s="29">
        <f>O111+N111</f>
        <v>3281.3800099999999</v>
      </c>
      <c r="Q111" s="30">
        <v>151.72699999999986</v>
      </c>
      <c r="R111" s="45">
        <v>0</v>
      </c>
      <c r="S111" s="45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9">
        <f>W111+X111</f>
        <v>0</v>
      </c>
      <c r="AC111" s="29">
        <f>Z111+AA111</f>
        <v>0</v>
      </c>
      <c r="AD111" s="29">
        <f>V111+AB111</f>
        <v>0</v>
      </c>
      <c r="AE111" s="29">
        <f t="shared" si="129"/>
        <v>0</v>
      </c>
      <c r="AF111" s="29"/>
      <c r="AG111" s="12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</row>
    <row r="112" spans="1:60" x14ac:dyDescent="0.2">
      <c r="E112" s="25">
        <f t="shared" ref="E112:AE112" si="130">SUM(E107:E111)</f>
        <v>0</v>
      </c>
      <c r="F112" s="25">
        <f t="shared" si="130"/>
        <v>1665.2009499999999</v>
      </c>
      <c r="G112" s="25">
        <f t="shared" si="130"/>
        <v>11602.2628</v>
      </c>
      <c r="H112" s="25">
        <f t="shared" si="130"/>
        <v>0</v>
      </c>
      <c r="I112" s="25">
        <f t="shared" si="130"/>
        <v>13267.463750000001</v>
      </c>
      <c r="J112" s="25">
        <f t="shared" si="130"/>
        <v>6962.1476000000002</v>
      </c>
      <c r="K112" s="25">
        <f t="shared" si="130"/>
        <v>20229.611349999999</v>
      </c>
      <c r="L112" s="25">
        <f t="shared" si="130"/>
        <v>14840.9424</v>
      </c>
      <c r="M112" s="25">
        <f t="shared" si="130"/>
        <v>0</v>
      </c>
      <c r="N112" s="25">
        <f t="shared" si="130"/>
        <v>14840.9424</v>
      </c>
      <c r="O112" s="25">
        <f t="shared" si="130"/>
        <v>4844.6181500000002</v>
      </c>
      <c r="P112" s="25">
        <f t="shared" si="130"/>
        <v>19685.560550000002</v>
      </c>
      <c r="Q112" s="25">
        <f t="shared" si="130"/>
        <v>544.01955999999984</v>
      </c>
      <c r="R112" s="25">
        <f t="shared" si="130"/>
        <v>0</v>
      </c>
      <c r="S112" s="25">
        <f t="shared" si="130"/>
        <v>0</v>
      </c>
      <c r="T112" s="25">
        <f t="shared" si="130"/>
        <v>7682.9599999999991</v>
      </c>
      <c r="U112" s="25">
        <f t="shared" si="130"/>
        <v>51.552734000000001</v>
      </c>
      <c r="V112" s="25">
        <f t="shared" si="130"/>
        <v>20.209771</v>
      </c>
      <c r="W112" s="25">
        <f t="shared" si="130"/>
        <v>87.999600000000001</v>
      </c>
      <c r="X112" s="25">
        <f t="shared" si="130"/>
        <v>743.97305000000006</v>
      </c>
      <c r="Y112" s="25">
        <f t="shared" si="130"/>
        <v>0</v>
      </c>
      <c r="Z112" s="25">
        <f t="shared" si="130"/>
        <v>0</v>
      </c>
      <c r="AA112" s="25">
        <f t="shared" si="130"/>
        <v>0</v>
      </c>
      <c r="AB112" s="25">
        <f t="shared" si="130"/>
        <v>831.97264999999993</v>
      </c>
      <c r="AC112" s="25">
        <f t="shared" si="130"/>
        <v>0</v>
      </c>
      <c r="AD112" s="25">
        <f t="shared" si="130"/>
        <v>852.18242099999998</v>
      </c>
      <c r="AE112" s="50">
        <f t="shared" si="130"/>
        <v>0</v>
      </c>
      <c r="AF112" s="50"/>
      <c r="AG112" s="12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</row>
    <row r="113" spans="1:60" x14ac:dyDescent="0.2"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 spans="1:60" x14ac:dyDescent="0.2">
      <c r="A114" s="7">
        <v>3</v>
      </c>
      <c r="B114" s="20" t="s">
        <v>68</v>
      </c>
      <c r="C114" s="7">
        <v>1</v>
      </c>
      <c r="D114" s="14" t="s">
        <v>16</v>
      </c>
      <c r="E114" s="28">
        <v>0</v>
      </c>
      <c r="F114" s="24">
        <v>477.125</v>
      </c>
      <c r="G114" s="24">
        <v>0</v>
      </c>
      <c r="H114" s="24">
        <v>0</v>
      </c>
      <c r="I114" s="29">
        <f>E114+F114+G114+H114</f>
        <v>477.125</v>
      </c>
      <c r="J114" s="24">
        <v>2185.2399999999998</v>
      </c>
      <c r="K114" s="29">
        <f>J114+I114</f>
        <v>2662.3649999999998</v>
      </c>
      <c r="L114" s="24">
        <v>2042.355</v>
      </c>
      <c r="M114" s="24">
        <v>0</v>
      </c>
      <c r="N114" s="29">
        <f>L114+M114</f>
        <v>2042.355</v>
      </c>
      <c r="O114" s="24">
        <v>620.00900000000001</v>
      </c>
      <c r="P114" s="29">
        <f>O114+N114</f>
        <v>2662.364</v>
      </c>
      <c r="Q114" s="30">
        <v>0</v>
      </c>
      <c r="R114" s="24">
        <v>0</v>
      </c>
      <c r="S114" s="30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30">
        <v>0</v>
      </c>
      <c r="AA114" s="24">
        <v>0</v>
      </c>
      <c r="AB114" s="29">
        <f>W114+X114</f>
        <v>0</v>
      </c>
      <c r="AC114" s="29">
        <f>Z114+AA114</f>
        <v>0</v>
      </c>
      <c r="AD114" s="29">
        <f>V114+AB114</f>
        <v>0</v>
      </c>
      <c r="AE114" s="29">
        <f>Y114+AC114</f>
        <v>0</v>
      </c>
      <c r="AF114" s="29"/>
      <c r="AG114" s="12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</row>
    <row r="115" spans="1:60" x14ac:dyDescent="0.2">
      <c r="C115" s="7">
        <v>2</v>
      </c>
      <c r="D115" s="14" t="s">
        <v>17</v>
      </c>
      <c r="E115" s="28">
        <v>0</v>
      </c>
      <c r="F115" s="24">
        <v>0</v>
      </c>
      <c r="G115" s="24">
        <v>3250.3827999999999</v>
      </c>
      <c r="H115" s="24">
        <v>0</v>
      </c>
      <c r="I115" s="29">
        <f t="shared" ref="I115:I118" si="131">E115+F115+G115+H115</f>
        <v>3250.3827999999999</v>
      </c>
      <c r="J115" s="24">
        <v>271.67255</v>
      </c>
      <c r="K115" s="29">
        <f>J115+I115</f>
        <v>3522.0553499999996</v>
      </c>
      <c r="L115" s="24">
        <v>3231.37</v>
      </c>
      <c r="M115" s="24">
        <v>0</v>
      </c>
      <c r="N115" s="29">
        <f t="shared" ref="N115:N118" si="132">L115+M115</f>
        <v>3231.37</v>
      </c>
      <c r="O115" s="24">
        <v>115.68994000000001</v>
      </c>
      <c r="P115" s="29">
        <f>O115+N115</f>
        <v>3347.0599400000001</v>
      </c>
      <c r="Q115" s="30">
        <v>174.98501999999999</v>
      </c>
      <c r="R115" s="31">
        <v>4.6790485000000004</v>
      </c>
      <c r="S115" s="30">
        <v>0</v>
      </c>
      <c r="T115" s="24">
        <v>4303.24</v>
      </c>
      <c r="U115" s="24">
        <v>0</v>
      </c>
      <c r="V115" s="24">
        <v>0</v>
      </c>
      <c r="W115" s="30">
        <v>87.999600000000001</v>
      </c>
      <c r="X115" s="24">
        <v>271.67255</v>
      </c>
      <c r="Y115" s="31">
        <v>4.6790485000000004</v>
      </c>
      <c r="Z115" s="30">
        <v>0</v>
      </c>
      <c r="AA115" s="24">
        <v>0</v>
      </c>
      <c r="AB115" s="29">
        <f>W115+X115</f>
        <v>359.67214999999999</v>
      </c>
      <c r="AC115" s="29">
        <f>Z115+AA115</f>
        <v>0</v>
      </c>
      <c r="AD115" s="29">
        <f>V115+AB115</f>
        <v>359.67214999999999</v>
      </c>
      <c r="AE115" s="29">
        <f t="shared" ref="AE115:AE118" si="133">Y115+AC115</f>
        <v>4.6790485000000004</v>
      </c>
      <c r="AF115" s="29"/>
      <c r="AG115" s="12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</row>
    <row r="116" spans="1:60" x14ac:dyDescent="0.2">
      <c r="C116" s="7">
        <v>3</v>
      </c>
      <c r="D116" s="14" t="s">
        <v>18</v>
      </c>
      <c r="E116" s="28">
        <v>0</v>
      </c>
      <c r="F116" s="24">
        <v>513.84699999999998</v>
      </c>
      <c r="G116" s="24">
        <v>3379.72</v>
      </c>
      <c r="H116" s="24">
        <v>0</v>
      </c>
      <c r="I116" s="29">
        <f t="shared" si="131"/>
        <v>3893.567</v>
      </c>
      <c r="J116" s="24">
        <v>472.30005</v>
      </c>
      <c r="K116" s="29">
        <f>J116+I116</f>
        <v>4365.8670499999998</v>
      </c>
      <c r="L116" s="24">
        <v>3132.8074000000001</v>
      </c>
      <c r="M116" s="24">
        <v>0</v>
      </c>
      <c r="N116" s="29">
        <f t="shared" si="132"/>
        <v>3132.8074000000001</v>
      </c>
      <c r="O116" s="24">
        <v>1233.0491999999999</v>
      </c>
      <c r="P116" s="29">
        <f>O116+N116</f>
        <v>4365.8566000000001</v>
      </c>
      <c r="Q116" s="30">
        <v>0</v>
      </c>
      <c r="R116" s="24">
        <v>0</v>
      </c>
      <c r="S116" s="30">
        <v>0</v>
      </c>
      <c r="T116" s="24">
        <v>3379.72</v>
      </c>
      <c r="U116" s="24">
        <v>51.552734000000001</v>
      </c>
      <c r="V116" s="24">
        <v>20.209771</v>
      </c>
      <c r="W116" s="30">
        <v>0</v>
      </c>
      <c r="X116" s="24">
        <v>472.3005</v>
      </c>
      <c r="Y116" s="24">
        <v>0</v>
      </c>
      <c r="Z116" s="30">
        <v>0</v>
      </c>
      <c r="AA116" s="24">
        <v>0</v>
      </c>
      <c r="AB116" s="29">
        <f>W116+X116</f>
        <v>472.3005</v>
      </c>
      <c r="AC116" s="29">
        <f>Z116+AA116</f>
        <v>0</v>
      </c>
      <c r="AD116" s="29">
        <f>V116+AB116</f>
        <v>492.51027099999999</v>
      </c>
      <c r="AE116" s="29">
        <f t="shared" si="133"/>
        <v>0</v>
      </c>
      <c r="AF116" s="29"/>
      <c r="AG116" s="12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</row>
    <row r="117" spans="1:60" x14ac:dyDescent="0.2">
      <c r="C117" s="7">
        <v>4</v>
      </c>
      <c r="D117" s="7" t="s">
        <v>19</v>
      </c>
      <c r="E117" s="28">
        <v>0</v>
      </c>
      <c r="F117" s="24">
        <v>579.20196999999996</v>
      </c>
      <c r="G117" s="24">
        <v>4351.47</v>
      </c>
      <c r="H117" s="24">
        <v>0</v>
      </c>
      <c r="I117" s="29">
        <f t="shared" si="131"/>
        <v>4930.6719700000003</v>
      </c>
      <c r="J117" s="24">
        <v>1315.5450000000001</v>
      </c>
      <c r="K117" s="29">
        <f>J117+I117</f>
        <v>6246.2169700000004</v>
      </c>
      <c r="L117" s="24">
        <v>3311.51</v>
      </c>
      <c r="M117" s="24">
        <v>0</v>
      </c>
      <c r="N117" s="29">
        <f t="shared" si="132"/>
        <v>3311.51</v>
      </c>
      <c r="O117" s="24">
        <v>2717.39</v>
      </c>
      <c r="P117" s="29">
        <f>O117+N117</f>
        <v>6028.9</v>
      </c>
      <c r="Q117" s="30">
        <v>217.30753999999999</v>
      </c>
      <c r="R117" s="31">
        <v>15.611723</v>
      </c>
      <c r="S117" s="30">
        <v>0</v>
      </c>
      <c r="T117" s="24">
        <v>0</v>
      </c>
      <c r="U117" s="24">
        <v>0</v>
      </c>
      <c r="V117" s="24">
        <v>0</v>
      </c>
      <c r="W117" s="30">
        <v>0</v>
      </c>
      <c r="X117" s="24">
        <v>0</v>
      </c>
      <c r="Y117" s="31">
        <v>15.611723</v>
      </c>
      <c r="Z117" s="30">
        <v>0</v>
      </c>
      <c r="AA117" s="24">
        <v>0</v>
      </c>
      <c r="AB117" s="29">
        <f>W117+X117</f>
        <v>0</v>
      </c>
      <c r="AC117" s="29">
        <f>Z117+AA117</f>
        <v>0</v>
      </c>
      <c r="AD117" s="29">
        <f>V117+AB117</f>
        <v>0</v>
      </c>
      <c r="AE117" s="29">
        <f t="shared" si="133"/>
        <v>15.611723</v>
      </c>
      <c r="AF117" s="29"/>
      <c r="AG117" s="12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</row>
    <row r="118" spans="1:60" x14ac:dyDescent="0.2">
      <c r="C118" s="7">
        <v>5</v>
      </c>
      <c r="D118" s="8" t="s">
        <v>20</v>
      </c>
      <c r="E118" s="28">
        <v>0</v>
      </c>
      <c r="F118" s="24">
        <v>95.026979999999995</v>
      </c>
      <c r="G118" s="24">
        <v>620.69000000000005</v>
      </c>
      <c r="H118" s="24">
        <v>0</v>
      </c>
      <c r="I118" s="29">
        <f t="shared" si="131"/>
        <v>715.71698000000004</v>
      </c>
      <c r="J118" s="24">
        <v>2717.39</v>
      </c>
      <c r="K118" s="29">
        <f>J118+I118</f>
        <v>3433.10698</v>
      </c>
      <c r="L118" s="24">
        <v>3122.9</v>
      </c>
      <c r="M118" s="24">
        <v>0</v>
      </c>
      <c r="N118" s="29">
        <f t="shared" si="132"/>
        <v>3122.9</v>
      </c>
      <c r="O118" s="24">
        <v>158.48000999999999</v>
      </c>
      <c r="P118" s="29">
        <f>O118+N118</f>
        <v>3281.3800099999999</v>
      </c>
      <c r="Q118" s="30">
        <v>151.72699999999986</v>
      </c>
      <c r="R118" s="24">
        <v>0</v>
      </c>
      <c r="S118" s="30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30">
        <v>0</v>
      </c>
      <c r="AA118" s="24">
        <v>0</v>
      </c>
      <c r="AB118" s="29">
        <f>W118+X118</f>
        <v>0</v>
      </c>
      <c r="AC118" s="29">
        <f>Z118+AA118</f>
        <v>0</v>
      </c>
      <c r="AD118" s="29">
        <f>V118+AB118</f>
        <v>0</v>
      </c>
      <c r="AE118" s="29">
        <f t="shared" si="133"/>
        <v>0</v>
      </c>
      <c r="AF118" s="29"/>
      <c r="AG118" s="12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</row>
    <row r="119" spans="1:60" x14ac:dyDescent="0.2">
      <c r="E119" s="25">
        <f t="shared" ref="E119:H119" si="134">SUM(E114:E118)</f>
        <v>0</v>
      </c>
      <c r="F119" s="25">
        <f t="shared" si="134"/>
        <v>1665.2009499999999</v>
      </c>
      <c r="G119" s="25">
        <f t="shared" si="134"/>
        <v>11602.2628</v>
      </c>
      <c r="H119" s="25">
        <f t="shared" si="134"/>
        <v>0</v>
      </c>
      <c r="I119" s="25">
        <f>SUM(I114:I118)</f>
        <v>13267.463750000001</v>
      </c>
      <c r="J119" s="25">
        <f t="shared" ref="J119:K119" si="135">SUM(J114:J118)</f>
        <v>6962.1476000000002</v>
      </c>
      <c r="K119" s="25">
        <f t="shared" si="135"/>
        <v>20229.611349999999</v>
      </c>
      <c r="L119" s="25">
        <f>SUM(L114:L118)</f>
        <v>14840.9424</v>
      </c>
      <c r="M119" s="25">
        <f t="shared" ref="M119:N119" si="136">SUM(M114:M118)</f>
        <v>0</v>
      </c>
      <c r="N119" s="25">
        <f t="shared" si="136"/>
        <v>14840.9424</v>
      </c>
      <c r="O119" s="25">
        <f>SUM(O114:O118)</f>
        <v>4844.6181500000002</v>
      </c>
      <c r="P119" s="25">
        <f t="shared" ref="P119:W119" si="137">SUM(P114:P118)</f>
        <v>19685.560550000002</v>
      </c>
      <c r="Q119" s="25">
        <f t="shared" si="137"/>
        <v>544.01955999999984</v>
      </c>
      <c r="R119" s="25">
        <f t="shared" si="137"/>
        <v>20.290771499999998</v>
      </c>
      <c r="S119" s="25">
        <f t="shared" si="137"/>
        <v>0</v>
      </c>
      <c r="T119" s="25">
        <f t="shared" si="137"/>
        <v>7682.9599999999991</v>
      </c>
      <c r="U119" s="25">
        <f t="shared" si="137"/>
        <v>51.552734000000001</v>
      </c>
      <c r="V119" s="25">
        <f t="shared" si="137"/>
        <v>20.209771</v>
      </c>
      <c r="W119" s="25">
        <f t="shared" si="137"/>
        <v>87.999600000000001</v>
      </c>
      <c r="X119" s="25">
        <f>SUM(X114:X118)</f>
        <v>743.97305000000006</v>
      </c>
      <c r="Y119" s="25">
        <f>SUM(Y114:Y118)</f>
        <v>20.290771499999998</v>
      </c>
      <c r="Z119" s="25">
        <f t="shared" ref="Z119" si="138">SUM(Z114:Z118)</f>
        <v>0</v>
      </c>
      <c r="AA119" s="25">
        <f>SUM(AA114:AA118)</f>
        <v>0</v>
      </c>
      <c r="AB119" s="25">
        <f>SUM(AB114:AB118)</f>
        <v>831.97264999999993</v>
      </c>
      <c r="AC119" s="25">
        <f>SUM(AC114:AC118)</f>
        <v>0</v>
      </c>
      <c r="AD119" s="25">
        <f>SUM(AD114:AD118)</f>
        <v>852.18242099999998</v>
      </c>
      <c r="AE119" s="50">
        <f>SUM(AE114:AE118)</f>
        <v>20.290771499999998</v>
      </c>
      <c r="AF119" s="50"/>
      <c r="AG119" s="12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</row>
    <row r="120" spans="1:60" x14ac:dyDescent="0.2"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</row>
    <row r="121" spans="1:60" x14ac:dyDescent="0.2">
      <c r="A121" s="7">
        <v>3</v>
      </c>
      <c r="B121" s="20" t="s">
        <v>69</v>
      </c>
      <c r="C121" s="7">
        <v>1</v>
      </c>
      <c r="D121" s="14" t="s">
        <v>16</v>
      </c>
      <c r="E121" s="28">
        <v>0</v>
      </c>
      <c r="F121" s="24">
        <v>477.125</v>
      </c>
      <c r="G121" s="24">
        <v>0</v>
      </c>
      <c r="H121" s="24">
        <v>0</v>
      </c>
      <c r="I121" s="29">
        <f>E121+F121+G121+H121</f>
        <v>477.125</v>
      </c>
      <c r="J121" s="24">
        <v>2185.2399999999998</v>
      </c>
      <c r="K121" s="29">
        <f>J121+I121</f>
        <v>2662.3649999999998</v>
      </c>
      <c r="L121" s="24">
        <v>2042.355</v>
      </c>
      <c r="M121" s="24">
        <v>0</v>
      </c>
      <c r="N121" s="29">
        <f>L121+M121</f>
        <v>2042.355</v>
      </c>
      <c r="O121" s="24">
        <v>620.00900000000001</v>
      </c>
      <c r="P121" s="29">
        <f>O121+N121</f>
        <v>2662.364</v>
      </c>
      <c r="Q121" s="30">
        <v>0</v>
      </c>
      <c r="R121" s="24">
        <v>0</v>
      </c>
      <c r="S121" s="47">
        <v>17.286200000000001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47">
        <v>17.286100000000001</v>
      </c>
      <c r="AA121" s="24">
        <v>0</v>
      </c>
      <c r="AB121" s="29">
        <f>W121+X121</f>
        <v>0</v>
      </c>
      <c r="AC121" s="29">
        <f>Z121+AA121</f>
        <v>17.286100000000001</v>
      </c>
      <c r="AD121" s="29">
        <f>V121+AB121</f>
        <v>0</v>
      </c>
      <c r="AE121" s="29">
        <f>Y121+AC121</f>
        <v>17.286100000000001</v>
      </c>
      <c r="AF121" s="29"/>
      <c r="AG121" s="12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</row>
    <row r="122" spans="1:60" x14ac:dyDescent="0.2">
      <c r="C122" s="7">
        <v>2</v>
      </c>
      <c r="D122" s="14" t="s">
        <v>17</v>
      </c>
      <c r="E122" s="28">
        <v>0</v>
      </c>
      <c r="F122" s="24">
        <v>0</v>
      </c>
      <c r="G122" s="24">
        <v>3250.3827999999999</v>
      </c>
      <c r="H122" s="24">
        <v>0</v>
      </c>
      <c r="I122" s="29">
        <f t="shared" ref="I122:I125" si="139">E122+F122+G122+H122</f>
        <v>3250.3827999999999</v>
      </c>
      <c r="J122" s="24">
        <v>271.67255</v>
      </c>
      <c r="K122" s="29">
        <f>J122+I122</f>
        <v>3522.0553499999996</v>
      </c>
      <c r="L122" s="24">
        <v>3231.37</v>
      </c>
      <c r="M122" s="24">
        <v>0</v>
      </c>
      <c r="N122" s="29">
        <f t="shared" ref="N122:N125" si="140">L122+M122</f>
        <v>3231.37</v>
      </c>
      <c r="O122" s="24">
        <v>115.68994000000001</v>
      </c>
      <c r="P122" s="29">
        <f>O122+N122</f>
        <v>3347.0599400000001</v>
      </c>
      <c r="Q122" s="30">
        <v>174.98501999999999</v>
      </c>
      <c r="R122" s="24">
        <v>4.6790485000000004</v>
      </c>
      <c r="S122" s="30">
        <v>0</v>
      </c>
      <c r="T122" s="24">
        <v>4303.24</v>
      </c>
      <c r="U122" s="24">
        <v>0</v>
      </c>
      <c r="V122" s="24">
        <v>0</v>
      </c>
      <c r="W122" s="30">
        <v>87.999600000000001</v>
      </c>
      <c r="X122" s="24">
        <v>271.67255</v>
      </c>
      <c r="Y122" s="24">
        <v>4.6790485000000004</v>
      </c>
      <c r="Z122" s="30">
        <v>0</v>
      </c>
      <c r="AA122" s="24">
        <v>0</v>
      </c>
      <c r="AB122" s="29">
        <f>W122+X122</f>
        <v>359.67214999999999</v>
      </c>
      <c r="AC122" s="29">
        <f>Z122+AA122</f>
        <v>0</v>
      </c>
      <c r="AD122" s="29">
        <f>V122+AB122</f>
        <v>359.67214999999999</v>
      </c>
      <c r="AE122" s="29">
        <f t="shared" ref="AE122:AE125" si="141">Y122+AC122</f>
        <v>4.6790485000000004</v>
      </c>
      <c r="AF122" s="29"/>
      <c r="AG122" s="12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</row>
    <row r="123" spans="1:60" x14ac:dyDescent="0.2">
      <c r="C123" s="7">
        <v>3</v>
      </c>
      <c r="D123" s="14" t="s">
        <v>18</v>
      </c>
      <c r="E123" s="28">
        <v>0</v>
      </c>
      <c r="F123" s="24">
        <v>513.84699999999998</v>
      </c>
      <c r="G123" s="24">
        <v>3379.72</v>
      </c>
      <c r="H123" s="24">
        <v>0</v>
      </c>
      <c r="I123" s="29">
        <f t="shared" si="139"/>
        <v>3893.567</v>
      </c>
      <c r="J123" s="24">
        <v>472.30005</v>
      </c>
      <c r="K123" s="29">
        <f>J123+I123</f>
        <v>4365.8670499999998</v>
      </c>
      <c r="L123" s="24">
        <v>3132.8074000000001</v>
      </c>
      <c r="M123" s="24">
        <v>0</v>
      </c>
      <c r="N123" s="29">
        <f t="shared" si="140"/>
        <v>3132.8074000000001</v>
      </c>
      <c r="O123" s="24">
        <v>1233.0491999999999</v>
      </c>
      <c r="P123" s="29">
        <f>O123+N123</f>
        <v>4365.8566000000001</v>
      </c>
      <c r="Q123" s="30">
        <v>0</v>
      </c>
      <c r="R123" s="24">
        <v>0</v>
      </c>
      <c r="S123" s="47">
        <v>69.568600000000004</v>
      </c>
      <c r="T123" s="24">
        <v>3379.72</v>
      </c>
      <c r="U123" s="24">
        <v>51.552734000000001</v>
      </c>
      <c r="V123" s="24">
        <v>20.209771</v>
      </c>
      <c r="W123" s="30">
        <v>0</v>
      </c>
      <c r="X123" s="24">
        <v>472.3005</v>
      </c>
      <c r="Y123" s="24">
        <v>0</v>
      </c>
      <c r="Z123" s="47">
        <v>70.713399999999993</v>
      </c>
      <c r="AA123" s="24">
        <v>0</v>
      </c>
      <c r="AB123" s="29">
        <f>W123+X123</f>
        <v>472.3005</v>
      </c>
      <c r="AC123" s="29">
        <f>Z123+AA123</f>
        <v>70.713399999999993</v>
      </c>
      <c r="AD123" s="29">
        <f>V123+AB123</f>
        <v>492.51027099999999</v>
      </c>
      <c r="AE123" s="29">
        <f t="shared" si="141"/>
        <v>70.713399999999993</v>
      </c>
      <c r="AF123" s="29"/>
      <c r="AG123" s="12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</row>
    <row r="124" spans="1:60" x14ac:dyDescent="0.2">
      <c r="C124" s="7">
        <v>4</v>
      </c>
      <c r="D124" s="7" t="s">
        <v>19</v>
      </c>
      <c r="E124" s="28">
        <v>0</v>
      </c>
      <c r="F124" s="24">
        <v>579.20196999999996</v>
      </c>
      <c r="G124" s="24">
        <v>4351.47</v>
      </c>
      <c r="H124" s="24">
        <v>0</v>
      </c>
      <c r="I124" s="29">
        <f t="shared" si="139"/>
        <v>4930.6719700000003</v>
      </c>
      <c r="J124" s="24">
        <v>1315.5450000000001</v>
      </c>
      <c r="K124" s="29">
        <f>J124+I124</f>
        <v>6246.2169700000004</v>
      </c>
      <c r="L124" s="24">
        <v>3311.51</v>
      </c>
      <c r="M124" s="24">
        <v>0</v>
      </c>
      <c r="N124" s="29">
        <f t="shared" si="140"/>
        <v>3311.51</v>
      </c>
      <c r="O124" s="24">
        <v>2717.39</v>
      </c>
      <c r="P124" s="29">
        <f>O124+N124</f>
        <v>6028.9</v>
      </c>
      <c r="Q124" s="30">
        <v>217.30753999999999</v>
      </c>
      <c r="R124" s="24">
        <v>15.611723</v>
      </c>
      <c r="S124" s="30">
        <v>0</v>
      </c>
      <c r="T124" s="24">
        <v>0</v>
      </c>
      <c r="U124" s="24">
        <v>0</v>
      </c>
      <c r="V124" s="24">
        <v>0</v>
      </c>
      <c r="W124" s="30">
        <v>0</v>
      </c>
      <c r="X124" s="24">
        <v>0</v>
      </c>
      <c r="Y124" s="24">
        <v>15.611723</v>
      </c>
      <c r="Z124" s="30">
        <v>0</v>
      </c>
      <c r="AA124" s="24">
        <v>0</v>
      </c>
      <c r="AB124" s="29">
        <f>W124+X124</f>
        <v>0</v>
      </c>
      <c r="AC124" s="29">
        <f>Z124+AA124</f>
        <v>0</v>
      </c>
      <c r="AD124" s="29">
        <f>V124+AB124</f>
        <v>0</v>
      </c>
      <c r="AE124" s="29">
        <f t="shared" si="141"/>
        <v>15.611723</v>
      </c>
      <c r="AF124" s="29"/>
      <c r="AG124" s="12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</row>
    <row r="125" spans="1:60" x14ac:dyDescent="0.2">
      <c r="C125" s="7">
        <v>5</v>
      </c>
      <c r="D125" s="8" t="s">
        <v>20</v>
      </c>
      <c r="E125" s="28">
        <v>0</v>
      </c>
      <c r="F125" s="24">
        <v>95.026979999999995</v>
      </c>
      <c r="G125" s="24">
        <v>620.69000000000005</v>
      </c>
      <c r="H125" s="24">
        <v>0</v>
      </c>
      <c r="I125" s="29">
        <f t="shared" si="139"/>
        <v>715.71698000000004</v>
      </c>
      <c r="J125" s="24">
        <v>2717.39</v>
      </c>
      <c r="K125" s="29">
        <f>J125+I125</f>
        <v>3433.10698</v>
      </c>
      <c r="L125" s="24">
        <v>3122.9</v>
      </c>
      <c r="M125" s="24">
        <v>0</v>
      </c>
      <c r="N125" s="29">
        <f t="shared" si="140"/>
        <v>3122.9</v>
      </c>
      <c r="O125" s="24">
        <v>158.48000999999999</v>
      </c>
      <c r="P125" s="29">
        <f>O125+N125</f>
        <v>3281.3800099999999</v>
      </c>
      <c r="Q125" s="30">
        <v>151.72699999999986</v>
      </c>
      <c r="R125" s="24">
        <v>0</v>
      </c>
      <c r="S125" s="30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30">
        <v>0</v>
      </c>
      <c r="AA125" s="24">
        <v>0</v>
      </c>
      <c r="AB125" s="29">
        <f>W125+X125</f>
        <v>0</v>
      </c>
      <c r="AC125" s="29">
        <f>Z125+AA125</f>
        <v>0</v>
      </c>
      <c r="AD125" s="29">
        <f>V125+AB125</f>
        <v>0</v>
      </c>
      <c r="AE125" s="29">
        <f t="shared" si="141"/>
        <v>0</v>
      </c>
      <c r="AF125" s="29"/>
      <c r="AG125" s="12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</row>
    <row r="126" spans="1:60" x14ac:dyDescent="0.2">
      <c r="E126" s="25">
        <f t="shared" ref="E126:H126" si="142">SUM(E121:E125)</f>
        <v>0</v>
      </c>
      <c r="F126" s="25">
        <f t="shared" si="142"/>
        <v>1665.2009499999999</v>
      </c>
      <c r="G126" s="25">
        <f t="shared" si="142"/>
        <v>11602.2628</v>
      </c>
      <c r="H126" s="25">
        <f t="shared" si="142"/>
        <v>0</v>
      </c>
      <c r="I126" s="25">
        <f>SUM(I121:I125)</f>
        <v>13267.463750000001</v>
      </c>
      <c r="J126" s="25">
        <f t="shared" ref="J126:K126" si="143">SUM(J121:J125)</f>
        <v>6962.1476000000002</v>
      </c>
      <c r="K126" s="25">
        <f t="shared" si="143"/>
        <v>20229.611349999999</v>
      </c>
      <c r="L126" s="25">
        <f>SUM(L121:L125)</f>
        <v>14840.9424</v>
      </c>
      <c r="M126" s="25">
        <f t="shared" ref="M126:N126" si="144">SUM(M121:M125)</f>
        <v>0</v>
      </c>
      <c r="N126" s="25">
        <f t="shared" si="144"/>
        <v>14840.9424</v>
      </c>
      <c r="O126" s="25">
        <f>SUM(O121:O125)</f>
        <v>4844.6181500000002</v>
      </c>
      <c r="P126" s="25">
        <f t="shared" ref="P126:W126" si="145">SUM(P121:P125)</f>
        <v>19685.560550000002</v>
      </c>
      <c r="Q126" s="25">
        <f t="shared" si="145"/>
        <v>544.01955999999984</v>
      </c>
      <c r="R126" s="25">
        <f t="shared" si="145"/>
        <v>20.290771499999998</v>
      </c>
      <c r="S126" s="25">
        <f t="shared" si="145"/>
        <v>86.854800000000012</v>
      </c>
      <c r="T126" s="25">
        <f t="shared" si="145"/>
        <v>7682.9599999999991</v>
      </c>
      <c r="U126" s="25">
        <f t="shared" si="145"/>
        <v>51.552734000000001</v>
      </c>
      <c r="V126" s="25">
        <f t="shared" si="145"/>
        <v>20.209771</v>
      </c>
      <c r="W126" s="25">
        <f t="shared" si="145"/>
        <v>87.999600000000001</v>
      </c>
      <c r="X126" s="25">
        <f>SUM(X121:X125)</f>
        <v>743.97305000000006</v>
      </c>
      <c r="Y126" s="25">
        <f>SUM(Y121:Y125)</f>
        <v>20.290771499999998</v>
      </c>
      <c r="Z126" s="25">
        <f t="shared" ref="Z126" si="146">SUM(Z121:Z125)</f>
        <v>87.999499999999998</v>
      </c>
      <c r="AA126" s="25">
        <f>SUM(AA121:AA125)</f>
        <v>0</v>
      </c>
      <c r="AB126" s="25">
        <f>SUM(AB121:AB125)</f>
        <v>831.97264999999993</v>
      </c>
      <c r="AC126" s="25">
        <f>SUM(AC121:AC125)</f>
        <v>87.999499999999998</v>
      </c>
      <c r="AD126" s="25">
        <f>SUM(AD121:AD125)</f>
        <v>852.18242099999998</v>
      </c>
      <c r="AE126" s="50">
        <f>SUM(AE121:AE125)</f>
        <v>108.29027149999999</v>
      </c>
      <c r="AF126" s="50"/>
      <c r="AG126" s="12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</row>
    <row r="127" spans="1:60" x14ac:dyDescent="0.2"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 spans="1:60" x14ac:dyDescent="0.2">
      <c r="A128" s="7">
        <v>3</v>
      </c>
      <c r="B128" s="20" t="s">
        <v>85</v>
      </c>
      <c r="C128" s="7">
        <v>1</v>
      </c>
      <c r="D128" s="14" t="s">
        <v>16</v>
      </c>
      <c r="E128" s="28">
        <v>0</v>
      </c>
      <c r="F128" s="24">
        <v>477.125</v>
      </c>
      <c r="G128" s="24">
        <v>0</v>
      </c>
      <c r="H128" s="24">
        <v>0</v>
      </c>
      <c r="I128" s="29">
        <f>E128+F128+G128+H128</f>
        <v>477.125</v>
      </c>
      <c r="J128" s="24">
        <v>2185.2399999999998</v>
      </c>
      <c r="K128" s="29">
        <f>J128+I128</f>
        <v>2662.3649999999998</v>
      </c>
      <c r="L128" s="24">
        <v>2042.355</v>
      </c>
      <c r="M128" s="24">
        <v>0</v>
      </c>
      <c r="N128" s="29">
        <f>L128+M128</f>
        <v>2042.355</v>
      </c>
      <c r="O128" s="24">
        <v>620.00900000000001</v>
      </c>
      <c r="P128" s="29">
        <f>O128+N128</f>
        <v>2662.364</v>
      </c>
      <c r="Q128" s="30">
        <v>0</v>
      </c>
      <c r="R128" s="24">
        <v>0</v>
      </c>
      <c r="S128" s="43">
        <v>542.95410000000004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30">
        <v>17.286100000000001</v>
      </c>
      <c r="AA128" s="33">
        <v>525.66800000000001</v>
      </c>
      <c r="AB128" s="29">
        <f>W128+X128</f>
        <v>0</v>
      </c>
      <c r="AC128" s="29">
        <f>Z128+AA128</f>
        <v>542.95410000000004</v>
      </c>
      <c r="AD128" s="29">
        <f>V128+AB128</f>
        <v>0</v>
      </c>
      <c r="AE128" s="29">
        <f>Y128+AC128</f>
        <v>542.95410000000004</v>
      </c>
      <c r="AF128" s="29"/>
      <c r="AG128" s="12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</row>
    <row r="129" spans="1:60" x14ac:dyDescent="0.2">
      <c r="C129" s="7">
        <v>2</v>
      </c>
      <c r="D129" s="14" t="s">
        <v>17</v>
      </c>
      <c r="E129" s="28">
        <v>0</v>
      </c>
      <c r="F129" s="24">
        <v>0</v>
      </c>
      <c r="G129" s="24">
        <v>3250.3827999999999</v>
      </c>
      <c r="H129" s="24">
        <v>0</v>
      </c>
      <c r="I129" s="29">
        <f t="shared" ref="I129:I132" si="147">E129+F129+G129+H129</f>
        <v>3250.3827999999999</v>
      </c>
      <c r="J129" s="24">
        <v>271.67255</v>
      </c>
      <c r="K129" s="29">
        <f>J129+I129</f>
        <v>3522.0553499999996</v>
      </c>
      <c r="L129" s="24">
        <v>3231.37</v>
      </c>
      <c r="M129" s="24">
        <v>0</v>
      </c>
      <c r="N129" s="29">
        <f t="shared" ref="N129:N132" si="148">L129+M129</f>
        <v>3231.37</v>
      </c>
      <c r="O129" s="24">
        <v>115.68994000000001</v>
      </c>
      <c r="P129" s="29">
        <f>O129+N129</f>
        <v>3347.0599400000001</v>
      </c>
      <c r="Q129" s="30">
        <v>174.98501999999999</v>
      </c>
      <c r="R129" s="24">
        <v>4.6790485000000004</v>
      </c>
      <c r="S129" s="30">
        <v>0</v>
      </c>
      <c r="T129" s="24">
        <v>4303.24</v>
      </c>
      <c r="U129" s="24">
        <v>0</v>
      </c>
      <c r="V129" s="24">
        <v>0</v>
      </c>
      <c r="W129" s="30">
        <v>87.999600000000001</v>
      </c>
      <c r="X129" s="24">
        <v>271.67255</v>
      </c>
      <c r="Y129" s="24">
        <v>4.6790485000000004</v>
      </c>
      <c r="Z129" s="30">
        <v>0</v>
      </c>
      <c r="AA129" s="24">
        <v>0</v>
      </c>
      <c r="AB129" s="29">
        <f>W129+X129</f>
        <v>359.67214999999999</v>
      </c>
      <c r="AC129" s="29">
        <f>Z129+AA129</f>
        <v>0</v>
      </c>
      <c r="AD129" s="29">
        <f>V129+AB129</f>
        <v>359.67214999999999</v>
      </c>
      <c r="AE129" s="29">
        <f t="shared" ref="AE129:AE132" si="149">Y129+AC129</f>
        <v>4.6790485000000004</v>
      </c>
      <c r="AF129" s="29"/>
      <c r="AG129" s="12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</row>
    <row r="130" spans="1:60" x14ac:dyDescent="0.2">
      <c r="C130" s="7">
        <v>3</v>
      </c>
      <c r="D130" s="14" t="s">
        <v>18</v>
      </c>
      <c r="E130" s="28">
        <v>0</v>
      </c>
      <c r="F130" s="24">
        <v>513.84699999999998</v>
      </c>
      <c r="G130" s="24">
        <v>3379.72</v>
      </c>
      <c r="H130" s="24">
        <v>0</v>
      </c>
      <c r="I130" s="29">
        <f t="shared" si="147"/>
        <v>3893.567</v>
      </c>
      <c r="J130" s="24">
        <v>472.30005</v>
      </c>
      <c r="K130" s="29">
        <f>J130+I130</f>
        <v>4365.8670499999998</v>
      </c>
      <c r="L130" s="24">
        <v>3132.8074000000001</v>
      </c>
      <c r="M130" s="24">
        <v>0</v>
      </c>
      <c r="N130" s="29">
        <f t="shared" si="148"/>
        <v>3132.8074000000001</v>
      </c>
      <c r="O130" s="24">
        <v>1233.0491999999999</v>
      </c>
      <c r="P130" s="29">
        <f>O130+N130</f>
        <v>4365.8566000000001</v>
      </c>
      <c r="Q130" s="30">
        <v>0</v>
      </c>
      <c r="R130" s="24">
        <v>0</v>
      </c>
      <c r="S130" s="43">
        <v>289.0204</v>
      </c>
      <c r="T130" s="24">
        <v>3379.72</v>
      </c>
      <c r="U130" s="24">
        <v>51.552734000000001</v>
      </c>
      <c r="V130" s="24">
        <v>20.209771</v>
      </c>
      <c r="W130" s="30">
        <v>0</v>
      </c>
      <c r="X130" s="24">
        <v>472.3005</v>
      </c>
      <c r="Y130" s="24">
        <v>0</v>
      </c>
      <c r="Z130" s="30">
        <v>70.713399999999993</v>
      </c>
      <c r="AA130" s="33">
        <v>218.30699999999999</v>
      </c>
      <c r="AB130" s="29">
        <f>W130+X130</f>
        <v>472.3005</v>
      </c>
      <c r="AC130" s="29">
        <f>Z130+AA130</f>
        <v>289.0204</v>
      </c>
      <c r="AD130" s="29">
        <f>V130+AB130</f>
        <v>492.51027099999999</v>
      </c>
      <c r="AE130" s="29">
        <f t="shared" si="149"/>
        <v>289.0204</v>
      </c>
      <c r="AF130" s="29"/>
      <c r="AG130" s="12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</row>
    <row r="131" spans="1:60" x14ac:dyDescent="0.2">
      <c r="C131" s="7">
        <v>4</v>
      </c>
      <c r="D131" s="7" t="s">
        <v>19</v>
      </c>
      <c r="E131" s="28">
        <v>0</v>
      </c>
      <c r="F131" s="24">
        <v>579.20196999999996</v>
      </c>
      <c r="G131" s="24">
        <v>4351.47</v>
      </c>
      <c r="H131" s="24">
        <v>0</v>
      </c>
      <c r="I131" s="29">
        <f t="shared" si="147"/>
        <v>4930.6719700000003</v>
      </c>
      <c r="J131" s="24">
        <v>1315.5450000000001</v>
      </c>
      <c r="K131" s="29">
        <f>J131+I131</f>
        <v>6246.2169700000004</v>
      </c>
      <c r="L131" s="24">
        <v>3311.51</v>
      </c>
      <c r="M131" s="24">
        <v>0</v>
      </c>
      <c r="N131" s="29">
        <f t="shared" si="148"/>
        <v>3311.51</v>
      </c>
      <c r="O131" s="24">
        <v>2717.39</v>
      </c>
      <c r="P131" s="29">
        <f>O131+N131</f>
        <v>6028.9</v>
      </c>
      <c r="Q131" s="30">
        <v>217.30753999999999</v>
      </c>
      <c r="R131" s="24">
        <v>15.611723</v>
      </c>
      <c r="S131" s="30">
        <v>0</v>
      </c>
      <c r="T131" s="24">
        <v>0</v>
      </c>
      <c r="U131" s="24">
        <v>0</v>
      </c>
      <c r="V131" s="24">
        <v>0</v>
      </c>
      <c r="W131" s="30">
        <v>0</v>
      </c>
      <c r="X131" s="24">
        <v>0</v>
      </c>
      <c r="Y131" s="24">
        <v>15.611723</v>
      </c>
      <c r="Z131" s="30">
        <v>0</v>
      </c>
      <c r="AA131" s="24">
        <v>0</v>
      </c>
      <c r="AB131" s="29">
        <f>W131+X131</f>
        <v>0</v>
      </c>
      <c r="AC131" s="29">
        <f>Z131+AA131</f>
        <v>0</v>
      </c>
      <c r="AD131" s="29">
        <f>V131+AB131</f>
        <v>0</v>
      </c>
      <c r="AE131" s="29">
        <f t="shared" si="149"/>
        <v>15.611723</v>
      </c>
      <c r="AF131" s="29"/>
      <c r="AG131" s="12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</row>
    <row r="132" spans="1:60" x14ac:dyDescent="0.2">
      <c r="C132" s="7">
        <v>5</v>
      </c>
      <c r="D132" s="8" t="s">
        <v>20</v>
      </c>
      <c r="E132" s="28">
        <v>0</v>
      </c>
      <c r="F132" s="24">
        <v>95.026979999999995</v>
      </c>
      <c r="G132" s="24">
        <v>620.69000000000005</v>
      </c>
      <c r="H132" s="24">
        <v>0</v>
      </c>
      <c r="I132" s="29">
        <f t="shared" si="147"/>
        <v>715.71698000000004</v>
      </c>
      <c r="J132" s="24">
        <v>2717.39</v>
      </c>
      <c r="K132" s="29">
        <f>J132+I132</f>
        <v>3433.10698</v>
      </c>
      <c r="L132" s="24">
        <v>3122.9</v>
      </c>
      <c r="M132" s="24">
        <v>0</v>
      </c>
      <c r="N132" s="29">
        <f t="shared" si="148"/>
        <v>3122.9</v>
      </c>
      <c r="O132" s="24">
        <v>158.48000999999999</v>
      </c>
      <c r="P132" s="29">
        <f>O132+N132</f>
        <v>3281.3800099999999</v>
      </c>
      <c r="Q132" s="30">
        <v>151.72699999999986</v>
      </c>
      <c r="R132" s="24">
        <v>0</v>
      </c>
      <c r="S132" s="30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30">
        <v>0</v>
      </c>
      <c r="AA132" s="24">
        <v>0</v>
      </c>
      <c r="AB132" s="29">
        <f>W132+X132</f>
        <v>0</v>
      </c>
      <c r="AC132" s="29">
        <f>Z132+AA132</f>
        <v>0</v>
      </c>
      <c r="AD132" s="29">
        <f>V132+AB132</f>
        <v>0</v>
      </c>
      <c r="AE132" s="29">
        <f t="shared" si="149"/>
        <v>0</v>
      </c>
      <c r="AF132" s="29"/>
      <c r="AG132" s="12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</row>
    <row r="133" spans="1:60" x14ac:dyDescent="0.2">
      <c r="E133" s="25">
        <f t="shared" ref="E133:H133" si="150">SUM(E128:E132)</f>
        <v>0</v>
      </c>
      <c r="F133" s="25">
        <f t="shared" si="150"/>
        <v>1665.2009499999999</v>
      </c>
      <c r="G133" s="25">
        <f t="shared" si="150"/>
        <v>11602.2628</v>
      </c>
      <c r="H133" s="25">
        <f t="shared" si="150"/>
        <v>0</v>
      </c>
      <c r="I133" s="25">
        <f>SUM(I128:I132)</f>
        <v>13267.463750000001</v>
      </c>
      <c r="J133" s="25">
        <f t="shared" ref="J133:K133" si="151">SUM(J128:J132)</f>
        <v>6962.1476000000002</v>
      </c>
      <c r="K133" s="25">
        <f t="shared" si="151"/>
        <v>20229.611349999999</v>
      </c>
      <c r="L133" s="25">
        <f>SUM(L128:L132)</f>
        <v>14840.9424</v>
      </c>
      <c r="M133" s="25">
        <f t="shared" ref="M133:N133" si="152">SUM(M128:M132)</f>
        <v>0</v>
      </c>
      <c r="N133" s="25">
        <f t="shared" si="152"/>
        <v>14840.9424</v>
      </c>
      <c r="O133" s="25">
        <f>SUM(O128:O132)</f>
        <v>4844.6181500000002</v>
      </c>
      <c r="P133" s="25">
        <f t="shared" ref="P133:W133" si="153">SUM(P128:P132)</f>
        <v>19685.560550000002</v>
      </c>
      <c r="Q133" s="25">
        <f t="shared" si="153"/>
        <v>544.01955999999984</v>
      </c>
      <c r="R133" s="25">
        <f t="shared" si="153"/>
        <v>20.290771499999998</v>
      </c>
      <c r="S133" s="25">
        <f t="shared" si="153"/>
        <v>831.97450000000003</v>
      </c>
      <c r="T133" s="25">
        <f t="shared" si="153"/>
        <v>7682.9599999999991</v>
      </c>
      <c r="U133" s="25">
        <f t="shared" si="153"/>
        <v>51.552734000000001</v>
      </c>
      <c r="V133" s="25">
        <f t="shared" si="153"/>
        <v>20.209771</v>
      </c>
      <c r="W133" s="25">
        <f t="shared" si="153"/>
        <v>87.999600000000001</v>
      </c>
      <c r="X133" s="25">
        <f>SUM(X128:X132)</f>
        <v>743.97305000000006</v>
      </c>
      <c r="Y133" s="25">
        <f>SUM(Y128:Y132)</f>
        <v>20.290771499999998</v>
      </c>
      <c r="Z133" s="25">
        <f t="shared" ref="Z133" si="154">SUM(Z128:Z132)</f>
        <v>87.999499999999998</v>
      </c>
      <c r="AA133" s="25">
        <f>SUM(AA128:AA132)</f>
        <v>743.97500000000002</v>
      </c>
      <c r="AB133" s="25">
        <f>SUM(AB128:AB132)</f>
        <v>831.97264999999993</v>
      </c>
      <c r="AC133" s="25">
        <f>SUM(AC128:AC132)</f>
        <v>831.97450000000003</v>
      </c>
      <c r="AD133" s="25">
        <f>SUM(AD128:AD132)</f>
        <v>852.18242099999998</v>
      </c>
      <c r="AE133" s="50">
        <f>SUM(AE128:AE132)</f>
        <v>852.26527150000004</v>
      </c>
      <c r="AF133" s="50"/>
      <c r="AG133" s="12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</row>
    <row r="135" spans="1:60" x14ac:dyDescent="0.2">
      <c r="A135" s="7">
        <v>3</v>
      </c>
      <c r="B135" s="20" t="s">
        <v>86</v>
      </c>
      <c r="C135" s="7">
        <v>1</v>
      </c>
      <c r="D135" s="14" t="s">
        <v>16</v>
      </c>
      <c r="E135" s="28">
        <v>0</v>
      </c>
      <c r="F135" s="24">
        <v>477.125</v>
      </c>
      <c r="G135" s="24">
        <v>0</v>
      </c>
      <c r="H135" s="24">
        <v>0</v>
      </c>
      <c r="I135" s="29">
        <f>E135+F135+G135+H135</f>
        <v>477.125</v>
      </c>
      <c r="J135" s="24">
        <v>2185.2399999999998</v>
      </c>
      <c r="K135" s="29">
        <f>J135+I135</f>
        <v>2662.3649999999998</v>
      </c>
      <c r="L135" s="24">
        <v>2042.355</v>
      </c>
      <c r="M135" s="24">
        <v>0</v>
      </c>
      <c r="N135" s="29">
        <f>L135+M135</f>
        <v>2042.355</v>
      </c>
      <c r="O135" s="24">
        <v>620.00900000000001</v>
      </c>
      <c r="P135" s="29">
        <f>O135+N135</f>
        <v>2662.364</v>
      </c>
      <c r="Q135" s="30">
        <v>0</v>
      </c>
      <c r="R135" s="24">
        <v>0</v>
      </c>
      <c r="S135" s="30">
        <v>542.95410000000004</v>
      </c>
      <c r="T135" s="36">
        <v>0</v>
      </c>
      <c r="U135" s="36">
        <v>0</v>
      </c>
      <c r="V135" s="36">
        <v>0</v>
      </c>
      <c r="W135" s="36">
        <v>0</v>
      </c>
      <c r="X135" s="36">
        <v>0</v>
      </c>
      <c r="Y135" s="36">
        <v>0</v>
      </c>
      <c r="Z135" s="36">
        <v>0</v>
      </c>
      <c r="AA135" s="36">
        <v>0</v>
      </c>
      <c r="AB135" s="29">
        <f>W135+X135</f>
        <v>0</v>
      </c>
      <c r="AC135" s="29">
        <f>Z135+AA135</f>
        <v>0</v>
      </c>
      <c r="AD135" s="29">
        <f>V135+AB135</f>
        <v>0</v>
      </c>
      <c r="AE135" s="29">
        <f>Y135+AC135</f>
        <v>0</v>
      </c>
      <c r="AF135" s="29"/>
      <c r="AG135" s="12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</row>
    <row r="136" spans="1:60" x14ac:dyDescent="0.2">
      <c r="C136" s="7">
        <v>2</v>
      </c>
      <c r="D136" s="14" t="s">
        <v>17</v>
      </c>
      <c r="E136" s="28">
        <v>0</v>
      </c>
      <c r="F136" s="24">
        <v>0</v>
      </c>
      <c r="G136" s="24">
        <v>3250.3827999999999</v>
      </c>
      <c r="H136" s="24">
        <v>0</v>
      </c>
      <c r="I136" s="29">
        <f t="shared" ref="I136:I139" si="155">E136+F136+G136+H136</f>
        <v>3250.3827999999999</v>
      </c>
      <c r="J136" s="24">
        <v>271.67255</v>
      </c>
      <c r="K136" s="29">
        <f>J136+I136</f>
        <v>3522.0553499999996</v>
      </c>
      <c r="L136" s="24">
        <v>3231.37</v>
      </c>
      <c r="M136" s="24">
        <v>0</v>
      </c>
      <c r="N136" s="29">
        <f t="shared" ref="N136:N139" si="156">L136+M136</f>
        <v>3231.37</v>
      </c>
      <c r="O136" s="24">
        <v>115.68994000000001</v>
      </c>
      <c r="P136" s="29">
        <f>O136+N136</f>
        <v>3347.0599400000001</v>
      </c>
      <c r="Q136" s="30">
        <v>174.98501999999999</v>
      </c>
      <c r="R136" s="24">
        <v>4.6790485000000004</v>
      </c>
      <c r="S136" s="30">
        <v>0</v>
      </c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B136" s="29">
        <f>W136+X136</f>
        <v>0</v>
      </c>
      <c r="AC136" s="29">
        <f>Z136+AA136</f>
        <v>0</v>
      </c>
      <c r="AD136" s="29">
        <f>V136+AB136</f>
        <v>0</v>
      </c>
      <c r="AE136" s="29">
        <f t="shared" ref="AE136:AE139" si="157">Y136+AC136</f>
        <v>0</v>
      </c>
      <c r="AF136" s="29"/>
      <c r="AG136" s="12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</row>
    <row r="137" spans="1:60" x14ac:dyDescent="0.2">
      <c r="C137" s="7">
        <v>3</v>
      </c>
      <c r="D137" s="14" t="s">
        <v>18</v>
      </c>
      <c r="E137" s="28">
        <v>0</v>
      </c>
      <c r="F137" s="24">
        <v>513.84699999999998</v>
      </c>
      <c r="G137" s="24">
        <v>3379.72</v>
      </c>
      <c r="H137" s="24">
        <v>0</v>
      </c>
      <c r="I137" s="29">
        <f t="shared" si="155"/>
        <v>3893.567</v>
      </c>
      <c r="J137" s="24">
        <v>472.30005</v>
      </c>
      <c r="K137" s="29">
        <f>J137+I137</f>
        <v>4365.8670499999998</v>
      </c>
      <c r="L137" s="24">
        <v>3132.8074000000001</v>
      </c>
      <c r="M137" s="24">
        <v>0</v>
      </c>
      <c r="N137" s="29">
        <f t="shared" si="156"/>
        <v>3132.8074000000001</v>
      </c>
      <c r="O137" s="24">
        <v>1233.0491999999999</v>
      </c>
      <c r="P137" s="29">
        <f>O137+N137</f>
        <v>4365.8566000000001</v>
      </c>
      <c r="Q137" s="30">
        <v>0</v>
      </c>
      <c r="R137" s="24">
        <v>0</v>
      </c>
      <c r="S137" s="30">
        <v>289.0204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B137" s="29">
        <f>W137+X137</f>
        <v>0</v>
      </c>
      <c r="AC137" s="29">
        <f>Z137+AA137</f>
        <v>0</v>
      </c>
      <c r="AD137" s="29">
        <f>V137+AB137</f>
        <v>0</v>
      </c>
      <c r="AE137" s="29">
        <f t="shared" si="157"/>
        <v>0</v>
      </c>
      <c r="AF137" s="29"/>
      <c r="AG137" s="12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</row>
    <row r="138" spans="1:60" x14ac:dyDescent="0.2">
      <c r="C138" s="7">
        <v>4</v>
      </c>
      <c r="D138" s="7" t="s">
        <v>19</v>
      </c>
      <c r="E138" s="28">
        <v>0</v>
      </c>
      <c r="F138" s="24">
        <v>579.20196999999996</v>
      </c>
      <c r="G138" s="24">
        <v>4351.47</v>
      </c>
      <c r="H138" s="24">
        <v>0</v>
      </c>
      <c r="I138" s="29">
        <f t="shared" si="155"/>
        <v>4930.6719700000003</v>
      </c>
      <c r="J138" s="24">
        <v>1315.5450000000001</v>
      </c>
      <c r="K138" s="29">
        <f>J138+I138</f>
        <v>6246.2169700000004</v>
      </c>
      <c r="L138" s="24">
        <v>3311.51</v>
      </c>
      <c r="M138" s="24">
        <v>0</v>
      </c>
      <c r="N138" s="29">
        <f t="shared" si="156"/>
        <v>3311.51</v>
      </c>
      <c r="O138" s="24">
        <v>2717.39</v>
      </c>
      <c r="P138" s="29">
        <f>O138+N138</f>
        <v>6028.9</v>
      </c>
      <c r="Q138" s="30">
        <v>217.30753999999999</v>
      </c>
      <c r="R138" s="24">
        <v>15.611723</v>
      </c>
      <c r="S138" s="30">
        <v>0</v>
      </c>
      <c r="T138" s="36">
        <v>0</v>
      </c>
      <c r="U138" s="36">
        <v>0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  <c r="AB138" s="29">
        <f>W138+X138</f>
        <v>0</v>
      </c>
      <c r="AC138" s="29">
        <f>Z138+AA138</f>
        <v>0</v>
      </c>
      <c r="AD138" s="29">
        <f>V138+AB138</f>
        <v>0</v>
      </c>
      <c r="AE138" s="29">
        <f t="shared" si="157"/>
        <v>0</v>
      </c>
      <c r="AF138" s="29"/>
      <c r="AG138" s="12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</row>
    <row r="139" spans="1:60" x14ac:dyDescent="0.2">
      <c r="C139" s="7">
        <v>5</v>
      </c>
      <c r="D139" s="8" t="s">
        <v>20</v>
      </c>
      <c r="E139" s="28">
        <v>0</v>
      </c>
      <c r="F139" s="24">
        <v>95.026979999999995</v>
      </c>
      <c r="G139" s="24">
        <v>620.69000000000005</v>
      </c>
      <c r="H139" s="24">
        <v>0</v>
      </c>
      <c r="I139" s="29">
        <f t="shared" si="155"/>
        <v>715.71698000000004</v>
      </c>
      <c r="J139" s="24">
        <v>2717.39</v>
      </c>
      <c r="K139" s="29">
        <f>J139+I139</f>
        <v>3433.10698</v>
      </c>
      <c r="L139" s="24">
        <v>3122.9</v>
      </c>
      <c r="M139" s="24">
        <v>0</v>
      </c>
      <c r="N139" s="29">
        <f t="shared" si="156"/>
        <v>3122.9</v>
      </c>
      <c r="O139" s="24">
        <v>158.48000999999999</v>
      </c>
      <c r="P139" s="29">
        <f>O139+N139</f>
        <v>3281.3800099999999</v>
      </c>
      <c r="Q139" s="30">
        <v>151.72699999999986</v>
      </c>
      <c r="R139" s="24">
        <v>0</v>
      </c>
      <c r="S139" s="30">
        <v>0</v>
      </c>
      <c r="T139" s="36">
        <v>0</v>
      </c>
      <c r="U139" s="36">
        <v>0</v>
      </c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  <c r="AB139" s="29">
        <f>W139+X139</f>
        <v>0</v>
      </c>
      <c r="AC139" s="29">
        <f>Z139+AA139</f>
        <v>0</v>
      </c>
      <c r="AD139" s="29">
        <f>V139+AB139</f>
        <v>0</v>
      </c>
      <c r="AE139" s="29">
        <f t="shared" si="157"/>
        <v>0</v>
      </c>
      <c r="AF139" s="29"/>
      <c r="AG139" s="12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</row>
    <row r="140" spans="1:60" x14ac:dyDescent="0.2">
      <c r="E140" s="25">
        <f t="shared" ref="E140:H140" si="158">SUM(E135:E139)</f>
        <v>0</v>
      </c>
      <c r="F140" s="25">
        <f t="shared" si="158"/>
        <v>1665.2009499999999</v>
      </c>
      <c r="G140" s="25">
        <f t="shared" si="158"/>
        <v>11602.2628</v>
      </c>
      <c r="H140" s="25">
        <f t="shared" si="158"/>
        <v>0</v>
      </c>
      <c r="I140" s="25">
        <f>SUM(I135:I139)</f>
        <v>13267.463750000001</v>
      </c>
      <c r="J140" s="25">
        <f t="shared" ref="J140:K140" si="159">SUM(J135:J139)</f>
        <v>6962.1476000000002</v>
      </c>
      <c r="K140" s="25">
        <f t="shared" si="159"/>
        <v>20229.611349999999</v>
      </c>
      <c r="L140" s="25">
        <f>SUM(L135:L139)</f>
        <v>14840.9424</v>
      </c>
      <c r="M140" s="25">
        <f t="shared" ref="M140:N140" si="160">SUM(M135:M139)</f>
        <v>0</v>
      </c>
      <c r="N140" s="25">
        <f t="shared" si="160"/>
        <v>14840.9424</v>
      </c>
      <c r="O140" s="25">
        <f>SUM(O135:O139)</f>
        <v>4844.6181500000002</v>
      </c>
      <c r="P140" s="25">
        <f t="shared" ref="P140:W140" si="161">SUM(P135:P139)</f>
        <v>19685.560550000002</v>
      </c>
      <c r="Q140" s="25">
        <f t="shared" si="161"/>
        <v>544.01955999999984</v>
      </c>
      <c r="R140" s="25">
        <f t="shared" si="161"/>
        <v>20.290771499999998</v>
      </c>
      <c r="S140" s="25">
        <f t="shared" si="161"/>
        <v>831.97450000000003</v>
      </c>
      <c r="T140" s="25">
        <f t="shared" si="161"/>
        <v>0</v>
      </c>
      <c r="U140" s="25">
        <f t="shared" si="161"/>
        <v>0</v>
      </c>
      <c r="V140" s="25">
        <f t="shared" si="161"/>
        <v>0</v>
      </c>
      <c r="W140" s="25">
        <f t="shared" si="161"/>
        <v>0</v>
      </c>
      <c r="X140" s="25">
        <f>SUM(X135:X139)</f>
        <v>0</v>
      </c>
      <c r="Y140" s="25">
        <f>SUM(Y135:Y139)</f>
        <v>0</v>
      </c>
      <c r="Z140" s="25">
        <f t="shared" ref="Z140" si="162">SUM(Z135:Z139)</f>
        <v>0</v>
      </c>
      <c r="AA140" s="25">
        <f>SUM(AA135:AA139)</f>
        <v>0</v>
      </c>
      <c r="AB140" s="25">
        <f>SUM(AB135:AB139)</f>
        <v>0</v>
      </c>
      <c r="AC140" s="25">
        <f>SUM(AC135:AC139)</f>
        <v>0</v>
      </c>
      <c r="AD140" s="25">
        <f>SUM(AD135:AD139)</f>
        <v>0</v>
      </c>
      <c r="AE140" s="50">
        <f>SUM(AE135:AE139)</f>
        <v>0</v>
      </c>
      <c r="AF140" s="50"/>
      <c r="AG140" s="12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</row>
    <row r="142" spans="1:60" x14ac:dyDescent="0.2">
      <c r="A142" s="7">
        <v>3</v>
      </c>
      <c r="B142" s="20" t="s">
        <v>64</v>
      </c>
      <c r="C142" s="7">
        <v>1</v>
      </c>
      <c r="D142" s="14" t="s">
        <v>16</v>
      </c>
      <c r="E142" s="28">
        <v>0</v>
      </c>
      <c r="F142" s="24">
        <v>477.125</v>
      </c>
      <c r="G142" s="24">
        <v>0</v>
      </c>
      <c r="H142" s="24">
        <v>0</v>
      </c>
      <c r="I142" s="29">
        <f>E142+F142+G142+H142</f>
        <v>477.125</v>
      </c>
      <c r="J142" s="24">
        <v>2185.2399999999998</v>
      </c>
      <c r="K142" s="29">
        <f>J142+I142</f>
        <v>2662.3649999999998</v>
      </c>
      <c r="L142" s="24">
        <v>2042.355</v>
      </c>
      <c r="M142" s="24">
        <v>0</v>
      </c>
      <c r="N142" s="29">
        <f>L142+M142</f>
        <v>2042.355</v>
      </c>
      <c r="O142" s="24">
        <v>620.00900000000001</v>
      </c>
      <c r="P142" s="29">
        <f>O142+N142</f>
        <v>2662.364</v>
      </c>
      <c r="Q142" s="30">
        <v>0</v>
      </c>
      <c r="R142" s="24">
        <v>0</v>
      </c>
      <c r="S142" s="30">
        <v>542.95410000000004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9">
        <f>W142+X142</f>
        <v>0</v>
      </c>
      <c r="AC142" s="29">
        <f>Z142+AA142</f>
        <v>0</v>
      </c>
      <c r="AD142" s="29">
        <f>V142+AB142</f>
        <v>0</v>
      </c>
      <c r="AE142" s="29">
        <f>Y142+AC142</f>
        <v>0</v>
      </c>
      <c r="AF142" s="29"/>
      <c r="AG142" s="12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</row>
    <row r="143" spans="1:60" x14ac:dyDescent="0.2">
      <c r="C143" s="7">
        <v>2</v>
      </c>
      <c r="D143" s="14" t="s">
        <v>17</v>
      </c>
      <c r="E143" s="28">
        <v>0</v>
      </c>
      <c r="F143" s="24">
        <v>0</v>
      </c>
      <c r="G143" s="24">
        <v>3250.3827999999999</v>
      </c>
      <c r="H143" s="24">
        <v>0</v>
      </c>
      <c r="I143" s="29">
        <f t="shared" ref="I143:I146" si="163">E143+F143+G143+H143</f>
        <v>3250.3827999999999</v>
      </c>
      <c r="J143" s="31">
        <v>266.99349999999998</v>
      </c>
      <c r="K143" s="29">
        <f>J143+I143</f>
        <v>3517.3762999999999</v>
      </c>
      <c r="L143" s="24">
        <v>3231.37</v>
      </c>
      <c r="M143" s="24">
        <v>0</v>
      </c>
      <c r="N143" s="29">
        <f t="shared" ref="N143:N146" si="164">L143+M143</f>
        <v>3231.37</v>
      </c>
      <c r="O143" s="24">
        <v>115.68994000000001</v>
      </c>
      <c r="P143" s="29">
        <f>O143+N143</f>
        <v>3347.0599400000001</v>
      </c>
      <c r="Q143" s="42">
        <v>170.30597</v>
      </c>
      <c r="R143" s="24">
        <v>4.6790485000000004</v>
      </c>
      <c r="S143" s="30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9">
        <f>W143+X143</f>
        <v>0</v>
      </c>
      <c r="AC143" s="29">
        <f>Z143+AA143</f>
        <v>0</v>
      </c>
      <c r="AD143" s="29">
        <f>V143+AB143</f>
        <v>0</v>
      </c>
      <c r="AE143" s="29">
        <f t="shared" ref="AE143:AE146" si="165">Y143+AC143</f>
        <v>0</v>
      </c>
      <c r="AF143" s="29"/>
      <c r="AG143" s="12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</row>
    <row r="144" spans="1:60" x14ac:dyDescent="0.2">
      <c r="C144" s="7">
        <v>3</v>
      </c>
      <c r="D144" s="14" t="s">
        <v>18</v>
      </c>
      <c r="E144" s="28">
        <v>0</v>
      </c>
      <c r="F144" s="24">
        <v>513.84699999999998</v>
      </c>
      <c r="G144" s="24">
        <v>3379.72</v>
      </c>
      <c r="H144" s="24">
        <v>0</v>
      </c>
      <c r="I144" s="29">
        <f t="shared" si="163"/>
        <v>3893.567</v>
      </c>
      <c r="J144" s="24">
        <v>472.30005</v>
      </c>
      <c r="K144" s="29">
        <f>J144+I144</f>
        <v>4365.8670499999998</v>
      </c>
      <c r="L144" s="24">
        <v>3132.8074000000001</v>
      </c>
      <c r="M144" s="24">
        <v>0</v>
      </c>
      <c r="N144" s="29">
        <f t="shared" si="164"/>
        <v>3132.8074000000001</v>
      </c>
      <c r="O144" s="24">
        <v>1233.0491999999999</v>
      </c>
      <c r="P144" s="29">
        <f>O144+N144</f>
        <v>4365.8566000000001</v>
      </c>
      <c r="Q144" s="30">
        <v>0</v>
      </c>
      <c r="R144" s="24">
        <v>0</v>
      </c>
      <c r="S144" s="30">
        <v>289.0204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9">
        <f>W144+X144</f>
        <v>0</v>
      </c>
      <c r="AC144" s="29">
        <f>Z144+AA144</f>
        <v>0</v>
      </c>
      <c r="AD144" s="29">
        <f>V144+AB144</f>
        <v>0</v>
      </c>
      <c r="AE144" s="29">
        <f t="shared" si="165"/>
        <v>0</v>
      </c>
      <c r="AF144" s="29"/>
      <c r="AG144" s="12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</row>
    <row r="145" spans="1:60" x14ac:dyDescent="0.2">
      <c r="C145" s="7">
        <v>4</v>
      </c>
      <c r="D145" s="7" t="s">
        <v>19</v>
      </c>
      <c r="E145" s="28">
        <v>0</v>
      </c>
      <c r="F145" s="24">
        <v>579.20196999999996</v>
      </c>
      <c r="G145" s="24">
        <v>4351.47</v>
      </c>
      <c r="H145" s="24">
        <v>0</v>
      </c>
      <c r="I145" s="29">
        <f t="shared" si="163"/>
        <v>4930.6719700000003</v>
      </c>
      <c r="J145" s="31">
        <v>1299.9332999999999</v>
      </c>
      <c r="K145" s="29">
        <f>J145+I145</f>
        <v>6230.60527</v>
      </c>
      <c r="L145" s="24">
        <v>3311.51</v>
      </c>
      <c r="M145" s="24">
        <v>0</v>
      </c>
      <c r="N145" s="29">
        <f t="shared" si="164"/>
        <v>3311.51</v>
      </c>
      <c r="O145" s="24">
        <v>2717.39</v>
      </c>
      <c r="P145" s="29">
        <f>O145+N145</f>
        <v>6028.9</v>
      </c>
      <c r="Q145" s="42">
        <v>201.69582</v>
      </c>
      <c r="R145" s="24">
        <v>15.611723</v>
      </c>
      <c r="S145" s="30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9">
        <f>W145+X145</f>
        <v>0</v>
      </c>
      <c r="AC145" s="29">
        <f>Z145+AA145</f>
        <v>0</v>
      </c>
      <c r="AD145" s="29">
        <f>V145+AB145</f>
        <v>0</v>
      </c>
      <c r="AE145" s="29">
        <f t="shared" si="165"/>
        <v>0</v>
      </c>
      <c r="AF145" s="29"/>
      <c r="AG145" s="12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</row>
    <row r="146" spans="1:60" x14ac:dyDescent="0.2">
      <c r="C146" s="7">
        <v>5</v>
      </c>
      <c r="D146" s="8" t="s">
        <v>20</v>
      </c>
      <c r="E146" s="28">
        <v>0</v>
      </c>
      <c r="F146" s="24">
        <v>95.026979999999995</v>
      </c>
      <c r="G146" s="24">
        <v>620.69000000000005</v>
      </c>
      <c r="H146" s="24">
        <v>0</v>
      </c>
      <c r="I146" s="29">
        <f t="shared" si="163"/>
        <v>715.71698000000004</v>
      </c>
      <c r="J146" s="24">
        <v>2717.39</v>
      </c>
      <c r="K146" s="29">
        <f>J146+I146</f>
        <v>3433.10698</v>
      </c>
      <c r="L146" s="24">
        <v>3122.9</v>
      </c>
      <c r="M146" s="24">
        <v>0</v>
      </c>
      <c r="N146" s="29">
        <f t="shared" si="164"/>
        <v>3122.9</v>
      </c>
      <c r="O146" s="24">
        <v>158.48000999999999</v>
      </c>
      <c r="P146" s="29">
        <f>O146+N146</f>
        <v>3281.3800099999999</v>
      </c>
      <c r="Q146" s="30">
        <v>151.72699999999986</v>
      </c>
      <c r="R146" s="24">
        <v>0</v>
      </c>
      <c r="S146" s="30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9">
        <f>W146+X146</f>
        <v>0</v>
      </c>
      <c r="AC146" s="29">
        <f>Z146+AA146</f>
        <v>0</v>
      </c>
      <c r="AD146" s="29">
        <f>V146+AB146</f>
        <v>0</v>
      </c>
      <c r="AE146" s="29">
        <f t="shared" si="165"/>
        <v>0</v>
      </c>
      <c r="AF146" s="29"/>
      <c r="AG146" s="12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</row>
    <row r="147" spans="1:60" x14ac:dyDescent="0.2">
      <c r="E147" s="25">
        <f t="shared" ref="E147:H147" si="166">SUM(E142:E146)</f>
        <v>0</v>
      </c>
      <c r="F147" s="25">
        <f t="shared" si="166"/>
        <v>1665.2009499999999</v>
      </c>
      <c r="G147" s="25">
        <f t="shared" si="166"/>
        <v>11602.2628</v>
      </c>
      <c r="H147" s="25">
        <f t="shared" si="166"/>
        <v>0</v>
      </c>
      <c r="I147" s="25">
        <f>SUM(I142:I146)</f>
        <v>13267.463750000001</v>
      </c>
      <c r="J147" s="25">
        <f t="shared" ref="J147:K147" si="167">SUM(J142:J146)</f>
        <v>6941.8568500000001</v>
      </c>
      <c r="K147" s="25">
        <f t="shared" si="167"/>
        <v>20209.320599999999</v>
      </c>
      <c r="L147" s="25">
        <f>SUM(L142:L146)</f>
        <v>14840.9424</v>
      </c>
      <c r="M147" s="25">
        <f t="shared" ref="M147:N147" si="168">SUM(M142:M146)</f>
        <v>0</v>
      </c>
      <c r="N147" s="25">
        <f t="shared" si="168"/>
        <v>14840.9424</v>
      </c>
      <c r="O147" s="25">
        <f>SUM(O142:O146)</f>
        <v>4844.6181500000002</v>
      </c>
      <c r="P147" s="25">
        <f t="shared" ref="P147:W147" si="169">SUM(P142:P146)</f>
        <v>19685.560550000002</v>
      </c>
      <c r="Q147" s="25">
        <f t="shared" si="169"/>
        <v>523.72878999999989</v>
      </c>
      <c r="R147" s="25">
        <f t="shared" si="169"/>
        <v>20.290771499999998</v>
      </c>
      <c r="S147" s="25">
        <f t="shared" si="169"/>
        <v>831.97450000000003</v>
      </c>
      <c r="T147" s="25">
        <f t="shared" si="169"/>
        <v>0</v>
      </c>
      <c r="U147" s="25">
        <f t="shared" si="169"/>
        <v>0</v>
      </c>
      <c r="V147" s="25">
        <f t="shared" si="169"/>
        <v>0</v>
      </c>
      <c r="W147" s="25">
        <f t="shared" si="169"/>
        <v>0</v>
      </c>
      <c r="X147" s="25">
        <f>SUM(X142:X146)</f>
        <v>0</v>
      </c>
      <c r="Y147" s="25">
        <f>SUM(Y142:Y146)</f>
        <v>0</v>
      </c>
      <c r="Z147" s="25">
        <f t="shared" ref="Z147" si="170">SUM(Z142:Z146)</f>
        <v>0</v>
      </c>
      <c r="AA147" s="25">
        <f>SUM(AA142:AA146)</f>
        <v>0</v>
      </c>
      <c r="AB147" s="25">
        <f>SUM(AB142:AB146)</f>
        <v>0</v>
      </c>
      <c r="AC147" s="25">
        <f>SUM(AC142:AC146)</f>
        <v>0</v>
      </c>
      <c r="AD147" s="25">
        <f>SUM(AD142:AD146)</f>
        <v>0</v>
      </c>
      <c r="AE147" s="50">
        <f>SUM(AE142:AE146)</f>
        <v>0</v>
      </c>
      <c r="AF147" s="50"/>
      <c r="AG147" s="12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</row>
    <row r="149" spans="1:60" x14ac:dyDescent="0.2">
      <c r="A149" s="7">
        <v>3</v>
      </c>
      <c r="B149" s="20" t="s">
        <v>66</v>
      </c>
      <c r="C149" s="7">
        <v>1</v>
      </c>
      <c r="D149" s="18" t="s">
        <v>16</v>
      </c>
      <c r="E149" s="28">
        <v>0</v>
      </c>
      <c r="F149" s="46">
        <v>0</v>
      </c>
      <c r="G149" s="24">
        <v>0</v>
      </c>
      <c r="H149" s="24">
        <v>0</v>
      </c>
      <c r="I149" s="29">
        <f>E149+F149+G149+H149</f>
        <v>0</v>
      </c>
      <c r="J149" s="46">
        <v>2119.4128000000001</v>
      </c>
      <c r="K149" s="29">
        <f>J149+I149</f>
        <v>2119.4128000000001</v>
      </c>
      <c r="L149" s="24">
        <v>2042.355</v>
      </c>
      <c r="M149" s="24">
        <v>0</v>
      </c>
      <c r="N149" s="29">
        <f>L149+M149</f>
        <v>2042.355</v>
      </c>
      <c r="O149" s="46">
        <v>77.055115000000001</v>
      </c>
      <c r="P149" s="29">
        <f>O149+N149</f>
        <v>2119.4101150000001</v>
      </c>
      <c r="Q149" s="30">
        <v>0</v>
      </c>
      <c r="R149" s="24">
        <v>0</v>
      </c>
      <c r="S149" s="30">
        <v>542.95410000000004</v>
      </c>
      <c r="T149" s="24">
        <v>0</v>
      </c>
      <c r="U149" s="24">
        <v>0</v>
      </c>
      <c r="V149" s="24">
        <v>0</v>
      </c>
      <c r="W149" s="46">
        <v>65.827150000000003</v>
      </c>
      <c r="X149" s="24">
        <v>0</v>
      </c>
      <c r="Y149" s="24">
        <v>0</v>
      </c>
      <c r="Z149" s="24">
        <v>0</v>
      </c>
      <c r="AA149" s="24">
        <v>0</v>
      </c>
      <c r="AB149" s="29">
        <f>W149+X149</f>
        <v>65.827150000000003</v>
      </c>
      <c r="AC149" s="29">
        <f>Z149+AA149</f>
        <v>0</v>
      </c>
      <c r="AD149" s="29">
        <f>V149+AB149</f>
        <v>65.827150000000003</v>
      </c>
      <c r="AE149" s="29">
        <f>Y149+AC149</f>
        <v>0</v>
      </c>
      <c r="AF149" s="29"/>
      <c r="AG149" s="12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</row>
    <row r="150" spans="1:60" x14ac:dyDescent="0.2">
      <c r="C150" s="7">
        <v>2</v>
      </c>
      <c r="D150" s="14" t="s">
        <v>17</v>
      </c>
      <c r="E150" s="28">
        <v>0</v>
      </c>
      <c r="F150" s="24">
        <v>0</v>
      </c>
      <c r="G150" s="24">
        <v>3250.3827999999999</v>
      </c>
      <c r="H150" s="24">
        <v>0</v>
      </c>
      <c r="I150" s="29">
        <f t="shared" ref="I150:I153" si="171">E150+F150+G150+H150</f>
        <v>3250.3827999999999</v>
      </c>
      <c r="J150" s="24">
        <v>266.99349999999998</v>
      </c>
      <c r="K150" s="29">
        <f>J150+I150</f>
        <v>3517.3762999999999</v>
      </c>
      <c r="L150" s="24">
        <v>3231.37</v>
      </c>
      <c r="M150" s="24">
        <v>0</v>
      </c>
      <c r="N150" s="29">
        <f t="shared" ref="N150:N153" si="172">L150+M150</f>
        <v>3231.37</v>
      </c>
      <c r="O150" s="24">
        <v>115.68994000000001</v>
      </c>
      <c r="P150" s="29">
        <f>O150+N150</f>
        <v>3347.0599400000001</v>
      </c>
      <c r="Q150" s="30">
        <v>170.30597</v>
      </c>
      <c r="R150" s="24">
        <v>4.6790485000000004</v>
      </c>
      <c r="S150" s="30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9">
        <f>W150+X150</f>
        <v>0</v>
      </c>
      <c r="AC150" s="29">
        <f>Z150+AA150</f>
        <v>0</v>
      </c>
      <c r="AD150" s="29">
        <f>V150+AB150</f>
        <v>0</v>
      </c>
      <c r="AE150" s="29">
        <f t="shared" ref="AE150:AE153" si="173">Y150+AC150</f>
        <v>0</v>
      </c>
      <c r="AF150" s="29"/>
      <c r="AG150" s="12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</row>
    <row r="151" spans="1:60" x14ac:dyDescent="0.2">
      <c r="C151" s="7">
        <v>3</v>
      </c>
      <c r="D151" s="14" t="s">
        <v>18</v>
      </c>
      <c r="E151" s="28">
        <v>0</v>
      </c>
      <c r="F151" s="46">
        <v>224.827</v>
      </c>
      <c r="G151" s="24">
        <v>3379.72</v>
      </c>
      <c r="H151" s="24">
        <v>0</v>
      </c>
      <c r="I151" s="29">
        <f t="shared" si="171"/>
        <v>3604.5469999999996</v>
      </c>
      <c r="J151" s="24">
        <v>472.30005</v>
      </c>
      <c r="K151" s="29">
        <f>J151+I151</f>
        <v>4076.8470499999994</v>
      </c>
      <c r="L151" s="24">
        <v>3132.8074000000001</v>
      </c>
      <c r="M151" s="24">
        <v>0</v>
      </c>
      <c r="N151" s="29">
        <f t="shared" si="172"/>
        <v>3132.8074000000001</v>
      </c>
      <c r="O151" s="46">
        <v>944.02919999999995</v>
      </c>
      <c r="P151" s="29">
        <f>O151+N151</f>
        <v>4076.8366000000001</v>
      </c>
      <c r="Q151" s="30">
        <v>0</v>
      </c>
      <c r="R151" s="24">
        <v>0</v>
      </c>
      <c r="S151" s="30">
        <v>289.0204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9">
        <f>W151+X151</f>
        <v>0</v>
      </c>
      <c r="AC151" s="29">
        <f>Z151+AA151</f>
        <v>0</v>
      </c>
      <c r="AD151" s="29">
        <f>V151+AB151</f>
        <v>0</v>
      </c>
      <c r="AE151" s="29">
        <f t="shared" si="173"/>
        <v>0</v>
      </c>
      <c r="AF151" s="29"/>
      <c r="AG151" s="12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</row>
    <row r="152" spans="1:60" x14ac:dyDescent="0.2">
      <c r="C152" s="7">
        <v>4</v>
      </c>
      <c r="D152" s="7" t="s">
        <v>19</v>
      </c>
      <c r="E152" s="28">
        <v>0</v>
      </c>
      <c r="F152" s="24">
        <v>579.20196999999996</v>
      </c>
      <c r="G152" s="24">
        <v>4351.47</v>
      </c>
      <c r="H152" s="24">
        <v>0</v>
      </c>
      <c r="I152" s="29">
        <f t="shared" si="171"/>
        <v>4930.6719700000003</v>
      </c>
      <c r="J152" s="24">
        <v>1299.9332999999999</v>
      </c>
      <c r="K152" s="29">
        <f>J152+I152</f>
        <v>6230.60527</v>
      </c>
      <c r="L152" s="24">
        <v>3311.51</v>
      </c>
      <c r="M152" s="24">
        <v>0</v>
      </c>
      <c r="N152" s="29">
        <f t="shared" si="172"/>
        <v>3311.51</v>
      </c>
      <c r="O152" s="24">
        <v>2717.39</v>
      </c>
      <c r="P152" s="29">
        <f>O152+N152</f>
        <v>6028.9</v>
      </c>
      <c r="Q152" s="30">
        <v>201.69582</v>
      </c>
      <c r="R152" s="24">
        <v>15.611723</v>
      </c>
      <c r="S152" s="30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9">
        <f>W152+X152</f>
        <v>0</v>
      </c>
      <c r="AC152" s="29">
        <f>Z152+AA152</f>
        <v>0</v>
      </c>
      <c r="AD152" s="29">
        <f>V152+AB152</f>
        <v>0</v>
      </c>
      <c r="AE152" s="29">
        <f t="shared" si="173"/>
        <v>0</v>
      </c>
      <c r="AF152" s="29"/>
      <c r="AG152" s="12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</row>
    <row r="153" spans="1:60" x14ac:dyDescent="0.2">
      <c r="C153" s="7">
        <v>5</v>
      </c>
      <c r="D153" s="8" t="s">
        <v>20</v>
      </c>
      <c r="E153" s="28">
        <v>0</v>
      </c>
      <c r="F153" s="24">
        <v>95.026979999999995</v>
      </c>
      <c r="G153" s="24">
        <v>620.69000000000005</v>
      </c>
      <c r="H153" s="24">
        <v>0</v>
      </c>
      <c r="I153" s="29">
        <f t="shared" si="171"/>
        <v>715.71698000000004</v>
      </c>
      <c r="J153" s="24">
        <v>2717.39</v>
      </c>
      <c r="K153" s="29">
        <f>J153+I153</f>
        <v>3433.10698</v>
      </c>
      <c r="L153" s="24">
        <v>3122.9</v>
      </c>
      <c r="M153" s="24">
        <v>0</v>
      </c>
      <c r="N153" s="29">
        <f t="shared" si="172"/>
        <v>3122.9</v>
      </c>
      <c r="O153" s="24">
        <v>158.48000999999999</v>
      </c>
      <c r="P153" s="29">
        <f>O153+N153</f>
        <v>3281.3800099999999</v>
      </c>
      <c r="Q153" s="30">
        <v>151.72699999999986</v>
      </c>
      <c r="R153" s="24">
        <v>0</v>
      </c>
      <c r="S153" s="30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9">
        <f>W153+X153</f>
        <v>0</v>
      </c>
      <c r="AC153" s="29">
        <f>Z153+AA153</f>
        <v>0</v>
      </c>
      <c r="AD153" s="29">
        <f>V153+AB153</f>
        <v>0</v>
      </c>
      <c r="AE153" s="29">
        <f t="shared" si="173"/>
        <v>0</v>
      </c>
      <c r="AF153" s="29"/>
      <c r="AG153" s="12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</row>
    <row r="154" spans="1:60" x14ac:dyDescent="0.2">
      <c r="E154" s="25">
        <f t="shared" ref="E154:H154" si="174">SUM(E149:E153)</f>
        <v>0</v>
      </c>
      <c r="F154" s="25">
        <f t="shared" si="174"/>
        <v>899.05594999999994</v>
      </c>
      <c r="G154" s="25">
        <f t="shared" si="174"/>
        <v>11602.2628</v>
      </c>
      <c r="H154" s="25">
        <f t="shared" si="174"/>
        <v>0</v>
      </c>
      <c r="I154" s="25">
        <f>SUM(I149:I153)</f>
        <v>12501.31875</v>
      </c>
      <c r="J154" s="25">
        <f t="shared" ref="J154:K154" si="175">SUM(J149:J153)</f>
        <v>6876.0296500000004</v>
      </c>
      <c r="K154" s="25">
        <f t="shared" si="175"/>
        <v>19377.348399999999</v>
      </c>
      <c r="L154" s="25">
        <f>SUM(L149:L153)</f>
        <v>14840.9424</v>
      </c>
      <c r="M154" s="25">
        <f t="shared" ref="M154:N154" si="176">SUM(M149:M153)</f>
        <v>0</v>
      </c>
      <c r="N154" s="25">
        <f t="shared" si="176"/>
        <v>14840.9424</v>
      </c>
      <c r="O154" s="25">
        <f>SUM(O149:O153)</f>
        <v>4012.6442649999999</v>
      </c>
      <c r="P154" s="25">
        <f t="shared" ref="P154:W154" si="177">SUM(P149:P153)</f>
        <v>18853.586664999999</v>
      </c>
      <c r="Q154" s="25">
        <f t="shared" si="177"/>
        <v>523.72878999999989</v>
      </c>
      <c r="R154" s="25">
        <f t="shared" si="177"/>
        <v>20.290771499999998</v>
      </c>
      <c r="S154" s="25">
        <f t="shared" si="177"/>
        <v>831.97450000000003</v>
      </c>
      <c r="T154" s="25">
        <f t="shared" si="177"/>
        <v>0</v>
      </c>
      <c r="U154" s="25">
        <f t="shared" si="177"/>
        <v>0</v>
      </c>
      <c r="V154" s="25">
        <f t="shared" si="177"/>
        <v>0</v>
      </c>
      <c r="W154" s="25">
        <f t="shared" si="177"/>
        <v>65.827150000000003</v>
      </c>
      <c r="X154" s="25">
        <f>SUM(X149:X153)</f>
        <v>0</v>
      </c>
      <c r="Y154" s="25">
        <f>SUM(Y149:Y153)</f>
        <v>0</v>
      </c>
      <c r="Z154" s="25">
        <f t="shared" ref="Z154" si="178">SUM(Z149:Z153)</f>
        <v>0</v>
      </c>
      <c r="AA154" s="25">
        <f>SUM(AA149:AA153)</f>
        <v>0</v>
      </c>
      <c r="AB154" s="25">
        <f>SUM(AB149:AB153)</f>
        <v>65.827150000000003</v>
      </c>
      <c r="AC154" s="25">
        <f>SUM(AC149:AC153)</f>
        <v>0</v>
      </c>
      <c r="AD154" s="25">
        <f>SUM(AD149:AD153)</f>
        <v>65.827150000000003</v>
      </c>
      <c r="AE154" s="50">
        <f>SUM(AE149:AE153)</f>
        <v>0</v>
      </c>
      <c r="AF154" s="50"/>
      <c r="AG154" s="12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</row>
    <row r="156" spans="1:60" x14ac:dyDescent="0.2">
      <c r="A156" s="7">
        <v>3</v>
      </c>
      <c r="B156" s="20" t="s">
        <v>73</v>
      </c>
      <c r="C156" s="7">
        <v>1</v>
      </c>
      <c r="D156" s="14" t="s">
        <v>16</v>
      </c>
      <c r="E156" s="28">
        <v>0</v>
      </c>
      <c r="F156" s="24">
        <v>0</v>
      </c>
      <c r="G156" s="24">
        <v>0</v>
      </c>
      <c r="H156" s="24">
        <v>0</v>
      </c>
      <c r="I156" s="29">
        <f>E156+F156+G156+H156</f>
        <v>0</v>
      </c>
      <c r="J156" s="24">
        <v>2119.4128000000001</v>
      </c>
      <c r="K156" s="29">
        <f>J156+I156</f>
        <v>2119.4128000000001</v>
      </c>
      <c r="L156" s="24">
        <v>2042.355</v>
      </c>
      <c r="M156" s="24">
        <v>0</v>
      </c>
      <c r="N156" s="29">
        <f>L156+M156</f>
        <v>2042.355</v>
      </c>
      <c r="O156" s="24">
        <v>77.055115000000001</v>
      </c>
      <c r="P156" s="29">
        <f>O156+N156</f>
        <v>2119.4101150000001</v>
      </c>
      <c r="Q156" s="30">
        <v>0</v>
      </c>
      <c r="R156" s="24">
        <v>0</v>
      </c>
      <c r="S156" s="30">
        <v>542.95410000000004</v>
      </c>
      <c r="T156" s="24">
        <v>0</v>
      </c>
      <c r="U156" s="24">
        <v>0</v>
      </c>
      <c r="V156" s="24">
        <v>0</v>
      </c>
      <c r="W156" s="24">
        <v>65.827150000000003</v>
      </c>
      <c r="X156" s="24">
        <v>0</v>
      </c>
      <c r="Y156" s="24">
        <v>0</v>
      </c>
      <c r="Z156" s="24">
        <v>0</v>
      </c>
      <c r="AA156" s="24">
        <v>0</v>
      </c>
      <c r="AB156" s="29">
        <f>W156+X156</f>
        <v>65.827150000000003</v>
      </c>
      <c r="AC156" s="29">
        <f>Z156+AA156</f>
        <v>0</v>
      </c>
      <c r="AD156" s="29">
        <f>V156+AB156</f>
        <v>65.827150000000003</v>
      </c>
      <c r="AE156" s="29">
        <f>Y156+AC156</f>
        <v>0</v>
      </c>
      <c r="AF156" s="29"/>
      <c r="AG156" s="12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</row>
    <row r="157" spans="1:60" x14ac:dyDescent="0.2">
      <c r="C157" s="7">
        <v>2</v>
      </c>
      <c r="D157" s="14" t="s">
        <v>17</v>
      </c>
      <c r="E157" s="28">
        <v>0</v>
      </c>
      <c r="F157" s="24">
        <v>0</v>
      </c>
      <c r="G157" s="24">
        <v>3250.3827999999999</v>
      </c>
      <c r="H157" s="24">
        <v>0</v>
      </c>
      <c r="I157" s="29">
        <f t="shared" ref="I157:I160" si="179">E157+F157+G157+H157</f>
        <v>3250.3827999999999</v>
      </c>
      <c r="J157" s="24">
        <v>266.99349999999998</v>
      </c>
      <c r="K157" s="29">
        <f>J157+I157</f>
        <v>3517.3762999999999</v>
      </c>
      <c r="L157" s="24">
        <v>3231.37</v>
      </c>
      <c r="M157" s="24">
        <v>0</v>
      </c>
      <c r="N157" s="29">
        <f t="shared" ref="N157:N160" si="180">L157+M157</f>
        <v>3231.37</v>
      </c>
      <c r="O157" s="24">
        <v>115.68994000000001</v>
      </c>
      <c r="P157" s="29">
        <f>O157+N157</f>
        <v>3347.0599400000001</v>
      </c>
      <c r="Q157" s="30">
        <v>170.30597</v>
      </c>
      <c r="R157" s="24">
        <v>4.6790485000000004</v>
      </c>
      <c r="S157" s="30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0</v>
      </c>
      <c r="AA157" s="24">
        <v>0</v>
      </c>
      <c r="AB157" s="29">
        <f>W157+X157</f>
        <v>0</v>
      </c>
      <c r="AC157" s="29">
        <f>Z157+AA157</f>
        <v>0</v>
      </c>
      <c r="AD157" s="29">
        <f>V157+AB157</f>
        <v>0</v>
      </c>
      <c r="AE157" s="29">
        <f t="shared" ref="AE157:AE160" si="181">Y157+AC157</f>
        <v>0</v>
      </c>
      <c r="AF157" s="29"/>
      <c r="AG157" s="12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</row>
    <row r="158" spans="1:60" x14ac:dyDescent="0.2">
      <c r="C158" s="7">
        <v>3</v>
      </c>
      <c r="D158" s="14" t="s">
        <v>18</v>
      </c>
      <c r="E158" s="28">
        <v>0</v>
      </c>
      <c r="F158" s="24">
        <v>224.827</v>
      </c>
      <c r="G158" s="24">
        <v>3379.72</v>
      </c>
      <c r="H158" s="24">
        <v>0</v>
      </c>
      <c r="I158" s="29">
        <f t="shared" si="179"/>
        <v>3604.5469999999996</v>
      </c>
      <c r="J158" s="24">
        <v>472.30005</v>
      </c>
      <c r="K158" s="29">
        <f>J158+I158</f>
        <v>4076.8470499999994</v>
      </c>
      <c r="L158" s="24">
        <v>3132.8074000000001</v>
      </c>
      <c r="M158" s="24">
        <v>0</v>
      </c>
      <c r="N158" s="29">
        <f t="shared" si="180"/>
        <v>3132.8074000000001</v>
      </c>
      <c r="O158" s="24">
        <v>944.02919999999995</v>
      </c>
      <c r="P158" s="29">
        <f>O158+N158</f>
        <v>4076.8366000000001</v>
      </c>
      <c r="Q158" s="30">
        <v>0</v>
      </c>
      <c r="R158" s="24">
        <v>0</v>
      </c>
      <c r="S158" s="30">
        <v>289.0204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9">
        <f>W158+X158</f>
        <v>0</v>
      </c>
      <c r="AC158" s="29">
        <f>Z158+AA158</f>
        <v>0</v>
      </c>
      <c r="AD158" s="29">
        <f>V158+AB158</f>
        <v>0</v>
      </c>
      <c r="AE158" s="29">
        <f t="shared" si="181"/>
        <v>0</v>
      </c>
      <c r="AF158" s="29"/>
      <c r="AG158" s="12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</row>
    <row r="159" spans="1:60" x14ac:dyDescent="0.2">
      <c r="C159" s="7">
        <v>4</v>
      </c>
      <c r="D159" s="7" t="s">
        <v>19</v>
      </c>
      <c r="E159" s="28">
        <v>0</v>
      </c>
      <c r="F159" s="24">
        <v>579.20196999999996</v>
      </c>
      <c r="G159" s="24">
        <v>4351.47</v>
      </c>
      <c r="H159" s="24">
        <v>0</v>
      </c>
      <c r="I159" s="29">
        <f t="shared" si="179"/>
        <v>4930.6719700000003</v>
      </c>
      <c r="J159" s="24">
        <v>1299.9332999999999</v>
      </c>
      <c r="K159" s="29">
        <f>J159+I159</f>
        <v>6230.60527</v>
      </c>
      <c r="L159" s="24">
        <v>3311.51</v>
      </c>
      <c r="M159" s="24">
        <v>0</v>
      </c>
      <c r="N159" s="29">
        <f t="shared" si="180"/>
        <v>3311.51</v>
      </c>
      <c r="O159" s="24">
        <v>2717.39</v>
      </c>
      <c r="P159" s="29">
        <f>O159+N159</f>
        <v>6028.9</v>
      </c>
      <c r="Q159" s="30">
        <v>201.69582</v>
      </c>
      <c r="R159" s="24">
        <v>15.611723</v>
      </c>
      <c r="S159" s="30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9">
        <f>W159+X159</f>
        <v>0</v>
      </c>
      <c r="AC159" s="29">
        <f>Z159+AA159</f>
        <v>0</v>
      </c>
      <c r="AD159" s="29">
        <f>V159+AB159</f>
        <v>0</v>
      </c>
      <c r="AE159" s="29">
        <f t="shared" si="181"/>
        <v>0</v>
      </c>
      <c r="AF159" s="29"/>
      <c r="AG159" s="12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</row>
    <row r="160" spans="1:60" x14ac:dyDescent="0.2">
      <c r="C160" s="7">
        <v>5</v>
      </c>
      <c r="D160" s="8" t="s">
        <v>20</v>
      </c>
      <c r="E160" s="28">
        <v>0</v>
      </c>
      <c r="F160" s="24">
        <v>95.026979999999995</v>
      </c>
      <c r="G160" s="24">
        <v>620.69000000000005</v>
      </c>
      <c r="H160" s="24">
        <v>0</v>
      </c>
      <c r="I160" s="29">
        <f t="shared" si="179"/>
        <v>715.71698000000004</v>
      </c>
      <c r="J160" s="24">
        <v>2717.39</v>
      </c>
      <c r="K160" s="29">
        <f>J160+I160</f>
        <v>3433.10698</v>
      </c>
      <c r="L160" s="24">
        <v>3122.9</v>
      </c>
      <c r="M160" s="24">
        <v>0</v>
      </c>
      <c r="N160" s="29">
        <f t="shared" si="180"/>
        <v>3122.9</v>
      </c>
      <c r="O160" s="24">
        <v>158.48000999999999</v>
      </c>
      <c r="P160" s="29">
        <f>O160+N160</f>
        <v>3281.3800099999999</v>
      </c>
      <c r="Q160" s="30">
        <v>151.72699999999986</v>
      </c>
      <c r="R160" s="24">
        <v>0</v>
      </c>
      <c r="S160" s="30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9">
        <f>W160+X160</f>
        <v>0</v>
      </c>
      <c r="AC160" s="29">
        <f>Z160+AA160</f>
        <v>0</v>
      </c>
      <c r="AD160" s="29">
        <f>V160+AB160</f>
        <v>0</v>
      </c>
      <c r="AE160" s="29">
        <f t="shared" si="181"/>
        <v>0</v>
      </c>
      <c r="AF160" s="29"/>
      <c r="AG160" s="12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</row>
    <row r="161" spans="1:60" x14ac:dyDescent="0.2">
      <c r="E161" s="25">
        <f t="shared" ref="E161:H161" si="182">SUM(E156:E160)</f>
        <v>0</v>
      </c>
      <c r="F161" s="25">
        <f t="shared" si="182"/>
        <v>899.05594999999994</v>
      </c>
      <c r="G161" s="25">
        <f t="shared" si="182"/>
        <v>11602.2628</v>
      </c>
      <c r="H161" s="25">
        <f t="shared" si="182"/>
        <v>0</v>
      </c>
      <c r="I161" s="25">
        <f>SUM(I156:I160)</f>
        <v>12501.31875</v>
      </c>
      <c r="J161" s="25">
        <f t="shared" ref="J161:K161" si="183">SUM(J156:J160)</f>
        <v>6876.0296500000004</v>
      </c>
      <c r="K161" s="25">
        <f t="shared" si="183"/>
        <v>19377.348399999999</v>
      </c>
      <c r="L161" s="25">
        <f>SUM(L156:L160)</f>
        <v>14840.9424</v>
      </c>
      <c r="M161" s="25">
        <f t="shared" ref="M161:N161" si="184">SUM(M156:M160)</f>
        <v>0</v>
      </c>
      <c r="N161" s="25">
        <f t="shared" si="184"/>
        <v>14840.9424</v>
      </c>
      <c r="O161" s="25">
        <f>SUM(O156:O160)</f>
        <v>4012.6442649999999</v>
      </c>
      <c r="P161" s="25">
        <f t="shared" ref="P161:W161" si="185">SUM(P156:P160)</f>
        <v>18853.586664999999</v>
      </c>
      <c r="Q161" s="25">
        <f t="shared" si="185"/>
        <v>523.72878999999989</v>
      </c>
      <c r="R161" s="25">
        <f t="shared" si="185"/>
        <v>20.290771499999998</v>
      </c>
      <c r="S161" s="25">
        <f t="shared" si="185"/>
        <v>831.97450000000003</v>
      </c>
      <c r="T161" s="25">
        <f t="shared" si="185"/>
        <v>0</v>
      </c>
      <c r="U161" s="25">
        <f t="shared" si="185"/>
        <v>0</v>
      </c>
      <c r="V161" s="25">
        <f t="shared" si="185"/>
        <v>0</v>
      </c>
      <c r="W161" s="25">
        <f t="shared" si="185"/>
        <v>65.827150000000003</v>
      </c>
      <c r="X161" s="25">
        <f>SUM(X156:X160)</f>
        <v>0</v>
      </c>
      <c r="Y161" s="25">
        <f>SUM(Y156:Y160)</f>
        <v>0</v>
      </c>
      <c r="Z161" s="25">
        <f t="shared" ref="Z161" si="186">SUM(Z156:Z160)</f>
        <v>0</v>
      </c>
      <c r="AA161" s="25">
        <f>SUM(AA156:AA160)</f>
        <v>0</v>
      </c>
      <c r="AB161" s="25">
        <f>SUM(AB156:AB160)</f>
        <v>65.827150000000003</v>
      </c>
      <c r="AC161" s="25">
        <f>SUM(AC156:AC160)</f>
        <v>0</v>
      </c>
      <c r="AD161" s="25">
        <f>SUM(AD156:AD160)</f>
        <v>65.827150000000003</v>
      </c>
      <c r="AE161" s="50">
        <f>SUM(AE156:AE160)</f>
        <v>0</v>
      </c>
      <c r="AF161" s="50"/>
      <c r="AG161" s="12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</row>
    <row r="163" spans="1:60" x14ac:dyDescent="0.2">
      <c r="A163" s="7">
        <v>4</v>
      </c>
      <c r="B163" s="20" t="s">
        <v>67</v>
      </c>
      <c r="C163" s="7">
        <v>1</v>
      </c>
      <c r="D163" s="14" t="s">
        <v>16</v>
      </c>
      <c r="E163" s="28">
        <v>0</v>
      </c>
      <c r="F163" s="24">
        <v>0</v>
      </c>
      <c r="G163" s="24">
        <v>0</v>
      </c>
      <c r="H163" s="24">
        <v>0</v>
      </c>
      <c r="I163" s="29">
        <f>E163+F163+G163+H163</f>
        <v>0</v>
      </c>
      <c r="J163" s="24">
        <v>2119.4128000000001</v>
      </c>
      <c r="K163" s="29">
        <f>J163+I163</f>
        <v>2119.4128000000001</v>
      </c>
      <c r="L163" s="24">
        <v>2042.355</v>
      </c>
      <c r="M163" s="24">
        <v>0</v>
      </c>
      <c r="N163" s="29">
        <f>L163+M163</f>
        <v>2042.355</v>
      </c>
      <c r="O163" s="24">
        <v>77.055115000000001</v>
      </c>
      <c r="P163" s="29">
        <f>O163+N163</f>
        <v>2119.4101150000001</v>
      </c>
      <c r="Q163" s="30">
        <v>0</v>
      </c>
      <c r="R163" s="36">
        <v>0</v>
      </c>
      <c r="S163" s="45">
        <v>542.95410000000004</v>
      </c>
      <c r="T163" s="24">
        <v>0</v>
      </c>
      <c r="U163" s="24">
        <v>0</v>
      </c>
      <c r="V163" s="24">
        <v>0</v>
      </c>
      <c r="W163" s="24">
        <v>65.827150000000003</v>
      </c>
      <c r="X163" s="24">
        <v>0</v>
      </c>
      <c r="Y163" s="24">
        <v>0</v>
      </c>
      <c r="Z163" s="24">
        <v>0</v>
      </c>
      <c r="AA163" s="24">
        <v>0</v>
      </c>
      <c r="AB163" s="29">
        <f>W163+X163</f>
        <v>65.827150000000003</v>
      </c>
      <c r="AC163" s="29">
        <f>Z163+AA163</f>
        <v>0</v>
      </c>
      <c r="AD163" s="29">
        <f>V163+AB163</f>
        <v>65.827150000000003</v>
      </c>
      <c r="AE163" s="29">
        <f>Y163+AC163</f>
        <v>0</v>
      </c>
      <c r="AF163" s="29"/>
      <c r="AG163" s="12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</row>
    <row r="164" spans="1:60" x14ac:dyDescent="0.2">
      <c r="C164" s="7">
        <v>2</v>
      </c>
      <c r="D164" s="14" t="s">
        <v>17</v>
      </c>
      <c r="E164" s="28">
        <v>0</v>
      </c>
      <c r="F164" s="24">
        <v>0</v>
      </c>
      <c r="G164" s="24">
        <v>3250.3827999999999</v>
      </c>
      <c r="H164" s="24">
        <v>0</v>
      </c>
      <c r="I164" s="29">
        <f t="shared" ref="I164:I167" si="187">E164+F164+G164+H164</f>
        <v>3250.3827999999999</v>
      </c>
      <c r="J164" s="24">
        <v>266.99349999999998</v>
      </c>
      <c r="K164" s="29">
        <f>J164+I164</f>
        <v>3517.3762999999999</v>
      </c>
      <c r="L164" s="24">
        <v>3231.37</v>
      </c>
      <c r="M164" s="24">
        <v>0</v>
      </c>
      <c r="N164" s="29">
        <f t="shared" ref="N164:N167" si="188">L164+M164</f>
        <v>3231.37</v>
      </c>
      <c r="O164" s="24">
        <v>115.68994000000001</v>
      </c>
      <c r="P164" s="29">
        <f>O164+N164</f>
        <v>3347.0599400000001</v>
      </c>
      <c r="Q164" s="30">
        <v>170.30597</v>
      </c>
      <c r="R164" s="36">
        <v>4.6790485000000004</v>
      </c>
      <c r="S164" s="45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9">
        <f>W164+X164</f>
        <v>0</v>
      </c>
      <c r="AC164" s="29">
        <f>Z164+AA164</f>
        <v>0</v>
      </c>
      <c r="AD164" s="29">
        <f>V164+AB164</f>
        <v>0</v>
      </c>
      <c r="AE164" s="29">
        <f t="shared" ref="AE164:AE167" si="189">Y164+AC164</f>
        <v>0</v>
      </c>
      <c r="AF164" s="29"/>
      <c r="AG164" s="12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</row>
    <row r="165" spans="1:60" x14ac:dyDescent="0.2">
      <c r="C165" s="7">
        <v>3</v>
      </c>
      <c r="D165" s="14" t="s">
        <v>18</v>
      </c>
      <c r="E165" s="28">
        <v>0</v>
      </c>
      <c r="F165" s="24">
        <v>224.827</v>
      </c>
      <c r="G165" s="24">
        <v>3379.72</v>
      </c>
      <c r="H165" s="24">
        <v>0</v>
      </c>
      <c r="I165" s="29">
        <f t="shared" si="187"/>
        <v>3604.5469999999996</v>
      </c>
      <c r="J165" s="24">
        <v>472.30005</v>
      </c>
      <c r="K165" s="29">
        <f>J165+I165</f>
        <v>4076.8470499999994</v>
      </c>
      <c r="L165" s="24">
        <v>3132.8074000000001</v>
      </c>
      <c r="M165" s="24">
        <v>0</v>
      </c>
      <c r="N165" s="29">
        <f t="shared" si="188"/>
        <v>3132.8074000000001</v>
      </c>
      <c r="O165" s="24">
        <v>944.02919999999995</v>
      </c>
      <c r="P165" s="29">
        <f>O165+N165</f>
        <v>4076.8366000000001</v>
      </c>
      <c r="Q165" s="30">
        <v>0</v>
      </c>
      <c r="R165" s="36">
        <v>0</v>
      </c>
      <c r="S165" s="45">
        <v>289.0204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9">
        <f>W165+X165</f>
        <v>0</v>
      </c>
      <c r="AC165" s="29">
        <f>Z165+AA165</f>
        <v>0</v>
      </c>
      <c r="AD165" s="29">
        <f>V165+AB165</f>
        <v>0</v>
      </c>
      <c r="AE165" s="29">
        <f t="shared" si="189"/>
        <v>0</v>
      </c>
      <c r="AF165" s="29"/>
      <c r="AG165" s="12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</row>
    <row r="166" spans="1:60" x14ac:dyDescent="0.2">
      <c r="C166" s="7">
        <v>4</v>
      </c>
      <c r="D166" s="7" t="s">
        <v>19</v>
      </c>
      <c r="E166" s="28">
        <v>0</v>
      </c>
      <c r="F166" s="24">
        <v>579.20196999999996</v>
      </c>
      <c r="G166" s="24">
        <v>4351.47</v>
      </c>
      <c r="H166" s="24">
        <v>0</v>
      </c>
      <c r="I166" s="29">
        <f t="shared" si="187"/>
        <v>4930.6719700000003</v>
      </c>
      <c r="J166" s="24">
        <v>1299.9332999999999</v>
      </c>
      <c r="K166" s="29">
        <f>J166+I166</f>
        <v>6230.60527</v>
      </c>
      <c r="L166" s="24">
        <v>3311.51</v>
      </c>
      <c r="M166" s="24">
        <v>0</v>
      </c>
      <c r="N166" s="29">
        <f t="shared" si="188"/>
        <v>3311.51</v>
      </c>
      <c r="O166" s="24">
        <v>2717.39</v>
      </c>
      <c r="P166" s="29">
        <f>O166+N166</f>
        <v>6028.9</v>
      </c>
      <c r="Q166" s="30">
        <v>201.69582</v>
      </c>
      <c r="R166" s="36">
        <v>15.611723</v>
      </c>
      <c r="S166" s="45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9">
        <f>W166+X166</f>
        <v>0</v>
      </c>
      <c r="AC166" s="29">
        <f>Z166+AA166</f>
        <v>0</v>
      </c>
      <c r="AD166" s="29">
        <f>V166+AB166</f>
        <v>0</v>
      </c>
      <c r="AE166" s="29">
        <f t="shared" si="189"/>
        <v>0</v>
      </c>
      <c r="AF166" s="29"/>
      <c r="AG166" s="12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</row>
    <row r="167" spans="1:60" x14ac:dyDescent="0.2">
      <c r="C167" s="7">
        <v>5</v>
      </c>
      <c r="D167" s="8" t="s">
        <v>20</v>
      </c>
      <c r="E167" s="28">
        <v>0</v>
      </c>
      <c r="F167" s="24">
        <v>95.026979999999995</v>
      </c>
      <c r="G167" s="24">
        <v>620.69000000000005</v>
      </c>
      <c r="H167" s="24">
        <v>0</v>
      </c>
      <c r="I167" s="29">
        <f t="shared" si="187"/>
        <v>715.71698000000004</v>
      </c>
      <c r="J167" s="24">
        <v>2717.39</v>
      </c>
      <c r="K167" s="29">
        <f>J167+I167</f>
        <v>3433.10698</v>
      </c>
      <c r="L167" s="24">
        <v>3122.9</v>
      </c>
      <c r="M167" s="24">
        <v>0</v>
      </c>
      <c r="N167" s="29">
        <f t="shared" si="188"/>
        <v>3122.9</v>
      </c>
      <c r="O167" s="24">
        <v>158.48000999999999</v>
      </c>
      <c r="P167" s="29">
        <f>O167+N167</f>
        <v>3281.3800099999999</v>
      </c>
      <c r="Q167" s="30">
        <v>151.72699999999986</v>
      </c>
      <c r="R167" s="36">
        <v>0</v>
      </c>
      <c r="S167" s="45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9">
        <f>W167+X167</f>
        <v>0</v>
      </c>
      <c r="AC167" s="29">
        <f>Z167+AA167</f>
        <v>0</v>
      </c>
      <c r="AD167" s="29">
        <f>V167+AB167</f>
        <v>0</v>
      </c>
      <c r="AE167" s="29">
        <f t="shared" si="189"/>
        <v>0</v>
      </c>
      <c r="AF167" s="29"/>
      <c r="AG167" s="12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</row>
    <row r="168" spans="1:60" x14ac:dyDescent="0.2">
      <c r="E168" s="25">
        <f t="shared" ref="E168:H168" si="190">SUM(E163:E167)</f>
        <v>0</v>
      </c>
      <c r="F168" s="25">
        <f t="shared" si="190"/>
        <v>899.05594999999994</v>
      </c>
      <c r="G168" s="25">
        <f t="shared" si="190"/>
        <v>11602.2628</v>
      </c>
      <c r="H168" s="25">
        <f t="shared" si="190"/>
        <v>0</v>
      </c>
      <c r="I168" s="25">
        <f>SUM(I163:I167)</f>
        <v>12501.31875</v>
      </c>
      <c r="J168" s="25">
        <f t="shared" ref="J168:K168" si="191">SUM(J163:J167)</f>
        <v>6876.0296500000004</v>
      </c>
      <c r="K168" s="25">
        <f t="shared" si="191"/>
        <v>19377.348399999999</v>
      </c>
      <c r="L168" s="25">
        <f>SUM(L163:L167)</f>
        <v>14840.9424</v>
      </c>
      <c r="M168" s="25">
        <f t="shared" ref="M168:N168" si="192">SUM(M163:M167)</f>
        <v>0</v>
      </c>
      <c r="N168" s="25">
        <f t="shared" si="192"/>
        <v>14840.9424</v>
      </c>
      <c r="O168" s="25">
        <f>SUM(O163:O167)</f>
        <v>4012.6442649999999</v>
      </c>
      <c r="P168" s="25">
        <f t="shared" ref="P168:W168" si="193">SUM(P163:P167)</f>
        <v>18853.586664999999</v>
      </c>
      <c r="Q168" s="25">
        <f t="shared" si="193"/>
        <v>523.72878999999989</v>
      </c>
      <c r="R168" s="25">
        <f t="shared" si="193"/>
        <v>20.290771499999998</v>
      </c>
      <c r="S168" s="25">
        <f t="shared" si="193"/>
        <v>831.97450000000003</v>
      </c>
      <c r="T168" s="25">
        <f t="shared" si="193"/>
        <v>0</v>
      </c>
      <c r="U168" s="25">
        <f t="shared" si="193"/>
        <v>0</v>
      </c>
      <c r="V168" s="25">
        <f t="shared" si="193"/>
        <v>0</v>
      </c>
      <c r="W168" s="25">
        <f t="shared" si="193"/>
        <v>65.827150000000003</v>
      </c>
      <c r="X168" s="25">
        <f>SUM(X163:X167)</f>
        <v>0</v>
      </c>
      <c r="Y168" s="25">
        <f>SUM(Y163:Y167)</f>
        <v>0</v>
      </c>
      <c r="Z168" s="25">
        <f t="shared" ref="Z168" si="194">SUM(Z163:Z167)</f>
        <v>0</v>
      </c>
      <c r="AA168" s="25">
        <f>SUM(AA163:AA167)</f>
        <v>0</v>
      </c>
      <c r="AB168" s="25">
        <f>SUM(AB163:AB167)</f>
        <v>65.827150000000003</v>
      </c>
      <c r="AC168" s="25">
        <f>SUM(AC163:AC167)</f>
        <v>0</v>
      </c>
      <c r="AD168" s="25">
        <f>SUM(AD163:AD167)</f>
        <v>65.827150000000003</v>
      </c>
      <c r="AE168" s="50">
        <f>SUM(AE163:AE167)</f>
        <v>0</v>
      </c>
      <c r="AF168" s="50"/>
      <c r="AG168" s="12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FCBF-4ACE-1E46-BBFC-DD3484120DFB}">
  <dimension ref="A1:AS89"/>
  <sheetViews>
    <sheetView zoomScale="135" zoomScaleNormal="100" workbookViewId="0">
      <pane xSplit="3" ySplit="1" topLeftCell="D19" activePane="bottomRight" state="frozen"/>
      <selection pane="topRight" activeCell="C1" sqref="C1"/>
      <selection pane="bottomLeft" activeCell="A2" sqref="A2"/>
      <selection pane="bottomRight" activeCell="C59" sqref="C59"/>
    </sheetView>
  </sheetViews>
  <sheetFormatPr baseColWidth="10" defaultRowHeight="16" x14ac:dyDescent="0.2"/>
  <cols>
    <col min="1" max="1" width="2.85546875" style="6" customWidth="1"/>
    <col min="2" max="2" width="3" style="6" bestFit="1" customWidth="1"/>
    <col min="3" max="3" width="3.28515625" style="21" bestFit="1" customWidth="1"/>
    <col min="4" max="4" width="4.85546875" style="6" bestFit="1" customWidth="1"/>
    <col min="5" max="5" width="5.7109375" style="28" bestFit="1" customWidth="1"/>
    <col min="6" max="8" width="6.5703125" style="28" bestFit="1" customWidth="1"/>
    <col min="9" max="9" width="5.7109375" style="28" bestFit="1" customWidth="1"/>
    <col min="10" max="10" width="6.5703125" style="28" bestFit="1" customWidth="1"/>
    <col min="11" max="11" width="7.5703125" style="26" customWidth="1"/>
    <col min="12" max="12" width="6.5703125" style="28" bestFit="1" customWidth="1"/>
    <col min="13" max="14" width="5.7109375" style="28" bestFit="1" customWidth="1"/>
    <col min="15" max="17" width="6.5703125" style="28" bestFit="1" customWidth="1"/>
    <col min="18" max="18" width="7.5703125" style="26" customWidth="1"/>
    <col min="19" max="19" width="6.5703125" style="28" customWidth="1"/>
    <col min="20" max="20" width="4" style="28" bestFit="1" customWidth="1"/>
    <col min="21" max="21" width="4.85546875" style="28" bestFit="1" customWidth="1"/>
    <col min="22" max="23" width="4" style="28" bestFit="1" customWidth="1"/>
    <col min="24" max="24" width="5.7109375" style="28" bestFit="1" customWidth="1"/>
    <col min="25" max="25" width="7.5703125" style="26" customWidth="1"/>
    <col min="26" max="26" width="7.28515625" style="28" bestFit="1" customWidth="1"/>
    <col min="27" max="27" width="5.7109375" style="28" bestFit="1" customWidth="1"/>
    <col min="28" max="30" width="4" style="28" bestFit="1" customWidth="1"/>
    <col min="31" max="31" width="5.7109375" style="28" bestFit="1" customWidth="1"/>
    <col min="32" max="32" width="7.5703125" style="26" customWidth="1"/>
    <col min="33" max="33" width="6.7109375" style="28" customWidth="1"/>
    <col min="34" max="35" width="5.7109375" style="28" bestFit="1" customWidth="1"/>
    <col min="36" max="37" width="4" style="28" bestFit="1" customWidth="1"/>
    <col min="38" max="38" width="6.5703125" style="28" bestFit="1" customWidth="1"/>
    <col min="39" max="39" width="7.5703125" style="26" customWidth="1"/>
    <col min="40" max="40" width="6.5703125" style="28" bestFit="1" customWidth="1"/>
    <col min="41" max="41" width="5.7109375" style="28" bestFit="1" customWidth="1"/>
    <col min="42" max="44" width="4" style="28" bestFit="1" customWidth="1"/>
    <col min="45" max="45" width="6.5703125" style="28" bestFit="1" customWidth="1"/>
    <col min="46" max="16384" width="10.7109375" style="7"/>
  </cols>
  <sheetData>
    <row r="1" spans="1:45" s="16" customFormat="1" ht="51" x14ac:dyDescent="0.2">
      <c r="A1" s="17" t="s">
        <v>14</v>
      </c>
      <c r="B1" s="17" t="s">
        <v>42</v>
      </c>
      <c r="C1" s="48" t="s">
        <v>29</v>
      </c>
      <c r="D1" s="17"/>
      <c r="E1" s="22" t="s">
        <v>6</v>
      </c>
      <c r="F1" s="23"/>
      <c r="G1" s="23"/>
      <c r="H1" s="23"/>
      <c r="I1" s="23"/>
      <c r="J1" s="23"/>
      <c r="K1" s="22"/>
      <c r="L1" s="22" t="s">
        <v>1</v>
      </c>
      <c r="M1" s="23"/>
      <c r="N1" s="23"/>
      <c r="O1" s="23"/>
      <c r="P1" s="23"/>
      <c r="Q1" s="23"/>
      <c r="R1" s="22"/>
      <c r="S1" s="22" t="s">
        <v>33</v>
      </c>
      <c r="T1" s="23"/>
      <c r="U1" s="23"/>
      <c r="V1" s="23"/>
      <c r="W1" s="23"/>
      <c r="X1" s="23"/>
      <c r="Y1" s="22"/>
      <c r="Z1" s="23" t="s">
        <v>36</v>
      </c>
      <c r="AA1" s="23"/>
      <c r="AB1" s="23"/>
      <c r="AC1" s="23"/>
      <c r="AD1" s="23"/>
      <c r="AE1" s="23"/>
      <c r="AF1" s="22"/>
      <c r="AG1" s="23" t="s">
        <v>35</v>
      </c>
      <c r="AH1" s="23"/>
      <c r="AI1" s="23"/>
      <c r="AJ1" s="23"/>
      <c r="AK1" s="23"/>
      <c r="AL1" s="23"/>
      <c r="AM1" s="22"/>
      <c r="AN1" s="23" t="s">
        <v>37</v>
      </c>
      <c r="AO1" s="23"/>
      <c r="AP1" s="23"/>
      <c r="AQ1" s="23"/>
      <c r="AR1" s="23"/>
      <c r="AS1" s="23"/>
    </row>
    <row r="2" spans="1:45" x14ac:dyDescent="0.2">
      <c r="B2" s="6">
        <v>1</v>
      </c>
      <c r="C2" s="21">
        <v>0</v>
      </c>
      <c r="E2" s="24">
        <v>0</v>
      </c>
      <c r="F2" s="24">
        <v>1728.55</v>
      </c>
      <c r="G2" s="24">
        <v>0</v>
      </c>
      <c r="H2" s="24">
        <v>134.46</v>
      </c>
      <c r="I2" s="24">
        <v>322.23</v>
      </c>
      <c r="J2" s="25">
        <f>SUM(E2:I2)</f>
        <v>2185.2399999999998</v>
      </c>
      <c r="L2" s="24">
        <v>0</v>
      </c>
      <c r="M2" s="24">
        <v>109.35</v>
      </c>
      <c r="N2" s="27">
        <v>730.99</v>
      </c>
      <c r="O2" s="24">
        <v>119.26</v>
      </c>
      <c r="P2" s="24">
        <v>0</v>
      </c>
      <c r="Q2" s="25">
        <f>SUM(L2:P2)</f>
        <v>959.6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5">
        <f>SUM(S2:W2)</f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5">
        <f>SUM(Z2:AD2)</f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5">
        <f>SUM(AG2:AK2)</f>
        <v>0</v>
      </c>
      <c r="AN2" s="29">
        <f t="shared" ref="AN2:AR6" si="0">AG2+Z2</f>
        <v>0</v>
      </c>
      <c r="AO2" s="29">
        <f t="shared" si="0"/>
        <v>0</v>
      </c>
      <c r="AP2" s="29">
        <f t="shared" si="0"/>
        <v>0</v>
      </c>
      <c r="AQ2" s="29">
        <f t="shared" si="0"/>
        <v>0</v>
      </c>
      <c r="AR2" s="29">
        <f t="shared" si="0"/>
        <v>0</v>
      </c>
      <c r="AS2" s="25">
        <f>SUM(AN2:AR2)</f>
        <v>0</v>
      </c>
    </row>
    <row r="3" spans="1:45" x14ac:dyDescent="0.2">
      <c r="E3" s="24">
        <v>109.35</v>
      </c>
      <c r="F3" s="24">
        <v>0</v>
      </c>
      <c r="G3" s="24">
        <v>289.02</v>
      </c>
      <c r="H3" s="24">
        <v>0</v>
      </c>
      <c r="I3" s="24">
        <v>0</v>
      </c>
      <c r="J3" s="25">
        <f>SUM(E3:I3)</f>
        <v>398.37</v>
      </c>
      <c r="L3" s="24">
        <v>1728.55</v>
      </c>
      <c r="M3" s="24">
        <v>0</v>
      </c>
      <c r="N3" s="24">
        <v>0</v>
      </c>
      <c r="O3" s="24">
        <v>115.69</v>
      </c>
      <c r="P3" s="24">
        <v>0</v>
      </c>
      <c r="Q3" s="25">
        <f t="shared" ref="Q3:Q6" si="1">SUM(L3:P3)</f>
        <v>1844.24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5">
        <f t="shared" ref="X3:X6" si="2">SUM(S3:W3)</f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5">
        <f>SUM(Z3:AD3)</f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5">
        <f t="shared" ref="AL3:AL6" si="3">SUM(AG3:AK3)</f>
        <v>0</v>
      </c>
      <c r="AN3" s="29">
        <f t="shared" si="0"/>
        <v>0</v>
      </c>
      <c r="AO3" s="29">
        <f t="shared" si="0"/>
        <v>0</v>
      </c>
      <c r="AP3" s="29">
        <f t="shared" si="0"/>
        <v>0</v>
      </c>
      <c r="AQ3" s="29">
        <f t="shared" si="0"/>
        <v>0</v>
      </c>
      <c r="AR3" s="29">
        <f t="shared" si="0"/>
        <v>0</v>
      </c>
      <c r="AS3" s="25">
        <f t="shared" ref="AS3:AS6" si="4">SUM(AN3:AR3)</f>
        <v>0</v>
      </c>
    </row>
    <row r="4" spans="1:45" x14ac:dyDescent="0.2">
      <c r="E4" s="27">
        <v>730.99</v>
      </c>
      <c r="F4" s="24">
        <v>0</v>
      </c>
      <c r="G4" s="24">
        <v>0</v>
      </c>
      <c r="H4" s="24">
        <v>0</v>
      </c>
      <c r="I4" s="24">
        <v>0</v>
      </c>
      <c r="J4" s="25">
        <f>SUM(E4:I4)</f>
        <v>730.99</v>
      </c>
      <c r="L4" s="24">
        <v>0</v>
      </c>
      <c r="M4" s="24">
        <v>289.02</v>
      </c>
      <c r="N4" s="24">
        <v>0</v>
      </c>
      <c r="O4" s="24">
        <v>964.32</v>
      </c>
      <c r="P4" s="24">
        <v>0</v>
      </c>
      <c r="Q4" s="25">
        <f t="shared" si="1"/>
        <v>1253.3400000000001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5">
        <f t="shared" si="2"/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5">
        <f>SUM(Z4:AD4)</f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5">
        <f t="shared" si="3"/>
        <v>0</v>
      </c>
      <c r="AN4" s="29">
        <f t="shared" si="0"/>
        <v>0</v>
      </c>
      <c r="AO4" s="29">
        <f t="shared" si="0"/>
        <v>0</v>
      </c>
      <c r="AP4" s="29">
        <f t="shared" si="0"/>
        <v>0</v>
      </c>
      <c r="AQ4" s="29">
        <f t="shared" si="0"/>
        <v>0</v>
      </c>
      <c r="AR4" s="29">
        <f t="shared" si="0"/>
        <v>0</v>
      </c>
      <c r="AS4" s="25">
        <f t="shared" si="4"/>
        <v>0</v>
      </c>
    </row>
    <row r="5" spans="1:45" x14ac:dyDescent="0.2">
      <c r="E5" s="24">
        <v>119.26</v>
      </c>
      <c r="F5" s="24">
        <v>115.69</v>
      </c>
      <c r="G5" s="24">
        <v>964.32</v>
      </c>
      <c r="H5" s="24">
        <v>0</v>
      </c>
      <c r="I5" s="24">
        <v>158.47999999999999</v>
      </c>
      <c r="J5" s="25">
        <f>SUM(E5:I5)</f>
        <v>1357.75</v>
      </c>
      <c r="L5" s="24">
        <v>134.46</v>
      </c>
      <c r="M5" s="24">
        <v>0</v>
      </c>
      <c r="N5" s="24">
        <v>0</v>
      </c>
      <c r="O5" s="24">
        <v>0</v>
      </c>
      <c r="P5" s="24">
        <v>2717.39</v>
      </c>
      <c r="Q5" s="25">
        <f t="shared" si="1"/>
        <v>2851.85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5">
        <f t="shared" si="2"/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5">
        <f>SUM(Z5:AD5)</f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5">
        <f t="shared" si="3"/>
        <v>0</v>
      </c>
      <c r="AN5" s="29">
        <f t="shared" si="0"/>
        <v>0</v>
      </c>
      <c r="AO5" s="29">
        <f t="shared" si="0"/>
        <v>0</v>
      </c>
      <c r="AP5" s="29">
        <f t="shared" si="0"/>
        <v>0</v>
      </c>
      <c r="AQ5" s="29">
        <f t="shared" si="0"/>
        <v>0</v>
      </c>
      <c r="AR5" s="29">
        <f t="shared" si="0"/>
        <v>0</v>
      </c>
      <c r="AS5" s="25">
        <f t="shared" si="4"/>
        <v>0</v>
      </c>
    </row>
    <row r="6" spans="1:45" x14ac:dyDescent="0.2">
      <c r="E6" s="24">
        <v>0</v>
      </c>
      <c r="F6" s="24">
        <v>0</v>
      </c>
      <c r="G6" s="24">
        <v>0</v>
      </c>
      <c r="H6" s="24">
        <v>2717.39</v>
      </c>
      <c r="I6" s="24">
        <v>0</v>
      </c>
      <c r="J6" s="25">
        <f>SUM(E6:I6)</f>
        <v>2717.39</v>
      </c>
      <c r="L6" s="24">
        <v>322.23</v>
      </c>
      <c r="M6" s="24">
        <v>0</v>
      </c>
      <c r="N6" s="24">
        <v>0</v>
      </c>
      <c r="O6" s="24">
        <v>158.47999999999999</v>
      </c>
      <c r="P6" s="24">
        <v>0</v>
      </c>
      <c r="Q6" s="25">
        <f t="shared" si="1"/>
        <v>480.71000000000004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5">
        <f t="shared" si="2"/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5">
        <f>SUM(Z6:AD6)</f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5">
        <f t="shared" si="3"/>
        <v>0</v>
      </c>
      <c r="AN6" s="29">
        <f t="shared" si="0"/>
        <v>0</v>
      </c>
      <c r="AO6" s="29">
        <f t="shared" si="0"/>
        <v>0</v>
      </c>
      <c r="AP6" s="29">
        <f t="shared" si="0"/>
        <v>0</v>
      </c>
      <c r="AQ6" s="29">
        <f t="shared" si="0"/>
        <v>0</v>
      </c>
      <c r="AR6" s="29">
        <f t="shared" si="0"/>
        <v>0</v>
      </c>
      <c r="AS6" s="25">
        <f t="shared" si="4"/>
        <v>0</v>
      </c>
    </row>
    <row r="7" spans="1:45" s="9" customFormat="1" x14ac:dyDescent="0.2">
      <c r="A7" s="12"/>
      <c r="B7" s="12"/>
      <c r="C7" s="49"/>
      <c r="D7" s="12"/>
      <c r="E7" s="25">
        <f t="shared" ref="E7:J7" si="5">SUM(E2:E6)</f>
        <v>959.6</v>
      </c>
      <c r="F7" s="25">
        <f t="shared" si="5"/>
        <v>1844.24</v>
      </c>
      <c r="G7" s="25">
        <f t="shared" si="5"/>
        <v>1253.3400000000001</v>
      </c>
      <c r="H7" s="25">
        <f t="shared" si="5"/>
        <v>2851.85</v>
      </c>
      <c r="I7" s="25">
        <f t="shared" si="5"/>
        <v>480.71000000000004</v>
      </c>
      <c r="J7" s="25">
        <f t="shared" si="5"/>
        <v>7389.74</v>
      </c>
      <c r="K7" s="30"/>
      <c r="L7" s="25">
        <f t="shared" ref="L7:Q7" si="6">SUM(L2:L6)</f>
        <v>2185.2399999999998</v>
      </c>
      <c r="M7" s="25">
        <f t="shared" si="6"/>
        <v>398.37</v>
      </c>
      <c r="N7" s="25">
        <f t="shared" si="6"/>
        <v>730.99</v>
      </c>
      <c r="O7" s="25">
        <f t="shared" si="6"/>
        <v>1357.75</v>
      </c>
      <c r="P7" s="25">
        <f t="shared" si="6"/>
        <v>2717.39</v>
      </c>
      <c r="Q7" s="25">
        <f t="shared" si="6"/>
        <v>7389.7400000000007</v>
      </c>
      <c r="R7" s="30"/>
      <c r="S7" s="25">
        <f t="shared" ref="S7:X7" si="7">SUM(S2:S6)</f>
        <v>0</v>
      </c>
      <c r="T7" s="25">
        <f t="shared" si="7"/>
        <v>0</v>
      </c>
      <c r="U7" s="25">
        <f t="shared" si="7"/>
        <v>0</v>
      </c>
      <c r="V7" s="25">
        <f t="shared" si="7"/>
        <v>0</v>
      </c>
      <c r="W7" s="25">
        <f t="shared" si="7"/>
        <v>0</v>
      </c>
      <c r="X7" s="25">
        <f t="shared" si="7"/>
        <v>0</v>
      </c>
      <c r="Y7" s="30"/>
      <c r="Z7" s="25">
        <f t="shared" ref="Z7:AE7" si="8">SUM(Z2:Z6)</f>
        <v>0</v>
      </c>
      <c r="AA7" s="25">
        <f t="shared" si="8"/>
        <v>0</v>
      </c>
      <c r="AB7" s="25">
        <f t="shared" si="8"/>
        <v>0</v>
      </c>
      <c r="AC7" s="25">
        <f t="shared" si="8"/>
        <v>0</v>
      </c>
      <c r="AD7" s="25">
        <f t="shared" si="8"/>
        <v>0</v>
      </c>
      <c r="AE7" s="25">
        <f t="shared" si="8"/>
        <v>0</v>
      </c>
      <c r="AF7" s="30"/>
      <c r="AG7" s="25">
        <f t="shared" ref="AG7:AL7" si="9">SUM(AG2:AG6)</f>
        <v>0</v>
      </c>
      <c r="AH7" s="25">
        <f t="shared" si="9"/>
        <v>0</v>
      </c>
      <c r="AI7" s="25">
        <f t="shared" si="9"/>
        <v>0</v>
      </c>
      <c r="AJ7" s="25">
        <f t="shared" si="9"/>
        <v>0</v>
      </c>
      <c r="AK7" s="25">
        <f t="shared" si="9"/>
        <v>0</v>
      </c>
      <c r="AL7" s="25">
        <f t="shared" si="9"/>
        <v>0</v>
      </c>
      <c r="AM7" s="30"/>
      <c r="AN7" s="25">
        <f>SUM(AN2:AN6)</f>
        <v>0</v>
      </c>
      <c r="AO7" s="25">
        <f t="shared" ref="AO7:AS7" si="10">SUM(AO2:AO6)</f>
        <v>0</v>
      </c>
      <c r="AP7" s="25">
        <f t="shared" si="10"/>
        <v>0</v>
      </c>
      <c r="AQ7" s="25">
        <f t="shared" si="10"/>
        <v>0</v>
      </c>
      <c r="AR7" s="25">
        <f t="shared" si="10"/>
        <v>0</v>
      </c>
      <c r="AS7" s="25">
        <f t="shared" si="10"/>
        <v>0</v>
      </c>
    </row>
    <row r="8" spans="1:45" s="12" customFormat="1" x14ac:dyDescent="0.2">
      <c r="C8" s="49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</row>
    <row r="9" spans="1:45" x14ac:dyDescent="0.2">
      <c r="B9" s="6">
        <v>2</v>
      </c>
      <c r="C9" s="21" t="s">
        <v>68</v>
      </c>
      <c r="E9" s="24">
        <v>0</v>
      </c>
      <c r="F9" s="24">
        <v>1728.55</v>
      </c>
      <c r="G9" s="24">
        <v>0</v>
      </c>
      <c r="H9" s="24">
        <v>134.46</v>
      </c>
      <c r="I9" s="24">
        <v>322.23</v>
      </c>
      <c r="J9" s="25">
        <f>SUM(E9:I9)</f>
        <v>2185.2399999999998</v>
      </c>
      <c r="L9" s="24">
        <v>0</v>
      </c>
      <c r="M9" s="31">
        <v>70.652000000000001</v>
      </c>
      <c r="N9" s="32">
        <v>472.30200000000002</v>
      </c>
      <c r="O9" s="31">
        <v>77.055000000000007</v>
      </c>
      <c r="P9" s="24">
        <v>0</v>
      </c>
      <c r="Q9" s="25">
        <f>SUM(L9:P9)</f>
        <v>620.00900000000001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5">
        <f>SUM(S9:W9)</f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5">
        <f>SUM(Z9:AD9)</f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5">
        <f>SUM(AG9:AK9)</f>
        <v>0</v>
      </c>
      <c r="AN9" s="29">
        <f t="shared" ref="AN9:AR13" si="11">AG9+Z9</f>
        <v>0</v>
      </c>
      <c r="AO9" s="29">
        <f t="shared" si="11"/>
        <v>0</v>
      </c>
      <c r="AP9" s="29">
        <f t="shared" si="11"/>
        <v>0</v>
      </c>
      <c r="AQ9" s="29">
        <f t="shared" si="11"/>
        <v>0</v>
      </c>
      <c r="AR9" s="29">
        <f t="shared" si="11"/>
        <v>0</v>
      </c>
      <c r="AS9" s="25">
        <f>SUM(AN9:AR9)</f>
        <v>0</v>
      </c>
    </row>
    <row r="10" spans="1:45" x14ac:dyDescent="0.2">
      <c r="E10" s="31">
        <v>70.652000000000001</v>
      </c>
      <c r="F10" s="24">
        <v>0</v>
      </c>
      <c r="G10" s="24">
        <v>289.02</v>
      </c>
      <c r="H10" s="24">
        <v>0</v>
      </c>
      <c r="I10" s="24">
        <v>0</v>
      </c>
      <c r="J10" s="25">
        <f>SUM(E10:I10)</f>
        <v>359.67199999999997</v>
      </c>
      <c r="L10" s="24">
        <v>1728.55</v>
      </c>
      <c r="M10" s="24">
        <v>0</v>
      </c>
      <c r="N10" s="24">
        <v>0</v>
      </c>
      <c r="O10" s="24">
        <v>115.69</v>
      </c>
      <c r="P10" s="24">
        <v>0</v>
      </c>
      <c r="Q10" s="25">
        <f t="shared" ref="Q10:Q13" si="12">SUM(L10:P10)</f>
        <v>1844.24</v>
      </c>
      <c r="S10" s="31">
        <v>38.698</v>
      </c>
      <c r="T10" s="28">
        <v>0</v>
      </c>
      <c r="U10" s="28">
        <v>0</v>
      </c>
      <c r="V10" s="28">
        <v>0</v>
      </c>
      <c r="W10" s="28">
        <v>0</v>
      </c>
      <c r="X10" s="25">
        <f t="shared" ref="X10:X13" si="13">SUM(S10:W10)</f>
        <v>38.698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5">
        <f>SUM(Z10:AD10)</f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5">
        <f t="shared" ref="AL10:AL13" si="14">SUM(AG10:AK10)</f>
        <v>0</v>
      </c>
      <c r="AN10" s="29">
        <f t="shared" si="11"/>
        <v>0</v>
      </c>
      <c r="AO10" s="29">
        <f t="shared" si="11"/>
        <v>0</v>
      </c>
      <c r="AP10" s="29">
        <f t="shared" si="11"/>
        <v>0</v>
      </c>
      <c r="AQ10" s="29">
        <f t="shared" si="11"/>
        <v>0</v>
      </c>
      <c r="AR10" s="29">
        <f t="shared" si="11"/>
        <v>0</v>
      </c>
      <c r="AS10" s="25">
        <f t="shared" ref="AS10:AS13" si="15">SUM(AN10:AR10)</f>
        <v>0</v>
      </c>
    </row>
    <row r="11" spans="1:45" x14ac:dyDescent="0.2">
      <c r="E11" s="32">
        <v>472.30200000000002</v>
      </c>
      <c r="F11" s="24">
        <v>0</v>
      </c>
      <c r="G11" s="24">
        <v>0</v>
      </c>
      <c r="H11" s="24">
        <v>0</v>
      </c>
      <c r="I11" s="24">
        <v>0</v>
      </c>
      <c r="J11" s="25">
        <f>SUM(E11:I11)</f>
        <v>472.30200000000002</v>
      </c>
      <c r="L11" s="24">
        <v>0</v>
      </c>
      <c r="M11" s="24">
        <v>289.02</v>
      </c>
      <c r="N11" s="24">
        <v>0</v>
      </c>
      <c r="O11" s="24">
        <v>964.32</v>
      </c>
      <c r="P11" s="24">
        <v>0</v>
      </c>
      <c r="Q11" s="25">
        <f t="shared" si="12"/>
        <v>1253.3400000000001</v>
      </c>
      <c r="S11" s="31">
        <v>258.68799999999999</v>
      </c>
      <c r="T11" s="28">
        <v>0</v>
      </c>
      <c r="U11" s="28">
        <v>0</v>
      </c>
      <c r="V11" s="28">
        <v>0</v>
      </c>
      <c r="W11" s="28">
        <v>0</v>
      </c>
      <c r="X11" s="25">
        <f t="shared" si="13"/>
        <v>258.68799999999999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5">
        <f>SUM(Z11:AD11)</f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5">
        <f t="shared" si="14"/>
        <v>0</v>
      </c>
      <c r="AN11" s="29">
        <f t="shared" si="11"/>
        <v>0</v>
      </c>
      <c r="AO11" s="29">
        <f t="shared" si="11"/>
        <v>0</v>
      </c>
      <c r="AP11" s="29">
        <f t="shared" si="11"/>
        <v>0</v>
      </c>
      <c r="AQ11" s="29">
        <f t="shared" si="11"/>
        <v>0</v>
      </c>
      <c r="AR11" s="29">
        <f t="shared" si="11"/>
        <v>0</v>
      </c>
      <c r="AS11" s="25">
        <f t="shared" si="15"/>
        <v>0</v>
      </c>
    </row>
    <row r="12" spans="1:45" x14ac:dyDescent="0.2">
      <c r="E12" s="31">
        <v>77.055000000000007</v>
      </c>
      <c r="F12" s="24">
        <v>115.69</v>
      </c>
      <c r="G12" s="24">
        <v>964.32</v>
      </c>
      <c r="H12" s="24">
        <v>0</v>
      </c>
      <c r="I12" s="24">
        <v>158.47999999999999</v>
      </c>
      <c r="J12" s="25">
        <f>SUM(E12:I12)</f>
        <v>1315.5450000000001</v>
      </c>
      <c r="L12" s="24">
        <v>134.46</v>
      </c>
      <c r="M12" s="24">
        <v>0</v>
      </c>
      <c r="N12" s="24">
        <v>0</v>
      </c>
      <c r="O12" s="24">
        <v>0</v>
      </c>
      <c r="P12" s="24">
        <v>2717.39</v>
      </c>
      <c r="Q12" s="25">
        <f t="shared" si="12"/>
        <v>2851.85</v>
      </c>
      <c r="S12" s="31">
        <v>42.204999999999998</v>
      </c>
      <c r="T12" s="28">
        <v>0</v>
      </c>
      <c r="U12" s="28">
        <v>0</v>
      </c>
      <c r="V12" s="28">
        <v>0</v>
      </c>
      <c r="W12" s="28">
        <v>0</v>
      </c>
      <c r="X12" s="25">
        <f t="shared" si="13"/>
        <v>42.204999999999998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5">
        <f>SUM(Z12:AD12)</f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5">
        <f t="shared" si="14"/>
        <v>0</v>
      </c>
      <c r="AN12" s="29">
        <f t="shared" si="11"/>
        <v>0</v>
      </c>
      <c r="AO12" s="29">
        <f t="shared" si="11"/>
        <v>0</v>
      </c>
      <c r="AP12" s="29">
        <f t="shared" si="11"/>
        <v>0</v>
      </c>
      <c r="AQ12" s="29">
        <f t="shared" si="11"/>
        <v>0</v>
      </c>
      <c r="AR12" s="29">
        <f t="shared" si="11"/>
        <v>0</v>
      </c>
      <c r="AS12" s="25">
        <f t="shared" si="15"/>
        <v>0</v>
      </c>
    </row>
    <row r="13" spans="1:45" x14ac:dyDescent="0.2">
      <c r="E13" s="24">
        <v>0</v>
      </c>
      <c r="F13" s="24">
        <v>0</v>
      </c>
      <c r="G13" s="24">
        <v>0</v>
      </c>
      <c r="H13" s="24">
        <v>2717.39</v>
      </c>
      <c r="I13" s="24">
        <v>0</v>
      </c>
      <c r="J13" s="25">
        <f>SUM(E13:I13)</f>
        <v>2717.39</v>
      </c>
      <c r="L13" s="24">
        <v>322.23</v>
      </c>
      <c r="M13" s="24">
        <v>0</v>
      </c>
      <c r="N13" s="24">
        <v>0</v>
      </c>
      <c r="O13" s="24">
        <v>158.47999999999999</v>
      </c>
      <c r="P13" s="24">
        <v>0</v>
      </c>
      <c r="Q13" s="25">
        <f t="shared" si="12"/>
        <v>480.71000000000004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5">
        <f t="shared" si="13"/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5">
        <f>SUM(Z13:AD13)</f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5">
        <f t="shared" si="14"/>
        <v>0</v>
      </c>
      <c r="AN13" s="29">
        <f t="shared" si="11"/>
        <v>0</v>
      </c>
      <c r="AO13" s="29">
        <f t="shared" si="11"/>
        <v>0</v>
      </c>
      <c r="AP13" s="29">
        <f t="shared" si="11"/>
        <v>0</v>
      </c>
      <c r="AQ13" s="29">
        <f t="shared" si="11"/>
        <v>0</v>
      </c>
      <c r="AR13" s="29">
        <f t="shared" si="11"/>
        <v>0</v>
      </c>
      <c r="AS13" s="25">
        <f t="shared" si="15"/>
        <v>0</v>
      </c>
    </row>
    <row r="14" spans="1:45" s="9" customFormat="1" x14ac:dyDescent="0.2">
      <c r="A14" s="12"/>
      <c r="B14" s="12"/>
      <c r="C14" s="49"/>
      <c r="D14" s="12"/>
      <c r="E14" s="25">
        <f t="shared" ref="E14:J14" si="16">SUM(E9:E13)</f>
        <v>620.00900000000001</v>
      </c>
      <c r="F14" s="25">
        <f t="shared" si="16"/>
        <v>1844.24</v>
      </c>
      <c r="G14" s="25">
        <f t="shared" si="16"/>
        <v>1253.3400000000001</v>
      </c>
      <c r="H14" s="25">
        <f t="shared" si="16"/>
        <v>2851.85</v>
      </c>
      <c r="I14" s="25">
        <f t="shared" si="16"/>
        <v>480.71000000000004</v>
      </c>
      <c r="J14" s="25">
        <f t="shared" si="16"/>
        <v>7050.1489999999994</v>
      </c>
      <c r="K14" s="30"/>
      <c r="L14" s="25">
        <f t="shared" ref="L14:Q14" si="17">SUM(L9:L13)</f>
        <v>2185.2399999999998</v>
      </c>
      <c r="M14" s="25">
        <f t="shared" si="17"/>
        <v>359.67199999999997</v>
      </c>
      <c r="N14" s="25">
        <f t="shared" si="17"/>
        <v>472.30200000000002</v>
      </c>
      <c r="O14" s="25">
        <f t="shared" si="17"/>
        <v>1315.5450000000001</v>
      </c>
      <c r="P14" s="25">
        <f t="shared" si="17"/>
        <v>2717.39</v>
      </c>
      <c r="Q14" s="25">
        <f t="shared" si="17"/>
        <v>7050.1490000000003</v>
      </c>
      <c r="R14" s="30"/>
      <c r="S14" s="25">
        <f t="shared" ref="S14:X14" si="18">SUM(S9:S13)</f>
        <v>339.59099999999995</v>
      </c>
      <c r="T14" s="25">
        <f t="shared" si="18"/>
        <v>0</v>
      </c>
      <c r="U14" s="25">
        <f t="shared" si="18"/>
        <v>0</v>
      </c>
      <c r="V14" s="25">
        <f t="shared" si="18"/>
        <v>0</v>
      </c>
      <c r="W14" s="25">
        <f t="shared" si="18"/>
        <v>0</v>
      </c>
      <c r="X14" s="25">
        <f t="shared" si="18"/>
        <v>339.59099999999995</v>
      </c>
      <c r="Y14" s="30"/>
      <c r="Z14" s="25">
        <f t="shared" ref="Z14:AE14" si="19">SUM(Z9:Z13)</f>
        <v>0</v>
      </c>
      <c r="AA14" s="25">
        <f t="shared" si="19"/>
        <v>0</v>
      </c>
      <c r="AB14" s="25">
        <f t="shared" si="19"/>
        <v>0</v>
      </c>
      <c r="AC14" s="25">
        <f t="shared" si="19"/>
        <v>0</v>
      </c>
      <c r="AD14" s="25">
        <f t="shared" si="19"/>
        <v>0</v>
      </c>
      <c r="AE14" s="25">
        <f t="shared" si="19"/>
        <v>0</v>
      </c>
      <c r="AF14" s="30"/>
      <c r="AG14" s="25">
        <f t="shared" ref="AG14:AL14" si="20">SUM(AG9:AG13)</f>
        <v>0</v>
      </c>
      <c r="AH14" s="25">
        <f t="shared" si="20"/>
        <v>0</v>
      </c>
      <c r="AI14" s="25">
        <f t="shared" si="20"/>
        <v>0</v>
      </c>
      <c r="AJ14" s="25">
        <f t="shared" si="20"/>
        <v>0</v>
      </c>
      <c r="AK14" s="25">
        <f t="shared" si="20"/>
        <v>0</v>
      </c>
      <c r="AL14" s="25">
        <f t="shared" si="20"/>
        <v>0</v>
      </c>
      <c r="AM14" s="30"/>
      <c r="AN14" s="25">
        <f>SUM(AN9:AN13)</f>
        <v>0</v>
      </c>
      <c r="AO14" s="25">
        <f t="shared" ref="AO14:AS14" si="21">SUM(AO9:AO13)</f>
        <v>0</v>
      </c>
      <c r="AP14" s="25">
        <f t="shared" si="21"/>
        <v>0</v>
      </c>
      <c r="AQ14" s="25">
        <f t="shared" si="21"/>
        <v>0</v>
      </c>
      <c r="AR14" s="25">
        <f t="shared" si="21"/>
        <v>0</v>
      </c>
      <c r="AS14" s="25">
        <f t="shared" si="21"/>
        <v>0</v>
      </c>
    </row>
    <row r="15" spans="1:45" s="12" customFormat="1" x14ac:dyDescent="0.2">
      <c r="C15" s="49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</row>
    <row r="16" spans="1:45" x14ac:dyDescent="0.2">
      <c r="B16" s="6">
        <v>2</v>
      </c>
      <c r="C16" s="21" t="s">
        <v>69</v>
      </c>
      <c r="E16" s="24">
        <v>0</v>
      </c>
      <c r="F16" s="24">
        <v>1728.55</v>
      </c>
      <c r="G16" s="24">
        <v>0</v>
      </c>
      <c r="H16" s="24">
        <v>134.46</v>
      </c>
      <c r="I16" s="24">
        <v>322.23</v>
      </c>
      <c r="J16" s="25">
        <f>SUM(E16:I16)</f>
        <v>2185.2399999999998</v>
      </c>
      <c r="K16" s="30"/>
      <c r="L16" s="24">
        <v>0</v>
      </c>
      <c r="M16" s="24">
        <v>70.652000000000001</v>
      </c>
      <c r="N16" s="27">
        <v>472.30200000000002</v>
      </c>
      <c r="O16" s="24">
        <v>77.055000000000007</v>
      </c>
      <c r="P16" s="24">
        <v>0</v>
      </c>
      <c r="Q16" s="25">
        <f>SUM(L16:P16)</f>
        <v>620.00900000000001</v>
      </c>
      <c r="R16" s="30"/>
      <c r="S16" s="24">
        <v>0</v>
      </c>
      <c r="T16" s="28">
        <v>0</v>
      </c>
      <c r="U16" s="28">
        <v>0</v>
      </c>
      <c r="V16" s="28">
        <v>0</v>
      </c>
      <c r="W16" s="28">
        <v>0</v>
      </c>
      <c r="X16" s="25">
        <f>SUM(S16:W16)</f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5">
        <f>SUM(Z16:AD16)</f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5">
        <f>SUM(AG16:AK16)</f>
        <v>0</v>
      </c>
      <c r="AN16" s="29">
        <f t="shared" ref="AN16:AR20" si="22">AG16+Z16</f>
        <v>0</v>
      </c>
      <c r="AO16" s="29">
        <f t="shared" si="22"/>
        <v>0</v>
      </c>
      <c r="AP16" s="29">
        <f t="shared" si="22"/>
        <v>0</v>
      </c>
      <c r="AQ16" s="29">
        <f t="shared" si="22"/>
        <v>0</v>
      </c>
      <c r="AR16" s="29">
        <f t="shared" si="22"/>
        <v>0</v>
      </c>
      <c r="AS16" s="25">
        <f>SUM(AN16:AR16)</f>
        <v>0</v>
      </c>
    </row>
    <row r="17" spans="1:45" x14ac:dyDescent="0.2">
      <c r="E17" s="24">
        <v>70.652000000000001</v>
      </c>
      <c r="F17" s="24">
        <v>0</v>
      </c>
      <c r="G17" s="24">
        <v>289.02</v>
      </c>
      <c r="H17" s="24">
        <v>0</v>
      </c>
      <c r="I17" s="24">
        <v>0</v>
      </c>
      <c r="J17" s="25">
        <f>SUM(E17:I17)</f>
        <v>359.67199999999997</v>
      </c>
      <c r="K17" s="30"/>
      <c r="L17" s="24">
        <v>1728.55</v>
      </c>
      <c r="M17" s="24">
        <v>0</v>
      </c>
      <c r="N17" s="24">
        <v>0</v>
      </c>
      <c r="O17" s="24">
        <v>115.69</v>
      </c>
      <c r="P17" s="24">
        <v>0</v>
      </c>
      <c r="Q17" s="25">
        <f t="shared" ref="Q17:Q20" si="23">SUM(L17:P17)</f>
        <v>1844.24</v>
      </c>
      <c r="R17" s="30"/>
      <c r="S17" s="24">
        <v>38.698</v>
      </c>
      <c r="T17" s="28">
        <v>0</v>
      </c>
      <c r="U17" s="28">
        <v>0</v>
      </c>
      <c r="V17" s="28">
        <v>0</v>
      </c>
      <c r="W17" s="28">
        <v>0</v>
      </c>
      <c r="X17" s="25">
        <f t="shared" ref="X17:X20" si="24">SUM(S17:W17)</f>
        <v>38.698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5">
        <f>SUM(Z17:AD17)</f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5">
        <f t="shared" ref="AL17:AL20" si="25">SUM(AG17:AK17)</f>
        <v>0</v>
      </c>
      <c r="AN17" s="29">
        <f t="shared" si="22"/>
        <v>0</v>
      </c>
      <c r="AO17" s="29">
        <f t="shared" si="22"/>
        <v>0</v>
      </c>
      <c r="AP17" s="29">
        <f t="shared" si="22"/>
        <v>0</v>
      </c>
      <c r="AQ17" s="29">
        <f t="shared" si="22"/>
        <v>0</v>
      </c>
      <c r="AR17" s="29">
        <f t="shared" si="22"/>
        <v>0</v>
      </c>
      <c r="AS17" s="25">
        <f t="shared" ref="AS17:AS20" si="26">SUM(AN17:AR17)</f>
        <v>0</v>
      </c>
    </row>
    <row r="18" spans="1:45" x14ac:dyDescent="0.2">
      <c r="E18" s="27">
        <v>472.30200000000002</v>
      </c>
      <c r="F18" s="24">
        <v>0</v>
      </c>
      <c r="G18" s="24">
        <v>0</v>
      </c>
      <c r="H18" s="24">
        <v>0</v>
      </c>
      <c r="I18" s="24">
        <v>0</v>
      </c>
      <c r="J18" s="25">
        <f>SUM(E18:I18)</f>
        <v>472.30200000000002</v>
      </c>
      <c r="K18" s="30"/>
      <c r="L18" s="24">
        <v>0</v>
      </c>
      <c r="M18" s="24">
        <v>289.02</v>
      </c>
      <c r="N18" s="24">
        <v>0</v>
      </c>
      <c r="O18" s="24">
        <v>964.32</v>
      </c>
      <c r="P18" s="24">
        <v>0</v>
      </c>
      <c r="Q18" s="25">
        <f t="shared" si="23"/>
        <v>1253.3400000000001</v>
      </c>
      <c r="R18" s="30"/>
      <c r="S18" s="24">
        <v>258.68799999999999</v>
      </c>
      <c r="T18" s="28">
        <v>0</v>
      </c>
      <c r="U18" s="28">
        <v>0</v>
      </c>
      <c r="V18" s="28">
        <v>0</v>
      </c>
      <c r="W18" s="28">
        <v>0</v>
      </c>
      <c r="X18" s="25">
        <f t="shared" si="24"/>
        <v>258.68799999999999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5">
        <f>SUM(Z18:AD18)</f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5">
        <f t="shared" si="25"/>
        <v>0</v>
      </c>
      <c r="AN18" s="29">
        <f t="shared" si="22"/>
        <v>0</v>
      </c>
      <c r="AO18" s="29">
        <f t="shared" si="22"/>
        <v>0</v>
      </c>
      <c r="AP18" s="29">
        <f t="shared" si="22"/>
        <v>0</v>
      </c>
      <c r="AQ18" s="29">
        <f t="shared" si="22"/>
        <v>0</v>
      </c>
      <c r="AR18" s="29">
        <f t="shared" si="22"/>
        <v>0</v>
      </c>
      <c r="AS18" s="25">
        <f t="shared" si="26"/>
        <v>0</v>
      </c>
    </row>
    <row r="19" spans="1:45" x14ac:dyDescent="0.2">
      <c r="E19" s="24">
        <v>77.055000000000007</v>
      </c>
      <c r="F19" s="24">
        <v>115.69</v>
      </c>
      <c r="G19" s="24">
        <v>964.32</v>
      </c>
      <c r="H19" s="24">
        <v>0</v>
      </c>
      <c r="I19" s="24">
        <v>158.47999999999999</v>
      </c>
      <c r="J19" s="25">
        <f>SUM(E19:I19)</f>
        <v>1315.5450000000001</v>
      </c>
      <c r="K19" s="30"/>
      <c r="L19" s="24">
        <v>134.46</v>
      </c>
      <c r="M19" s="24">
        <v>0</v>
      </c>
      <c r="N19" s="24">
        <v>0</v>
      </c>
      <c r="O19" s="24">
        <v>0</v>
      </c>
      <c r="P19" s="24">
        <v>2717.39</v>
      </c>
      <c r="Q19" s="25">
        <f t="shared" si="23"/>
        <v>2851.85</v>
      </c>
      <c r="R19" s="30"/>
      <c r="S19" s="24">
        <v>42.204999999999998</v>
      </c>
      <c r="T19" s="28">
        <v>0</v>
      </c>
      <c r="U19" s="28">
        <v>0</v>
      </c>
      <c r="V19" s="28">
        <v>0</v>
      </c>
      <c r="W19" s="28">
        <v>0</v>
      </c>
      <c r="X19" s="25">
        <f t="shared" si="24"/>
        <v>42.204999999999998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5">
        <f>SUM(Z19:AD19)</f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5">
        <f t="shared" si="25"/>
        <v>0</v>
      </c>
      <c r="AN19" s="29">
        <f t="shared" si="22"/>
        <v>0</v>
      </c>
      <c r="AO19" s="29">
        <f t="shared" si="22"/>
        <v>0</v>
      </c>
      <c r="AP19" s="29">
        <f t="shared" si="22"/>
        <v>0</v>
      </c>
      <c r="AQ19" s="29">
        <f t="shared" si="22"/>
        <v>0</v>
      </c>
      <c r="AR19" s="29">
        <f t="shared" si="22"/>
        <v>0</v>
      </c>
      <c r="AS19" s="25">
        <f t="shared" si="26"/>
        <v>0</v>
      </c>
    </row>
    <row r="20" spans="1:45" x14ac:dyDescent="0.2">
      <c r="E20" s="24">
        <v>0</v>
      </c>
      <c r="F20" s="24">
        <v>0</v>
      </c>
      <c r="G20" s="24">
        <v>0</v>
      </c>
      <c r="H20" s="24">
        <v>2717.39</v>
      </c>
      <c r="I20" s="24">
        <v>0</v>
      </c>
      <c r="J20" s="25">
        <f>SUM(E20:I20)</f>
        <v>2717.39</v>
      </c>
      <c r="K20" s="30"/>
      <c r="L20" s="24">
        <v>322.23</v>
      </c>
      <c r="M20" s="24">
        <v>0</v>
      </c>
      <c r="N20" s="24">
        <v>0</v>
      </c>
      <c r="O20" s="24">
        <v>158.47999999999999</v>
      </c>
      <c r="P20" s="24">
        <v>0</v>
      </c>
      <c r="Q20" s="25">
        <f t="shared" si="23"/>
        <v>480.71000000000004</v>
      </c>
      <c r="R20" s="30"/>
      <c r="S20" s="24">
        <v>0</v>
      </c>
      <c r="T20" s="28">
        <v>0</v>
      </c>
      <c r="U20" s="28">
        <v>0</v>
      </c>
      <c r="V20" s="28">
        <v>0</v>
      </c>
      <c r="W20" s="28">
        <v>0</v>
      </c>
      <c r="X20" s="25">
        <f t="shared" si="24"/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5">
        <f>SUM(Z20:AD20)</f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5">
        <f t="shared" si="25"/>
        <v>0</v>
      </c>
      <c r="AN20" s="29">
        <f t="shared" si="22"/>
        <v>0</v>
      </c>
      <c r="AO20" s="29">
        <f t="shared" si="22"/>
        <v>0</v>
      </c>
      <c r="AP20" s="29">
        <f t="shared" si="22"/>
        <v>0</v>
      </c>
      <c r="AQ20" s="29">
        <f t="shared" si="22"/>
        <v>0</v>
      </c>
      <c r="AR20" s="29">
        <f t="shared" si="22"/>
        <v>0</v>
      </c>
      <c r="AS20" s="25">
        <f t="shared" si="26"/>
        <v>0</v>
      </c>
    </row>
    <row r="21" spans="1:45" s="9" customFormat="1" x14ac:dyDescent="0.2">
      <c r="A21" s="12"/>
      <c r="B21" s="12"/>
      <c r="C21" s="49"/>
      <c r="D21" s="12"/>
      <c r="E21" s="25">
        <f t="shared" ref="E21:J21" si="27">SUM(E16:E20)</f>
        <v>620.00900000000001</v>
      </c>
      <c r="F21" s="25">
        <f t="shared" si="27"/>
        <v>1844.24</v>
      </c>
      <c r="G21" s="25">
        <f t="shared" si="27"/>
        <v>1253.3400000000001</v>
      </c>
      <c r="H21" s="25">
        <f t="shared" si="27"/>
        <v>2851.85</v>
      </c>
      <c r="I21" s="25">
        <f t="shared" si="27"/>
        <v>480.71000000000004</v>
      </c>
      <c r="J21" s="25">
        <f t="shared" si="27"/>
        <v>7050.1489999999994</v>
      </c>
      <c r="K21" s="30"/>
      <c r="L21" s="25">
        <f t="shared" ref="L21:Q21" si="28">SUM(L16:L20)</f>
        <v>2185.2399999999998</v>
      </c>
      <c r="M21" s="25">
        <f t="shared" si="28"/>
        <v>359.67199999999997</v>
      </c>
      <c r="N21" s="25">
        <f t="shared" si="28"/>
        <v>472.30200000000002</v>
      </c>
      <c r="O21" s="25">
        <f t="shared" si="28"/>
        <v>1315.5450000000001</v>
      </c>
      <c r="P21" s="25">
        <f t="shared" si="28"/>
        <v>2717.39</v>
      </c>
      <c r="Q21" s="25">
        <f t="shared" si="28"/>
        <v>7050.1490000000003</v>
      </c>
      <c r="R21" s="30"/>
      <c r="S21" s="25">
        <f t="shared" ref="S21:X21" si="29">SUM(S16:S20)</f>
        <v>339.59099999999995</v>
      </c>
      <c r="T21" s="25">
        <f t="shared" si="29"/>
        <v>0</v>
      </c>
      <c r="U21" s="25">
        <f t="shared" si="29"/>
        <v>0</v>
      </c>
      <c r="V21" s="25">
        <f t="shared" si="29"/>
        <v>0</v>
      </c>
      <c r="W21" s="25">
        <f t="shared" si="29"/>
        <v>0</v>
      </c>
      <c r="X21" s="25">
        <f t="shared" si="29"/>
        <v>339.59099999999995</v>
      </c>
      <c r="Y21" s="30"/>
      <c r="Z21" s="25">
        <f t="shared" ref="Z21:AE21" si="30">SUM(Z16:Z20)</f>
        <v>0</v>
      </c>
      <c r="AA21" s="25">
        <f t="shared" si="30"/>
        <v>0</v>
      </c>
      <c r="AB21" s="25">
        <f t="shared" si="30"/>
        <v>0</v>
      </c>
      <c r="AC21" s="25">
        <f t="shared" si="30"/>
        <v>0</v>
      </c>
      <c r="AD21" s="25">
        <f t="shared" si="30"/>
        <v>0</v>
      </c>
      <c r="AE21" s="25">
        <f t="shared" si="30"/>
        <v>0</v>
      </c>
      <c r="AF21" s="30"/>
      <c r="AG21" s="25">
        <f t="shared" ref="AG21:AL21" si="31">SUM(AG16:AG20)</f>
        <v>0</v>
      </c>
      <c r="AH21" s="25">
        <f t="shared" si="31"/>
        <v>0</v>
      </c>
      <c r="AI21" s="25">
        <f t="shared" si="31"/>
        <v>0</v>
      </c>
      <c r="AJ21" s="25">
        <f t="shared" si="31"/>
        <v>0</v>
      </c>
      <c r="AK21" s="25">
        <f t="shared" si="31"/>
        <v>0</v>
      </c>
      <c r="AL21" s="25">
        <f t="shared" si="31"/>
        <v>0</v>
      </c>
      <c r="AM21" s="30"/>
      <c r="AN21" s="25">
        <f>SUM(AN16:AN20)</f>
        <v>0</v>
      </c>
      <c r="AO21" s="25">
        <f t="shared" ref="AO21:AS21" si="32">SUM(AO16:AO20)</f>
        <v>0</v>
      </c>
      <c r="AP21" s="25">
        <f t="shared" si="32"/>
        <v>0</v>
      </c>
      <c r="AQ21" s="25">
        <f t="shared" si="32"/>
        <v>0</v>
      </c>
      <c r="AR21" s="25">
        <f t="shared" si="32"/>
        <v>0</v>
      </c>
      <c r="AS21" s="25">
        <f t="shared" si="32"/>
        <v>0</v>
      </c>
    </row>
    <row r="22" spans="1:45" s="12" customFormat="1" x14ac:dyDescent="0.2">
      <c r="C22" s="4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</row>
    <row r="23" spans="1:45" x14ac:dyDescent="0.2">
      <c r="B23" s="6">
        <v>2</v>
      </c>
      <c r="C23" s="21" t="s">
        <v>85</v>
      </c>
      <c r="E23" s="24">
        <v>0</v>
      </c>
      <c r="F23" s="33">
        <v>0</v>
      </c>
      <c r="G23" s="24">
        <v>0</v>
      </c>
      <c r="H23" s="33">
        <v>0</v>
      </c>
      <c r="I23" s="33">
        <v>0</v>
      </c>
      <c r="J23" s="25">
        <f>SUM(E23:I23)</f>
        <v>0</v>
      </c>
      <c r="L23" s="24">
        <v>0</v>
      </c>
      <c r="M23" s="24">
        <v>70.652000000000001</v>
      </c>
      <c r="N23" s="27">
        <v>472.30200000000002</v>
      </c>
      <c r="O23" s="24">
        <v>77.055000000000007</v>
      </c>
      <c r="P23" s="24">
        <v>0</v>
      </c>
      <c r="Q23" s="25">
        <f>SUM(L23:P23)</f>
        <v>620.00900000000001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5">
        <f>SUM(S23:W23)</f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5">
        <f>SUM(Z23:AD23)</f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5">
        <f>SUM(AG23:AK23)</f>
        <v>0</v>
      </c>
      <c r="AN23" s="29">
        <f t="shared" ref="AN23:AR27" si="33">AG23+Z23</f>
        <v>0</v>
      </c>
      <c r="AO23" s="29">
        <f t="shared" si="33"/>
        <v>0</v>
      </c>
      <c r="AP23" s="29">
        <f t="shared" si="33"/>
        <v>0</v>
      </c>
      <c r="AQ23" s="29">
        <f t="shared" si="33"/>
        <v>0</v>
      </c>
      <c r="AR23" s="29">
        <f t="shared" si="33"/>
        <v>0</v>
      </c>
      <c r="AS23" s="25">
        <f>SUM(AN23:AR23)</f>
        <v>0</v>
      </c>
    </row>
    <row r="24" spans="1:45" x14ac:dyDescent="0.2">
      <c r="E24" s="24">
        <v>70.652000000000001</v>
      </c>
      <c r="F24" s="24">
        <v>0</v>
      </c>
      <c r="G24" s="24">
        <v>289.02</v>
      </c>
      <c r="H24" s="24">
        <v>0</v>
      </c>
      <c r="I24" s="24">
        <v>0</v>
      </c>
      <c r="J24" s="25">
        <f>SUM(E24:I24)</f>
        <v>359.67199999999997</v>
      </c>
      <c r="L24" s="33">
        <v>0</v>
      </c>
      <c r="M24" s="24">
        <v>0</v>
      </c>
      <c r="N24" s="24">
        <v>0</v>
      </c>
      <c r="O24" s="24">
        <v>115.69</v>
      </c>
      <c r="P24" s="24">
        <v>0</v>
      </c>
      <c r="Q24" s="25">
        <f t="shared" ref="Q24:Q27" si="34">SUM(L24:P24)</f>
        <v>115.69</v>
      </c>
      <c r="S24" s="24">
        <v>38.698</v>
      </c>
      <c r="T24" s="28">
        <v>0</v>
      </c>
      <c r="U24" s="28">
        <v>0</v>
      </c>
      <c r="V24" s="28">
        <v>0</v>
      </c>
      <c r="W24" s="28">
        <v>0</v>
      </c>
      <c r="X24" s="25">
        <f t="shared" ref="X24:X27" si="35">SUM(S24:W24)</f>
        <v>38.698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5">
        <f>SUM(Z24:AD24)</f>
        <v>0</v>
      </c>
      <c r="AG24" s="33">
        <v>1728.55</v>
      </c>
      <c r="AH24" s="28">
        <v>0</v>
      </c>
      <c r="AI24" s="28">
        <v>0</v>
      </c>
      <c r="AJ24" s="28">
        <v>0</v>
      </c>
      <c r="AK24" s="28">
        <v>0</v>
      </c>
      <c r="AL24" s="25">
        <f t="shared" ref="AL24:AL27" si="36">SUM(AG24:AK24)</f>
        <v>1728.55</v>
      </c>
      <c r="AN24" s="29">
        <f t="shared" si="33"/>
        <v>1728.55</v>
      </c>
      <c r="AO24" s="29">
        <f t="shared" si="33"/>
        <v>0</v>
      </c>
      <c r="AP24" s="29">
        <f t="shared" si="33"/>
        <v>0</v>
      </c>
      <c r="AQ24" s="29">
        <f t="shared" si="33"/>
        <v>0</v>
      </c>
      <c r="AR24" s="29">
        <f t="shared" si="33"/>
        <v>0</v>
      </c>
      <c r="AS24" s="25">
        <f t="shared" ref="AS24:AS27" si="37">SUM(AN24:AR24)</f>
        <v>1728.55</v>
      </c>
    </row>
    <row r="25" spans="1:45" x14ac:dyDescent="0.2">
      <c r="E25" s="27">
        <v>472.30200000000002</v>
      </c>
      <c r="F25" s="24">
        <v>0</v>
      </c>
      <c r="G25" s="24">
        <v>0</v>
      </c>
      <c r="H25" s="24">
        <v>0</v>
      </c>
      <c r="I25" s="24">
        <v>0</v>
      </c>
      <c r="J25" s="25">
        <f>SUM(E25:I25)</f>
        <v>472.30200000000002</v>
      </c>
      <c r="L25" s="24">
        <v>0</v>
      </c>
      <c r="M25" s="24">
        <v>289.02</v>
      </c>
      <c r="N25" s="24">
        <v>0</v>
      </c>
      <c r="O25" s="24">
        <v>964.32</v>
      </c>
      <c r="P25" s="24">
        <v>0</v>
      </c>
      <c r="Q25" s="25">
        <f t="shared" si="34"/>
        <v>1253.3400000000001</v>
      </c>
      <c r="S25" s="24">
        <v>258.68799999999999</v>
      </c>
      <c r="T25" s="28">
        <v>0</v>
      </c>
      <c r="U25" s="28">
        <v>0</v>
      </c>
      <c r="V25" s="28">
        <v>0</v>
      </c>
      <c r="W25" s="28">
        <v>0</v>
      </c>
      <c r="X25" s="25">
        <f t="shared" si="35"/>
        <v>258.68799999999999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5">
        <f>SUM(Z25:AD25)</f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5">
        <f t="shared" si="36"/>
        <v>0</v>
      </c>
      <c r="AN25" s="29">
        <f t="shared" si="33"/>
        <v>0</v>
      </c>
      <c r="AO25" s="29">
        <f t="shared" si="33"/>
        <v>0</v>
      </c>
      <c r="AP25" s="29">
        <f t="shared" si="33"/>
        <v>0</v>
      </c>
      <c r="AQ25" s="29">
        <f t="shared" si="33"/>
        <v>0</v>
      </c>
      <c r="AR25" s="29">
        <f t="shared" si="33"/>
        <v>0</v>
      </c>
      <c r="AS25" s="25">
        <f t="shared" si="37"/>
        <v>0</v>
      </c>
    </row>
    <row r="26" spans="1:45" x14ac:dyDescent="0.2">
      <c r="E26" s="24">
        <v>77.055000000000007</v>
      </c>
      <c r="F26" s="24">
        <v>115.69</v>
      </c>
      <c r="G26" s="24">
        <v>964.32</v>
      </c>
      <c r="H26" s="24">
        <v>0</v>
      </c>
      <c r="I26" s="24">
        <v>158.47999999999999</v>
      </c>
      <c r="J26" s="25">
        <f>SUM(E26:I26)</f>
        <v>1315.5450000000001</v>
      </c>
      <c r="L26" s="33">
        <v>0</v>
      </c>
      <c r="M26" s="24">
        <v>0</v>
      </c>
      <c r="N26" s="24">
        <v>0</v>
      </c>
      <c r="O26" s="24">
        <v>0</v>
      </c>
      <c r="P26" s="24">
        <v>2717.39</v>
      </c>
      <c r="Q26" s="25">
        <f t="shared" si="34"/>
        <v>2717.39</v>
      </c>
      <c r="S26" s="24">
        <v>42.204999999999998</v>
      </c>
      <c r="T26" s="28">
        <v>0</v>
      </c>
      <c r="U26" s="28">
        <v>0</v>
      </c>
      <c r="V26" s="28">
        <v>0</v>
      </c>
      <c r="W26" s="28">
        <v>0</v>
      </c>
      <c r="X26" s="25">
        <f t="shared" si="35"/>
        <v>42.204999999999998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5">
        <f>SUM(Z26:AD26)</f>
        <v>0</v>
      </c>
      <c r="AG26" s="33">
        <v>134.46</v>
      </c>
      <c r="AH26" s="28">
        <v>0</v>
      </c>
      <c r="AI26" s="28">
        <v>0</v>
      </c>
      <c r="AJ26" s="28">
        <v>0</v>
      </c>
      <c r="AK26" s="28">
        <v>0</v>
      </c>
      <c r="AL26" s="25">
        <f t="shared" si="36"/>
        <v>134.46</v>
      </c>
      <c r="AN26" s="29">
        <f t="shared" si="33"/>
        <v>134.46</v>
      </c>
      <c r="AO26" s="29">
        <f t="shared" si="33"/>
        <v>0</v>
      </c>
      <c r="AP26" s="29">
        <f t="shared" si="33"/>
        <v>0</v>
      </c>
      <c r="AQ26" s="29">
        <f t="shared" si="33"/>
        <v>0</v>
      </c>
      <c r="AR26" s="29">
        <f t="shared" si="33"/>
        <v>0</v>
      </c>
      <c r="AS26" s="25">
        <f t="shared" si="37"/>
        <v>134.46</v>
      </c>
    </row>
    <row r="27" spans="1:45" x14ac:dyDescent="0.2">
      <c r="E27" s="24">
        <v>0</v>
      </c>
      <c r="F27" s="24">
        <v>0</v>
      </c>
      <c r="G27" s="24">
        <v>0</v>
      </c>
      <c r="H27" s="24">
        <v>2717.39</v>
      </c>
      <c r="I27" s="24">
        <v>0</v>
      </c>
      <c r="J27" s="25">
        <f>SUM(E27:I27)</f>
        <v>2717.39</v>
      </c>
      <c r="L27" s="33">
        <v>0</v>
      </c>
      <c r="M27" s="24">
        <v>0</v>
      </c>
      <c r="N27" s="24">
        <v>0</v>
      </c>
      <c r="O27" s="24">
        <v>158.47999999999999</v>
      </c>
      <c r="P27" s="24">
        <v>0</v>
      </c>
      <c r="Q27" s="25">
        <f t="shared" si="34"/>
        <v>158.47999999999999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5">
        <f t="shared" si="35"/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5">
        <f>SUM(Z27:AD27)</f>
        <v>0</v>
      </c>
      <c r="AG27" s="33">
        <v>322.23</v>
      </c>
      <c r="AH27" s="28">
        <v>0</v>
      </c>
      <c r="AI27" s="28">
        <v>0</v>
      </c>
      <c r="AJ27" s="28">
        <v>0</v>
      </c>
      <c r="AK27" s="28">
        <v>0</v>
      </c>
      <c r="AL27" s="25">
        <f t="shared" si="36"/>
        <v>322.23</v>
      </c>
      <c r="AN27" s="29">
        <f t="shared" si="33"/>
        <v>322.23</v>
      </c>
      <c r="AO27" s="29">
        <f t="shared" si="33"/>
        <v>0</v>
      </c>
      <c r="AP27" s="29">
        <f t="shared" si="33"/>
        <v>0</v>
      </c>
      <c r="AQ27" s="29">
        <f t="shared" si="33"/>
        <v>0</v>
      </c>
      <c r="AR27" s="29">
        <f t="shared" si="33"/>
        <v>0</v>
      </c>
      <c r="AS27" s="25">
        <f t="shared" si="37"/>
        <v>322.23</v>
      </c>
    </row>
    <row r="28" spans="1:45" s="9" customFormat="1" x14ac:dyDescent="0.2">
      <c r="A28" s="12"/>
      <c r="B28" s="12"/>
      <c r="C28" s="49"/>
      <c r="D28" s="12"/>
      <c r="E28" s="25">
        <f t="shared" ref="E28:J28" si="38">SUM(E23:E27)</f>
        <v>620.00900000000001</v>
      </c>
      <c r="F28" s="25">
        <f t="shared" si="38"/>
        <v>115.69</v>
      </c>
      <c r="G28" s="25">
        <f t="shared" si="38"/>
        <v>1253.3400000000001</v>
      </c>
      <c r="H28" s="25">
        <f t="shared" si="38"/>
        <v>2717.39</v>
      </c>
      <c r="I28" s="25">
        <f t="shared" si="38"/>
        <v>158.47999999999999</v>
      </c>
      <c r="J28" s="25">
        <f t="shared" si="38"/>
        <v>4864.9089999999997</v>
      </c>
      <c r="K28" s="30"/>
      <c r="L28" s="25">
        <f t="shared" ref="L28:Q28" si="39">SUM(L23:L27)</f>
        <v>0</v>
      </c>
      <c r="M28" s="25">
        <f t="shared" si="39"/>
        <v>359.67199999999997</v>
      </c>
      <c r="N28" s="25">
        <f t="shared" si="39"/>
        <v>472.30200000000002</v>
      </c>
      <c r="O28" s="25">
        <f t="shared" si="39"/>
        <v>1315.5450000000001</v>
      </c>
      <c r="P28" s="25">
        <f t="shared" si="39"/>
        <v>2717.39</v>
      </c>
      <c r="Q28" s="25">
        <f t="shared" si="39"/>
        <v>4864.9089999999997</v>
      </c>
      <c r="R28" s="30"/>
      <c r="S28" s="25">
        <f t="shared" ref="S28:X28" si="40">SUM(S23:S27)</f>
        <v>339.59099999999995</v>
      </c>
      <c r="T28" s="25">
        <f t="shared" si="40"/>
        <v>0</v>
      </c>
      <c r="U28" s="25">
        <f t="shared" si="40"/>
        <v>0</v>
      </c>
      <c r="V28" s="25">
        <f t="shared" si="40"/>
        <v>0</v>
      </c>
      <c r="W28" s="25">
        <f t="shared" si="40"/>
        <v>0</v>
      </c>
      <c r="X28" s="25">
        <f t="shared" si="40"/>
        <v>339.59099999999995</v>
      </c>
      <c r="Y28" s="30"/>
      <c r="Z28" s="25">
        <f t="shared" ref="Z28:AE28" si="41">SUM(Z23:Z27)</f>
        <v>0</v>
      </c>
      <c r="AA28" s="25">
        <f t="shared" si="41"/>
        <v>0</v>
      </c>
      <c r="AB28" s="25">
        <f t="shared" si="41"/>
        <v>0</v>
      </c>
      <c r="AC28" s="25">
        <f t="shared" si="41"/>
        <v>0</v>
      </c>
      <c r="AD28" s="25">
        <f t="shared" si="41"/>
        <v>0</v>
      </c>
      <c r="AE28" s="25">
        <f t="shared" si="41"/>
        <v>0</v>
      </c>
      <c r="AF28" s="30"/>
      <c r="AG28" s="25">
        <f>SUM(AG23:AG27)</f>
        <v>2185.2399999999998</v>
      </c>
      <c r="AH28" s="25">
        <f t="shared" ref="AH28:AK28" si="42">SUM(AH23:AH27)</f>
        <v>0</v>
      </c>
      <c r="AI28" s="25">
        <f t="shared" si="42"/>
        <v>0</v>
      </c>
      <c r="AJ28" s="25">
        <f t="shared" si="42"/>
        <v>0</v>
      </c>
      <c r="AK28" s="25">
        <f t="shared" si="42"/>
        <v>0</v>
      </c>
      <c r="AL28" s="25">
        <f>SUM(AL23:AL27)</f>
        <v>2185.2399999999998</v>
      </c>
      <c r="AM28" s="30"/>
      <c r="AN28" s="25">
        <f>SUM(AN23:AN27)</f>
        <v>2185.2399999999998</v>
      </c>
      <c r="AO28" s="25">
        <f t="shared" ref="AO28:AS28" si="43">SUM(AO23:AO27)</f>
        <v>0</v>
      </c>
      <c r="AP28" s="25">
        <f t="shared" si="43"/>
        <v>0</v>
      </c>
      <c r="AQ28" s="25">
        <f t="shared" si="43"/>
        <v>0</v>
      </c>
      <c r="AR28" s="25">
        <f t="shared" si="43"/>
        <v>0</v>
      </c>
      <c r="AS28" s="25">
        <f t="shared" si="43"/>
        <v>2185.2399999999998</v>
      </c>
    </row>
    <row r="29" spans="1:45" s="12" customFormat="1" x14ac:dyDescent="0.2">
      <c r="C29" s="4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</row>
    <row r="30" spans="1:45" x14ac:dyDescent="0.2">
      <c r="B30" s="6">
        <v>2</v>
      </c>
      <c r="C30" s="21" t="s">
        <v>86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5">
        <f>SUM(E30:I30)</f>
        <v>0</v>
      </c>
      <c r="L30" s="24">
        <v>0</v>
      </c>
      <c r="M30" s="24">
        <v>70.652000000000001</v>
      </c>
      <c r="N30" s="27">
        <v>472.30200000000002</v>
      </c>
      <c r="O30" s="24">
        <v>77.055000000000007</v>
      </c>
      <c r="P30" s="24">
        <v>0</v>
      </c>
      <c r="Q30" s="25">
        <f>SUM(L30:P30)</f>
        <v>620.00900000000001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25">
        <f>SUM(S30:W30)</f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25">
        <f>SUM(Z30:AD30)</f>
        <v>0</v>
      </c>
      <c r="AG30" s="36">
        <v>0</v>
      </c>
      <c r="AH30" s="36">
        <v>0</v>
      </c>
      <c r="AI30" s="36">
        <v>0</v>
      </c>
      <c r="AJ30" s="36">
        <v>0</v>
      </c>
      <c r="AK30" s="36">
        <v>0</v>
      </c>
      <c r="AL30" s="25">
        <f>SUM(AG30:AK30)</f>
        <v>0</v>
      </c>
      <c r="AN30" s="29">
        <f t="shared" ref="AN30:AR34" si="44">AG30+Z30</f>
        <v>0</v>
      </c>
      <c r="AO30" s="29">
        <f t="shared" si="44"/>
        <v>0</v>
      </c>
      <c r="AP30" s="29">
        <f t="shared" si="44"/>
        <v>0</v>
      </c>
      <c r="AQ30" s="29">
        <f t="shared" si="44"/>
        <v>0</v>
      </c>
      <c r="AR30" s="29">
        <f t="shared" si="44"/>
        <v>0</v>
      </c>
      <c r="AS30" s="25">
        <f>SUM(AN30:AR30)</f>
        <v>0</v>
      </c>
    </row>
    <row r="31" spans="1:45" x14ac:dyDescent="0.2">
      <c r="E31" s="24">
        <v>70.652000000000001</v>
      </c>
      <c r="F31" s="24">
        <v>0</v>
      </c>
      <c r="G31" s="24">
        <v>289.02</v>
      </c>
      <c r="H31" s="24">
        <v>0</v>
      </c>
      <c r="I31" s="24">
        <v>0</v>
      </c>
      <c r="J31" s="25">
        <f>SUM(E31:I31)</f>
        <v>359.67199999999997</v>
      </c>
      <c r="L31" s="24">
        <v>0</v>
      </c>
      <c r="M31" s="24">
        <v>0</v>
      </c>
      <c r="N31" s="24">
        <v>0</v>
      </c>
      <c r="O31" s="24">
        <v>115.69</v>
      </c>
      <c r="P31" s="24">
        <v>0</v>
      </c>
      <c r="Q31" s="25">
        <f t="shared" ref="Q31:Q34" si="45">SUM(L31:P31)</f>
        <v>115.69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25">
        <f t="shared" ref="X31:X34" si="46">SUM(S31:W31)</f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25">
        <f>SUM(Z31:AD31)</f>
        <v>0</v>
      </c>
      <c r="AG31" s="36">
        <v>0</v>
      </c>
      <c r="AH31" s="36">
        <v>0</v>
      </c>
      <c r="AI31" s="36">
        <v>0</v>
      </c>
      <c r="AJ31" s="36">
        <v>0</v>
      </c>
      <c r="AK31" s="36">
        <v>0</v>
      </c>
      <c r="AL31" s="25">
        <f t="shared" ref="AL31:AL34" si="47">SUM(AG31:AK31)</f>
        <v>0</v>
      </c>
      <c r="AN31" s="29">
        <f t="shared" si="44"/>
        <v>0</v>
      </c>
      <c r="AO31" s="29">
        <f t="shared" si="44"/>
        <v>0</v>
      </c>
      <c r="AP31" s="29">
        <f t="shared" si="44"/>
        <v>0</v>
      </c>
      <c r="AQ31" s="29">
        <f t="shared" si="44"/>
        <v>0</v>
      </c>
      <c r="AR31" s="29">
        <f t="shared" si="44"/>
        <v>0</v>
      </c>
      <c r="AS31" s="25">
        <f t="shared" ref="AS31:AS34" si="48">SUM(AN31:AR31)</f>
        <v>0</v>
      </c>
    </row>
    <row r="32" spans="1:45" x14ac:dyDescent="0.2">
      <c r="E32" s="27">
        <v>472.30200000000002</v>
      </c>
      <c r="F32" s="24">
        <v>0</v>
      </c>
      <c r="G32" s="24">
        <v>0</v>
      </c>
      <c r="H32" s="24">
        <v>0</v>
      </c>
      <c r="I32" s="24">
        <v>0</v>
      </c>
      <c r="J32" s="25">
        <f>SUM(E32:I32)</f>
        <v>472.30200000000002</v>
      </c>
      <c r="L32" s="24">
        <v>0</v>
      </c>
      <c r="M32" s="24">
        <v>289.02</v>
      </c>
      <c r="N32" s="24">
        <v>0</v>
      </c>
      <c r="O32" s="24">
        <v>964.32</v>
      </c>
      <c r="P32" s="24">
        <v>0</v>
      </c>
      <c r="Q32" s="25">
        <f t="shared" si="45"/>
        <v>1253.3400000000001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25">
        <f t="shared" si="46"/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25">
        <f>SUM(Z32:AD32)</f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25">
        <f t="shared" si="47"/>
        <v>0</v>
      </c>
      <c r="AN32" s="29">
        <f t="shared" si="44"/>
        <v>0</v>
      </c>
      <c r="AO32" s="29">
        <f t="shared" si="44"/>
        <v>0</v>
      </c>
      <c r="AP32" s="29">
        <f t="shared" si="44"/>
        <v>0</v>
      </c>
      <c r="AQ32" s="29">
        <f t="shared" si="44"/>
        <v>0</v>
      </c>
      <c r="AR32" s="29">
        <f t="shared" si="44"/>
        <v>0</v>
      </c>
      <c r="AS32" s="25">
        <f t="shared" si="48"/>
        <v>0</v>
      </c>
    </row>
    <row r="33" spans="1:45" x14ac:dyDescent="0.2">
      <c r="E33" s="24">
        <v>77.055000000000007</v>
      </c>
      <c r="F33" s="24">
        <v>115.69</v>
      </c>
      <c r="G33" s="24">
        <v>964.32</v>
      </c>
      <c r="H33" s="24">
        <v>0</v>
      </c>
      <c r="I33" s="24">
        <v>158.47999999999999</v>
      </c>
      <c r="J33" s="25">
        <f>SUM(E33:I33)</f>
        <v>1315.5450000000001</v>
      </c>
      <c r="L33" s="24">
        <v>0</v>
      </c>
      <c r="M33" s="24">
        <v>0</v>
      </c>
      <c r="N33" s="24">
        <v>0</v>
      </c>
      <c r="O33" s="24">
        <v>0</v>
      </c>
      <c r="P33" s="24">
        <v>2717.39</v>
      </c>
      <c r="Q33" s="25">
        <f t="shared" si="45"/>
        <v>2717.39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25">
        <f t="shared" si="46"/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25">
        <f>SUM(Z33:AD33)</f>
        <v>0</v>
      </c>
      <c r="AG33" s="36">
        <v>0</v>
      </c>
      <c r="AH33" s="36">
        <v>0</v>
      </c>
      <c r="AI33" s="36">
        <v>0</v>
      </c>
      <c r="AJ33" s="36">
        <v>0</v>
      </c>
      <c r="AK33" s="36">
        <v>0</v>
      </c>
      <c r="AL33" s="25">
        <f t="shared" si="47"/>
        <v>0</v>
      </c>
      <c r="AN33" s="29">
        <f t="shared" si="44"/>
        <v>0</v>
      </c>
      <c r="AO33" s="29">
        <f t="shared" si="44"/>
        <v>0</v>
      </c>
      <c r="AP33" s="29">
        <f t="shared" si="44"/>
        <v>0</v>
      </c>
      <c r="AQ33" s="29">
        <f t="shared" si="44"/>
        <v>0</v>
      </c>
      <c r="AR33" s="29">
        <f t="shared" si="44"/>
        <v>0</v>
      </c>
      <c r="AS33" s="25">
        <f t="shared" si="48"/>
        <v>0</v>
      </c>
    </row>
    <row r="34" spans="1:45" x14ac:dyDescent="0.2">
      <c r="E34" s="24">
        <v>0</v>
      </c>
      <c r="F34" s="24">
        <v>0</v>
      </c>
      <c r="G34" s="24">
        <v>0</v>
      </c>
      <c r="H34" s="24">
        <v>2717.39</v>
      </c>
      <c r="I34" s="24">
        <v>0</v>
      </c>
      <c r="J34" s="25">
        <f>SUM(E34:I34)</f>
        <v>2717.39</v>
      </c>
      <c r="L34" s="24">
        <v>0</v>
      </c>
      <c r="M34" s="24">
        <v>0</v>
      </c>
      <c r="N34" s="24">
        <v>0</v>
      </c>
      <c r="O34" s="24">
        <v>158.47999999999999</v>
      </c>
      <c r="P34" s="24">
        <v>0</v>
      </c>
      <c r="Q34" s="25">
        <f t="shared" si="45"/>
        <v>158.47999999999999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25">
        <f t="shared" si="46"/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25">
        <f>SUM(Z34:AD34)</f>
        <v>0</v>
      </c>
      <c r="AG34" s="36">
        <v>0</v>
      </c>
      <c r="AH34" s="36">
        <v>0</v>
      </c>
      <c r="AI34" s="36">
        <v>0</v>
      </c>
      <c r="AJ34" s="36">
        <v>0</v>
      </c>
      <c r="AK34" s="36">
        <v>0</v>
      </c>
      <c r="AL34" s="25">
        <f t="shared" si="47"/>
        <v>0</v>
      </c>
      <c r="AN34" s="29">
        <f t="shared" si="44"/>
        <v>0</v>
      </c>
      <c r="AO34" s="29">
        <f t="shared" si="44"/>
        <v>0</v>
      </c>
      <c r="AP34" s="29">
        <f t="shared" si="44"/>
        <v>0</v>
      </c>
      <c r="AQ34" s="29">
        <f t="shared" si="44"/>
        <v>0</v>
      </c>
      <c r="AR34" s="29">
        <f t="shared" si="44"/>
        <v>0</v>
      </c>
      <c r="AS34" s="25">
        <f t="shared" si="48"/>
        <v>0</v>
      </c>
    </row>
    <row r="35" spans="1:45" s="9" customFormat="1" x14ac:dyDescent="0.2">
      <c r="A35" s="12"/>
      <c r="B35" s="12"/>
      <c r="C35" s="49"/>
      <c r="D35" s="12"/>
      <c r="E35" s="25">
        <f t="shared" ref="E35:J35" si="49">SUM(E30:E34)</f>
        <v>620.00900000000001</v>
      </c>
      <c r="F35" s="25">
        <f t="shared" si="49"/>
        <v>115.69</v>
      </c>
      <c r="G35" s="25">
        <f t="shared" si="49"/>
        <v>1253.3400000000001</v>
      </c>
      <c r="H35" s="25">
        <f t="shared" si="49"/>
        <v>2717.39</v>
      </c>
      <c r="I35" s="25">
        <f t="shared" si="49"/>
        <v>158.47999999999999</v>
      </c>
      <c r="J35" s="25">
        <f t="shared" si="49"/>
        <v>4864.9089999999997</v>
      </c>
      <c r="K35" s="30"/>
      <c r="L35" s="25">
        <f t="shared" ref="L35:Q35" si="50">SUM(L30:L34)</f>
        <v>0</v>
      </c>
      <c r="M35" s="25">
        <f t="shared" si="50"/>
        <v>359.67199999999997</v>
      </c>
      <c r="N35" s="25">
        <f t="shared" si="50"/>
        <v>472.30200000000002</v>
      </c>
      <c r="O35" s="25">
        <f t="shared" si="50"/>
        <v>1315.5450000000001</v>
      </c>
      <c r="P35" s="25">
        <f t="shared" si="50"/>
        <v>2717.39</v>
      </c>
      <c r="Q35" s="25">
        <f t="shared" si="50"/>
        <v>4864.9089999999997</v>
      </c>
      <c r="R35" s="30"/>
      <c r="S35" s="25">
        <f t="shared" ref="S35:X35" si="51">SUM(S30:S34)</f>
        <v>0</v>
      </c>
      <c r="T35" s="25">
        <f t="shared" si="51"/>
        <v>0</v>
      </c>
      <c r="U35" s="25">
        <f t="shared" si="51"/>
        <v>0</v>
      </c>
      <c r="V35" s="25">
        <f t="shared" si="51"/>
        <v>0</v>
      </c>
      <c r="W35" s="25">
        <f t="shared" si="51"/>
        <v>0</v>
      </c>
      <c r="X35" s="25">
        <f t="shared" si="51"/>
        <v>0</v>
      </c>
      <c r="Y35" s="30"/>
      <c r="Z35" s="25">
        <f t="shared" ref="Z35:AE35" si="52">SUM(Z30:Z34)</f>
        <v>0</v>
      </c>
      <c r="AA35" s="25">
        <f t="shared" si="52"/>
        <v>0</v>
      </c>
      <c r="AB35" s="25">
        <f t="shared" si="52"/>
        <v>0</v>
      </c>
      <c r="AC35" s="25">
        <f t="shared" si="52"/>
        <v>0</v>
      </c>
      <c r="AD35" s="25">
        <f t="shared" si="52"/>
        <v>0</v>
      </c>
      <c r="AE35" s="25">
        <f t="shared" si="52"/>
        <v>0</v>
      </c>
      <c r="AF35" s="30"/>
      <c r="AG35" s="25">
        <f>SUM(AG30:AG34)</f>
        <v>0</v>
      </c>
      <c r="AH35" s="25">
        <f t="shared" ref="AH35:AK35" si="53">SUM(AH30:AH34)</f>
        <v>0</v>
      </c>
      <c r="AI35" s="25">
        <f t="shared" si="53"/>
        <v>0</v>
      </c>
      <c r="AJ35" s="25">
        <f t="shared" si="53"/>
        <v>0</v>
      </c>
      <c r="AK35" s="25">
        <f t="shared" si="53"/>
        <v>0</v>
      </c>
      <c r="AL35" s="25">
        <f>SUM(AL30:AL34)</f>
        <v>0</v>
      </c>
      <c r="AM35" s="30"/>
      <c r="AN35" s="25">
        <f>SUM(AN30:AN34)</f>
        <v>0</v>
      </c>
      <c r="AO35" s="25">
        <f t="shared" ref="AO35:AS35" si="54">SUM(AO30:AO34)</f>
        <v>0</v>
      </c>
      <c r="AP35" s="25">
        <f t="shared" si="54"/>
        <v>0</v>
      </c>
      <c r="AQ35" s="25">
        <f t="shared" si="54"/>
        <v>0</v>
      </c>
      <c r="AR35" s="25">
        <f t="shared" si="54"/>
        <v>0</v>
      </c>
      <c r="AS35" s="25">
        <f t="shared" si="54"/>
        <v>0</v>
      </c>
    </row>
    <row r="37" spans="1:45" x14ac:dyDescent="0.2">
      <c r="B37" s="6">
        <v>3</v>
      </c>
      <c r="C37" s="49" t="s">
        <v>68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5">
        <f>SUM(E37:I37)</f>
        <v>0</v>
      </c>
      <c r="L37" s="24">
        <v>0</v>
      </c>
      <c r="M37" s="24">
        <v>70.652000000000001</v>
      </c>
      <c r="N37" s="27">
        <v>472.30200000000002</v>
      </c>
      <c r="O37" s="24">
        <v>77.055000000000007</v>
      </c>
      <c r="P37" s="24">
        <v>0</v>
      </c>
      <c r="Q37" s="25">
        <f>SUM(L37:P37)</f>
        <v>620.00900000000001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5">
        <f>SUM(S37:W37)</f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5">
        <f>SUM(Z37:AD37)</f>
        <v>0</v>
      </c>
      <c r="AG37" s="24">
        <v>0</v>
      </c>
      <c r="AH37" s="24">
        <v>0</v>
      </c>
      <c r="AI37" s="24">
        <v>0</v>
      </c>
      <c r="AJ37" s="24">
        <v>0</v>
      </c>
      <c r="AK37" s="24">
        <v>0</v>
      </c>
      <c r="AL37" s="25">
        <f>SUM(AG37:AK37)</f>
        <v>0</v>
      </c>
      <c r="AN37" s="29">
        <f t="shared" ref="AN37:AR41" si="55">AG37+Z37</f>
        <v>0</v>
      </c>
      <c r="AO37" s="29">
        <f t="shared" si="55"/>
        <v>0</v>
      </c>
      <c r="AP37" s="29">
        <f t="shared" si="55"/>
        <v>0</v>
      </c>
      <c r="AQ37" s="29">
        <f t="shared" si="55"/>
        <v>0</v>
      </c>
      <c r="AR37" s="29">
        <f t="shared" si="55"/>
        <v>0</v>
      </c>
      <c r="AS37" s="25">
        <f>SUM(AN37:AR37)</f>
        <v>0</v>
      </c>
    </row>
    <row r="38" spans="1:45" x14ac:dyDescent="0.2">
      <c r="C38" s="49"/>
      <c r="E38" s="24">
        <v>70.652000000000001</v>
      </c>
      <c r="F38" s="24">
        <v>0</v>
      </c>
      <c r="G38" s="31">
        <v>284.34100000000001</v>
      </c>
      <c r="H38" s="24">
        <v>0</v>
      </c>
      <c r="I38" s="24">
        <v>0</v>
      </c>
      <c r="J38" s="25">
        <f>SUM(E38:I38)</f>
        <v>354.99299999999999</v>
      </c>
      <c r="L38" s="24">
        <v>0</v>
      </c>
      <c r="M38" s="24">
        <v>0</v>
      </c>
      <c r="N38" s="24">
        <v>0</v>
      </c>
      <c r="O38" s="24">
        <v>115.69</v>
      </c>
      <c r="P38" s="24">
        <v>0</v>
      </c>
      <c r="Q38" s="25">
        <f t="shared" ref="Q38:Q41" si="56">SUM(L38:P38)</f>
        <v>115.69</v>
      </c>
      <c r="S38" s="24">
        <v>0</v>
      </c>
      <c r="T38" s="24">
        <v>0</v>
      </c>
      <c r="U38" s="31">
        <v>4.6790485000000004</v>
      </c>
      <c r="V38" s="24">
        <v>0</v>
      </c>
      <c r="W38" s="24">
        <v>0</v>
      </c>
      <c r="X38" s="25">
        <f t="shared" ref="X38:X41" si="57">SUM(S38:W38)</f>
        <v>4.6790485000000004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5">
        <f>SUM(Z38:AD38)</f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5">
        <f t="shared" ref="AL38:AL41" si="58">SUM(AG38:AK38)</f>
        <v>0</v>
      </c>
      <c r="AN38" s="29">
        <f t="shared" si="55"/>
        <v>0</v>
      </c>
      <c r="AO38" s="29">
        <f t="shared" si="55"/>
        <v>0</v>
      </c>
      <c r="AP38" s="29">
        <f t="shared" si="55"/>
        <v>0</v>
      </c>
      <c r="AQ38" s="29">
        <f t="shared" si="55"/>
        <v>0</v>
      </c>
      <c r="AR38" s="29">
        <f t="shared" si="55"/>
        <v>0</v>
      </c>
      <c r="AS38" s="25">
        <f t="shared" ref="AS38:AS41" si="59">SUM(AN38:AR38)</f>
        <v>0</v>
      </c>
    </row>
    <row r="39" spans="1:45" x14ac:dyDescent="0.2">
      <c r="C39" s="49"/>
      <c r="E39" s="27">
        <v>472.30200000000002</v>
      </c>
      <c r="F39" s="24">
        <v>0</v>
      </c>
      <c r="G39" s="24">
        <v>0</v>
      </c>
      <c r="H39" s="24">
        <v>0</v>
      </c>
      <c r="I39" s="24">
        <v>0</v>
      </c>
      <c r="J39" s="25">
        <f>SUM(E39:I39)</f>
        <v>472.30200000000002</v>
      </c>
      <c r="L39" s="24">
        <v>0</v>
      </c>
      <c r="M39" s="31">
        <v>284.34100000000001</v>
      </c>
      <c r="N39" s="24">
        <v>0</v>
      </c>
      <c r="O39" s="31">
        <v>948.7</v>
      </c>
      <c r="P39" s="24">
        <v>0</v>
      </c>
      <c r="Q39" s="25">
        <f t="shared" si="56"/>
        <v>1233.0410000000002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5">
        <f t="shared" si="57"/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5">
        <f>SUM(Z39:AD39)</f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5">
        <f t="shared" si="58"/>
        <v>0</v>
      </c>
      <c r="AN39" s="29">
        <f t="shared" si="55"/>
        <v>0</v>
      </c>
      <c r="AO39" s="29">
        <f t="shared" si="55"/>
        <v>0</v>
      </c>
      <c r="AP39" s="29">
        <f t="shared" si="55"/>
        <v>0</v>
      </c>
      <c r="AQ39" s="29">
        <f t="shared" si="55"/>
        <v>0</v>
      </c>
      <c r="AR39" s="29">
        <f t="shared" si="55"/>
        <v>0</v>
      </c>
      <c r="AS39" s="25">
        <f t="shared" si="59"/>
        <v>0</v>
      </c>
    </row>
    <row r="40" spans="1:45" x14ac:dyDescent="0.2">
      <c r="C40" s="49"/>
      <c r="E40" s="24">
        <v>77.055000000000007</v>
      </c>
      <c r="F40" s="24">
        <v>115.69</v>
      </c>
      <c r="G40" s="31">
        <v>948.7</v>
      </c>
      <c r="H40" s="24">
        <v>0</v>
      </c>
      <c r="I40" s="24">
        <v>158.47999999999999</v>
      </c>
      <c r="J40" s="25">
        <f>SUM(E40:I40)</f>
        <v>1299.9250000000002</v>
      </c>
      <c r="L40" s="24">
        <v>0</v>
      </c>
      <c r="M40" s="24">
        <v>0</v>
      </c>
      <c r="N40" s="24">
        <v>0</v>
      </c>
      <c r="O40" s="24">
        <v>0</v>
      </c>
      <c r="P40" s="24">
        <v>2717.39</v>
      </c>
      <c r="Q40" s="25">
        <f t="shared" si="56"/>
        <v>2717.39</v>
      </c>
      <c r="S40" s="24">
        <v>0</v>
      </c>
      <c r="T40" s="24">
        <v>0</v>
      </c>
      <c r="U40" s="31">
        <v>15.611723</v>
      </c>
      <c r="V40" s="24">
        <v>0</v>
      </c>
      <c r="W40" s="24">
        <v>0</v>
      </c>
      <c r="X40" s="25">
        <f t="shared" si="57"/>
        <v>15.611723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5">
        <f>SUM(Z40:AD40)</f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5">
        <f t="shared" si="58"/>
        <v>0</v>
      </c>
      <c r="AN40" s="29">
        <f t="shared" si="55"/>
        <v>0</v>
      </c>
      <c r="AO40" s="29">
        <f t="shared" si="55"/>
        <v>0</v>
      </c>
      <c r="AP40" s="29">
        <f t="shared" si="55"/>
        <v>0</v>
      </c>
      <c r="AQ40" s="29">
        <f t="shared" si="55"/>
        <v>0</v>
      </c>
      <c r="AR40" s="29">
        <f t="shared" si="55"/>
        <v>0</v>
      </c>
      <c r="AS40" s="25">
        <f t="shared" si="59"/>
        <v>0</v>
      </c>
    </row>
    <row r="41" spans="1:45" x14ac:dyDescent="0.2">
      <c r="C41" s="49"/>
      <c r="E41" s="24">
        <v>0</v>
      </c>
      <c r="F41" s="24">
        <v>0</v>
      </c>
      <c r="G41" s="24">
        <v>0</v>
      </c>
      <c r="H41" s="24">
        <v>2717.39</v>
      </c>
      <c r="I41" s="24">
        <v>0</v>
      </c>
      <c r="J41" s="25">
        <f>SUM(E41:I41)</f>
        <v>2717.39</v>
      </c>
      <c r="L41" s="24">
        <v>0</v>
      </c>
      <c r="M41" s="24">
        <v>0</v>
      </c>
      <c r="N41" s="24">
        <v>0</v>
      </c>
      <c r="O41" s="24">
        <v>158.47999999999999</v>
      </c>
      <c r="P41" s="24">
        <v>0</v>
      </c>
      <c r="Q41" s="25">
        <f t="shared" si="56"/>
        <v>158.47999999999999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5">
        <f t="shared" si="57"/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5">
        <f>SUM(Z41:AD41)</f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5">
        <f t="shared" si="58"/>
        <v>0</v>
      </c>
      <c r="AN41" s="29">
        <f t="shared" si="55"/>
        <v>0</v>
      </c>
      <c r="AO41" s="29">
        <f t="shared" si="55"/>
        <v>0</v>
      </c>
      <c r="AP41" s="29">
        <f t="shared" si="55"/>
        <v>0</v>
      </c>
      <c r="AQ41" s="29">
        <f t="shared" si="55"/>
        <v>0</v>
      </c>
      <c r="AR41" s="29">
        <f t="shared" si="55"/>
        <v>0</v>
      </c>
      <c r="AS41" s="25">
        <f t="shared" si="59"/>
        <v>0</v>
      </c>
    </row>
    <row r="42" spans="1:45" s="9" customFormat="1" x14ac:dyDescent="0.2">
      <c r="A42" s="12"/>
      <c r="B42" s="12"/>
      <c r="C42" s="49"/>
      <c r="D42" s="12"/>
      <c r="E42" s="25">
        <f t="shared" ref="E42:J42" si="60">SUM(E37:E41)</f>
        <v>620.00900000000001</v>
      </c>
      <c r="F42" s="25">
        <f t="shared" si="60"/>
        <v>115.69</v>
      </c>
      <c r="G42" s="25">
        <f t="shared" si="60"/>
        <v>1233.0410000000002</v>
      </c>
      <c r="H42" s="25">
        <f t="shared" si="60"/>
        <v>2717.39</v>
      </c>
      <c r="I42" s="25">
        <f t="shared" si="60"/>
        <v>158.47999999999999</v>
      </c>
      <c r="J42" s="25">
        <f t="shared" si="60"/>
        <v>4844.6100000000006</v>
      </c>
      <c r="K42" s="30"/>
      <c r="L42" s="25">
        <f t="shared" ref="L42:Q42" si="61">SUM(L37:L41)</f>
        <v>0</v>
      </c>
      <c r="M42" s="25">
        <f t="shared" si="61"/>
        <v>354.99299999999999</v>
      </c>
      <c r="N42" s="25">
        <f t="shared" si="61"/>
        <v>472.30200000000002</v>
      </c>
      <c r="O42" s="25">
        <f t="shared" si="61"/>
        <v>1299.9250000000002</v>
      </c>
      <c r="P42" s="25">
        <f t="shared" si="61"/>
        <v>2717.39</v>
      </c>
      <c r="Q42" s="25">
        <f t="shared" si="61"/>
        <v>4844.6099999999997</v>
      </c>
      <c r="R42" s="30"/>
      <c r="S42" s="25">
        <f t="shared" ref="S42:X42" si="62">SUM(S37:S41)</f>
        <v>0</v>
      </c>
      <c r="T42" s="25">
        <f t="shared" si="62"/>
        <v>0</v>
      </c>
      <c r="U42" s="25">
        <f t="shared" si="62"/>
        <v>20.290771499999998</v>
      </c>
      <c r="V42" s="25">
        <f t="shared" si="62"/>
        <v>0</v>
      </c>
      <c r="W42" s="25">
        <f t="shared" si="62"/>
        <v>0</v>
      </c>
      <c r="X42" s="25">
        <f t="shared" si="62"/>
        <v>20.290771499999998</v>
      </c>
      <c r="Y42" s="30"/>
      <c r="Z42" s="25">
        <f t="shared" ref="Z42:AE42" si="63">SUM(Z37:Z41)</f>
        <v>0</v>
      </c>
      <c r="AA42" s="25">
        <f t="shared" si="63"/>
        <v>0</v>
      </c>
      <c r="AB42" s="25">
        <f t="shared" si="63"/>
        <v>0</v>
      </c>
      <c r="AC42" s="25">
        <f t="shared" si="63"/>
        <v>0</v>
      </c>
      <c r="AD42" s="25">
        <f t="shared" si="63"/>
        <v>0</v>
      </c>
      <c r="AE42" s="25">
        <f t="shared" si="63"/>
        <v>0</v>
      </c>
      <c r="AF42" s="30"/>
      <c r="AG42" s="25">
        <f>SUM(AG37:AG41)</f>
        <v>0</v>
      </c>
      <c r="AH42" s="25">
        <f t="shared" ref="AH42:AK42" si="64">SUM(AH37:AH41)</f>
        <v>0</v>
      </c>
      <c r="AI42" s="25">
        <f t="shared" si="64"/>
        <v>0</v>
      </c>
      <c r="AJ42" s="25">
        <f t="shared" si="64"/>
        <v>0</v>
      </c>
      <c r="AK42" s="25">
        <f t="shared" si="64"/>
        <v>0</v>
      </c>
      <c r="AL42" s="25">
        <f>SUM(AL37:AL41)</f>
        <v>0</v>
      </c>
      <c r="AM42" s="30"/>
      <c r="AN42" s="25">
        <f>SUM(AN37:AN41)</f>
        <v>0</v>
      </c>
      <c r="AO42" s="25">
        <f t="shared" ref="AO42:AS42" si="65">SUM(AO37:AO41)</f>
        <v>0</v>
      </c>
      <c r="AP42" s="25">
        <f t="shared" si="65"/>
        <v>0</v>
      </c>
      <c r="AQ42" s="25">
        <f t="shared" si="65"/>
        <v>0</v>
      </c>
      <c r="AR42" s="25">
        <f t="shared" si="65"/>
        <v>0</v>
      </c>
      <c r="AS42" s="25">
        <f t="shared" si="65"/>
        <v>0</v>
      </c>
    </row>
    <row r="43" spans="1:45" x14ac:dyDescent="0.2">
      <c r="C43" s="49"/>
    </row>
    <row r="44" spans="1:45" x14ac:dyDescent="0.2">
      <c r="B44" s="6">
        <v>3</v>
      </c>
      <c r="C44" s="49" t="s">
        <v>69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5">
        <f>SUM(E44:I44)</f>
        <v>0</v>
      </c>
      <c r="L44" s="24">
        <v>0</v>
      </c>
      <c r="M44" s="46">
        <v>53.366</v>
      </c>
      <c r="N44" s="27">
        <v>472.30200000000002</v>
      </c>
      <c r="O44" s="24">
        <v>77.055000000000007</v>
      </c>
      <c r="P44" s="24">
        <v>0</v>
      </c>
      <c r="Q44" s="25">
        <f>SUM(L44:P44)</f>
        <v>602.72299999999996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5">
        <f>SUM(S44:W44)</f>
        <v>0</v>
      </c>
      <c r="Z44" s="24">
        <v>0</v>
      </c>
      <c r="AA44" s="47">
        <v>17.286100000000001</v>
      </c>
      <c r="AB44" s="24">
        <v>0</v>
      </c>
      <c r="AC44" s="24">
        <v>0</v>
      </c>
      <c r="AD44" s="24">
        <v>0</v>
      </c>
      <c r="AE44" s="25">
        <f>SUM(Z44:AD44)</f>
        <v>17.286100000000001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5">
        <f>SUM(AG44:AK44)</f>
        <v>0</v>
      </c>
      <c r="AN44" s="29">
        <f t="shared" ref="AN44:AR48" si="66">AG44+Z44</f>
        <v>0</v>
      </c>
      <c r="AO44" s="29">
        <f t="shared" si="66"/>
        <v>17.286100000000001</v>
      </c>
      <c r="AP44" s="29">
        <f t="shared" si="66"/>
        <v>0</v>
      </c>
      <c r="AQ44" s="29">
        <f t="shared" si="66"/>
        <v>0</v>
      </c>
      <c r="AR44" s="29">
        <f t="shared" si="66"/>
        <v>0</v>
      </c>
      <c r="AS44" s="25">
        <f>SUM(AN44:AR44)</f>
        <v>17.286100000000001</v>
      </c>
    </row>
    <row r="45" spans="1:45" x14ac:dyDescent="0.2">
      <c r="C45" s="49"/>
      <c r="E45" s="46">
        <v>53.366</v>
      </c>
      <c r="F45" s="24">
        <v>0</v>
      </c>
      <c r="G45" s="46">
        <v>218.30699999999999</v>
      </c>
      <c r="H45" s="24">
        <v>0</v>
      </c>
      <c r="I45" s="24">
        <v>0</v>
      </c>
      <c r="J45" s="25">
        <f>SUM(E45:I45)</f>
        <v>271.673</v>
      </c>
      <c r="L45" s="24">
        <v>0</v>
      </c>
      <c r="M45" s="24">
        <v>0</v>
      </c>
      <c r="N45" s="24">
        <v>0</v>
      </c>
      <c r="O45" s="24">
        <v>115.69</v>
      </c>
      <c r="P45" s="24">
        <v>0</v>
      </c>
      <c r="Q45" s="25">
        <f t="shared" ref="Q45:Q48" si="67">SUM(L45:P45)</f>
        <v>115.69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5">
        <f t="shared" ref="X45:X48" si="68">SUM(S45:W45)</f>
        <v>0</v>
      </c>
      <c r="Z45" s="24">
        <v>0</v>
      </c>
      <c r="AA45" s="30">
        <v>0</v>
      </c>
      <c r="AB45" s="24">
        <v>0</v>
      </c>
      <c r="AC45" s="24">
        <v>0</v>
      </c>
      <c r="AD45" s="24">
        <v>0</v>
      </c>
      <c r="AE45" s="25">
        <f>SUM(Z45:AD45)</f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5">
        <f t="shared" ref="AL45:AL48" si="69">SUM(AG45:AK45)</f>
        <v>0</v>
      </c>
      <c r="AN45" s="29">
        <f t="shared" si="66"/>
        <v>0</v>
      </c>
      <c r="AO45" s="29">
        <f t="shared" si="66"/>
        <v>0</v>
      </c>
      <c r="AP45" s="29">
        <f t="shared" si="66"/>
        <v>0</v>
      </c>
      <c r="AQ45" s="29">
        <f t="shared" si="66"/>
        <v>0</v>
      </c>
      <c r="AR45" s="29">
        <f t="shared" si="66"/>
        <v>0</v>
      </c>
      <c r="AS45" s="25">
        <f t="shared" ref="AS45:AS48" si="70">SUM(AN45:AR45)</f>
        <v>0</v>
      </c>
    </row>
    <row r="46" spans="1:45" x14ac:dyDescent="0.2">
      <c r="C46" s="49"/>
      <c r="E46" s="27">
        <v>472.30200000000002</v>
      </c>
      <c r="F46" s="24">
        <v>0</v>
      </c>
      <c r="G46" s="24">
        <v>0</v>
      </c>
      <c r="H46" s="24">
        <v>0</v>
      </c>
      <c r="I46" s="24">
        <v>0</v>
      </c>
      <c r="J46" s="25">
        <f>SUM(E46:I46)</f>
        <v>472.30200000000002</v>
      </c>
      <c r="L46" s="24">
        <v>0</v>
      </c>
      <c r="M46" s="46">
        <v>218.30699999999999</v>
      </c>
      <c r="N46" s="24">
        <v>0</v>
      </c>
      <c r="O46" s="24">
        <v>948.7</v>
      </c>
      <c r="P46" s="24">
        <v>0</v>
      </c>
      <c r="Q46" s="25">
        <f t="shared" si="67"/>
        <v>1167.0070000000001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5">
        <f t="shared" si="68"/>
        <v>0</v>
      </c>
      <c r="Z46" s="24">
        <v>0</v>
      </c>
      <c r="AA46" s="47">
        <v>70.713399999999993</v>
      </c>
      <c r="AB46" s="24">
        <v>0</v>
      </c>
      <c r="AC46" s="24">
        <v>0</v>
      </c>
      <c r="AD46" s="24">
        <v>0</v>
      </c>
      <c r="AE46" s="25">
        <f>SUM(Z46:AD46)</f>
        <v>70.713399999999993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5">
        <f t="shared" si="69"/>
        <v>0</v>
      </c>
      <c r="AN46" s="29">
        <f t="shared" si="66"/>
        <v>0</v>
      </c>
      <c r="AO46" s="29">
        <f t="shared" si="66"/>
        <v>70.713399999999993</v>
      </c>
      <c r="AP46" s="29">
        <f t="shared" si="66"/>
        <v>0</v>
      </c>
      <c r="AQ46" s="29">
        <f t="shared" si="66"/>
        <v>0</v>
      </c>
      <c r="AR46" s="29">
        <f t="shared" si="66"/>
        <v>0</v>
      </c>
      <c r="AS46" s="25">
        <f t="shared" si="70"/>
        <v>70.713399999999993</v>
      </c>
    </row>
    <row r="47" spans="1:45" x14ac:dyDescent="0.2">
      <c r="C47" s="49"/>
      <c r="E47" s="24">
        <v>77.055000000000007</v>
      </c>
      <c r="F47" s="24">
        <v>115.69</v>
      </c>
      <c r="G47" s="24">
        <v>948.7</v>
      </c>
      <c r="H47" s="24">
        <v>0</v>
      </c>
      <c r="I47" s="24">
        <v>158.47999999999999</v>
      </c>
      <c r="J47" s="25">
        <f>SUM(E47:I47)</f>
        <v>1299.9250000000002</v>
      </c>
      <c r="L47" s="24">
        <v>0</v>
      </c>
      <c r="M47" s="24">
        <v>0</v>
      </c>
      <c r="N47" s="24">
        <v>0</v>
      </c>
      <c r="O47" s="24">
        <v>0</v>
      </c>
      <c r="P47" s="24">
        <v>2717.39</v>
      </c>
      <c r="Q47" s="25">
        <f t="shared" si="67"/>
        <v>2717.39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5">
        <f t="shared" si="68"/>
        <v>0</v>
      </c>
      <c r="Z47" s="24">
        <v>0</v>
      </c>
      <c r="AA47" s="30">
        <v>0</v>
      </c>
      <c r="AB47" s="24">
        <v>0</v>
      </c>
      <c r="AC47" s="24">
        <v>0</v>
      </c>
      <c r="AD47" s="24">
        <v>0</v>
      </c>
      <c r="AE47" s="25">
        <f>SUM(Z47:AD47)</f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5">
        <f t="shared" si="69"/>
        <v>0</v>
      </c>
      <c r="AN47" s="29">
        <f t="shared" si="66"/>
        <v>0</v>
      </c>
      <c r="AO47" s="29">
        <f t="shared" si="66"/>
        <v>0</v>
      </c>
      <c r="AP47" s="29">
        <f t="shared" si="66"/>
        <v>0</v>
      </c>
      <c r="AQ47" s="29">
        <f t="shared" si="66"/>
        <v>0</v>
      </c>
      <c r="AR47" s="29">
        <f t="shared" si="66"/>
        <v>0</v>
      </c>
      <c r="AS47" s="25">
        <f t="shared" si="70"/>
        <v>0</v>
      </c>
    </row>
    <row r="48" spans="1:45" x14ac:dyDescent="0.2">
      <c r="C48" s="49"/>
      <c r="E48" s="24">
        <v>0</v>
      </c>
      <c r="F48" s="24">
        <v>0</v>
      </c>
      <c r="G48" s="24">
        <v>0</v>
      </c>
      <c r="H48" s="24">
        <v>2717.39</v>
      </c>
      <c r="I48" s="24">
        <v>0</v>
      </c>
      <c r="J48" s="25">
        <f>SUM(E48:I48)</f>
        <v>2717.39</v>
      </c>
      <c r="L48" s="24">
        <v>0</v>
      </c>
      <c r="M48" s="24">
        <v>0</v>
      </c>
      <c r="N48" s="24">
        <v>0</v>
      </c>
      <c r="O48" s="24">
        <v>158.47999999999999</v>
      </c>
      <c r="P48" s="24">
        <v>0</v>
      </c>
      <c r="Q48" s="25">
        <f t="shared" si="67"/>
        <v>158.47999999999999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5">
        <f t="shared" si="68"/>
        <v>0</v>
      </c>
      <c r="Z48" s="24">
        <v>0</v>
      </c>
      <c r="AA48" s="30">
        <v>0</v>
      </c>
      <c r="AB48" s="24">
        <v>0</v>
      </c>
      <c r="AC48" s="24">
        <v>0</v>
      </c>
      <c r="AD48" s="24">
        <v>0</v>
      </c>
      <c r="AE48" s="25">
        <f>SUM(Z48:AD48)</f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5">
        <f t="shared" si="69"/>
        <v>0</v>
      </c>
      <c r="AN48" s="29">
        <f t="shared" si="66"/>
        <v>0</v>
      </c>
      <c r="AO48" s="29">
        <f t="shared" si="66"/>
        <v>0</v>
      </c>
      <c r="AP48" s="29">
        <f t="shared" si="66"/>
        <v>0</v>
      </c>
      <c r="AQ48" s="29">
        <f t="shared" si="66"/>
        <v>0</v>
      </c>
      <c r="AR48" s="29">
        <f t="shared" si="66"/>
        <v>0</v>
      </c>
      <c r="AS48" s="25">
        <f t="shared" si="70"/>
        <v>0</v>
      </c>
    </row>
    <row r="49" spans="1:45" s="9" customFormat="1" x14ac:dyDescent="0.2">
      <c r="A49" s="12"/>
      <c r="B49" s="12"/>
      <c r="C49" s="49"/>
      <c r="D49" s="12"/>
      <c r="E49" s="25">
        <f t="shared" ref="E49:J49" si="71">SUM(E44:E48)</f>
        <v>602.72299999999996</v>
      </c>
      <c r="F49" s="25">
        <f t="shared" si="71"/>
        <v>115.69</v>
      </c>
      <c r="G49" s="25">
        <f t="shared" si="71"/>
        <v>1167.0070000000001</v>
      </c>
      <c r="H49" s="25">
        <f t="shared" si="71"/>
        <v>2717.39</v>
      </c>
      <c r="I49" s="25">
        <f t="shared" si="71"/>
        <v>158.47999999999999</v>
      </c>
      <c r="J49" s="25">
        <f t="shared" si="71"/>
        <v>4761.29</v>
      </c>
      <c r="K49" s="30"/>
      <c r="L49" s="25">
        <f t="shared" ref="L49:Q49" si="72">SUM(L44:L48)</f>
        <v>0</v>
      </c>
      <c r="M49" s="25">
        <f t="shared" si="72"/>
        <v>271.673</v>
      </c>
      <c r="N49" s="25">
        <f t="shared" si="72"/>
        <v>472.30200000000002</v>
      </c>
      <c r="O49" s="25">
        <f t="shared" si="72"/>
        <v>1299.9250000000002</v>
      </c>
      <c r="P49" s="25">
        <f t="shared" si="72"/>
        <v>2717.39</v>
      </c>
      <c r="Q49" s="25">
        <f t="shared" si="72"/>
        <v>4761.2899999999991</v>
      </c>
      <c r="R49" s="30"/>
      <c r="S49" s="25">
        <f t="shared" ref="S49:X49" si="73">SUM(S44:S48)</f>
        <v>0</v>
      </c>
      <c r="T49" s="25">
        <f t="shared" si="73"/>
        <v>0</v>
      </c>
      <c r="U49" s="25">
        <f t="shared" si="73"/>
        <v>0</v>
      </c>
      <c r="V49" s="25">
        <f t="shared" si="73"/>
        <v>0</v>
      </c>
      <c r="W49" s="25">
        <f t="shared" si="73"/>
        <v>0</v>
      </c>
      <c r="X49" s="25">
        <f t="shared" si="73"/>
        <v>0</v>
      </c>
      <c r="Y49" s="30"/>
      <c r="Z49" s="25">
        <f t="shared" ref="Z49:AE49" si="74">SUM(Z44:Z48)</f>
        <v>0</v>
      </c>
      <c r="AA49" s="25">
        <f t="shared" si="74"/>
        <v>87.999499999999998</v>
      </c>
      <c r="AB49" s="25">
        <f t="shared" si="74"/>
        <v>0</v>
      </c>
      <c r="AC49" s="25">
        <f t="shared" si="74"/>
        <v>0</v>
      </c>
      <c r="AD49" s="25">
        <f t="shared" si="74"/>
        <v>0</v>
      </c>
      <c r="AE49" s="25">
        <f t="shared" si="74"/>
        <v>87.999499999999998</v>
      </c>
      <c r="AF49" s="30"/>
      <c r="AG49" s="25">
        <f>SUM(AG44:AG48)</f>
        <v>0</v>
      </c>
      <c r="AH49" s="25">
        <f t="shared" ref="AH49:AK49" si="75">SUM(AH44:AH48)</f>
        <v>0</v>
      </c>
      <c r="AI49" s="25">
        <f t="shared" si="75"/>
        <v>0</v>
      </c>
      <c r="AJ49" s="25">
        <f t="shared" si="75"/>
        <v>0</v>
      </c>
      <c r="AK49" s="25">
        <f t="shared" si="75"/>
        <v>0</v>
      </c>
      <c r="AL49" s="25">
        <f>SUM(AL44:AL48)</f>
        <v>0</v>
      </c>
      <c r="AM49" s="30"/>
      <c r="AN49" s="25">
        <f>SUM(AN44:AN48)</f>
        <v>0</v>
      </c>
      <c r="AO49" s="25">
        <f t="shared" ref="AO49:AS49" si="76">SUM(AO44:AO48)</f>
        <v>87.999499999999998</v>
      </c>
      <c r="AP49" s="25">
        <f t="shared" si="76"/>
        <v>0</v>
      </c>
      <c r="AQ49" s="25">
        <f t="shared" si="76"/>
        <v>0</v>
      </c>
      <c r="AR49" s="25">
        <f t="shared" si="76"/>
        <v>0</v>
      </c>
      <c r="AS49" s="25">
        <f t="shared" si="76"/>
        <v>87.999499999999998</v>
      </c>
    </row>
    <row r="50" spans="1:45" x14ac:dyDescent="0.2">
      <c r="C50" s="49"/>
    </row>
    <row r="51" spans="1:45" x14ac:dyDescent="0.2">
      <c r="B51" s="6">
        <v>3</v>
      </c>
      <c r="C51" s="49" t="s">
        <v>85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5">
        <f>SUM(E51:I51)</f>
        <v>0</v>
      </c>
      <c r="K51" s="30"/>
      <c r="L51" s="24">
        <v>0</v>
      </c>
      <c r="M51" s="33">
        <v>0</v>
      </c>
      <c r="N51" s="58">
        <v>0</v>
      </c>
      <c r="O51" s="24">
        <v>77.055000000000007</v>
      </c>
      <c r="P51" s="24">
        <v>0</v>
      </c>
      <c r="Q51" s="25">
        <f>SUM(L51:P51)</f>
        <v>77.055000000000007</v>
      </c>
      <c r="R51" s="30"/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5">
        <f>SUM(S51:W51)</f>
        <v>0</v>
      </c>
      <c r="Y51" s="30"/>
      <c r="Z51" s="24">
        <v>0</v>
      </c>
      <c r="AA51" s="30">
        <v>17.286100000000001</v>
      </c>
      <c r="AB51" s="24">
        <v>0</v>
      </c>
      <c r="AC51" s="24">
        <v>0</v>
      </c>
      <c r="AD51" s="24">
        <v>0</v>
      </c>
      <c r="AE51" s="25">
        <f>SUM(Z51:AD51)</f>
        <v>17.286100000000001</v>
      </c>
      <c r="AG51" s="24">
        <v>0</v>
      </c>
      <c r="AH51" s="33">
        <v>53.366</v>
      </c>
      <c r="AI51" s="58">
        <v>472.30200000000002</v>
      </c>
      <c r="AJ51" s="24">
        <v>0</v>
      </c>
      <c r="AK51" s="24">
        <v>0</v>
      </c>
      <c r="AL51" s="25">
        <f>SUM(AG51:AK51)</f>
        <v>525.66800000000001</v>
      </c>
      <c r="AN51" s="29">
        <f t="shared" ref="AN51:AR55" si="77">AG51+Z51</f>
        <v>0</v>
      </c>
      <c r="AO51" s="29">
        <f t="shared" si="77"/>
        <v>70.652100000000004</v>
      </c>
      <c r="AP51" s="29">
        <f t="shared" si="77"/>
        <v>472.30200000000002</v>
      </c>
      <c r="AQ51" s="29">
        <f t="shared" si="77"/>
        <v>0</v>
      </c>
      <c r="AR51" s="29">
        <f t="shared" si="77"/>
        <v>0</v>
      </c>
      <c r="AS51" s="25">
        <f>SUM(AN51:AR51)</f>
        <v>542.95410000000004</v>
      </c>
    </row>
    <row r="52" spans="1:45" x14ac:dyDescent="0.2">
      <c r="C52" s="49"/>
      <c r="E52" s="33">
        <v>0</v>
      </c>
      <c r="F52" s="24">
        <v>0</v>
      </c>
      <c r="G52" s="33">
        <v>0</v>
      </c>
      <c r="H52" s="24">
        <v>0</v>
      </c>
      <c r="I52" s="24">
        <v>0</v>
      </c>
      <c r="J52" s="25">
        <f>SUM(E52:I52)</f>
        <v>0</v>
      </c>
      <c r="K52" s="30"/>
      <c r="L52" s="24">
        <v>0</v>
      </c>
      <c r="M52" s="24">
        <v>0</v>
      </c>
      <c r="N52" s="24">
        <v>0</v>
      </c>
      <c r="O52" s="24">
        <v>115.69</v>
      </c>
      <c r="P52" s="24">
        <v>0</v>
      </c>
      <c r="Q52" s="25">
        <f t="shared" ref="Q52:Q55" si="78">SUM(L52:P52)</f>
        <v>115.69</v>
      </c>
      <c r="R52" s="30"/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5">
        <f t="shared" ref="X52:X55" si="79">SUM(S52:W52)</f>
        <v>0</v>
      </c>
      <c r="Y52" s="30"/>
      <c r="Z52" s="24">
        <v>0</v>
      </c>
      <c r="AA52" s="30">
        <v>0</v>
      </c>
      <c r="AB52" s="24">
        <v>0</v>
      </c>
      <c r="AC52" s="24">
        <v>0</v>
      </c>
      <c r="AD52" s="24">
        <v>0</v>
      </c>
      <c r="AE52" s="25">
        <f>SUM(Z52:AD52)</f>
        <v>0</v>
      </c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5">
        <f t="shared" ref="AL52:AL55" si="80">SUM(AG52:AK52)</f>
        <v>0</v>
      </c>
      <c r="AN52" s="29">
        <f t="shared" si="77"/>
        <v>0</v>
      </c>
      <c r="AO52" s="29">
        <f t="shared" si="77"/>
        <v>0</v>
      </c>
      <c r="AP52" s="29">
        <f t="shared" si="77"/>
        <v>0</v>
      </c>
      <c r="AQ52" s="29">
        <f t="shared" si="77"/>
        <v>0</v>
      </c>
      <c r="AR52" s="29">
        <f t="shared" si="77"/>
        <v>0</v>
      </c>
      <c r="AS52" s="25">
        <f t="shared" ref="AS52:AS55" si="81">SUM(AN52:AR52)</f>
        <v>0</v>
      </c>
    </row>
    <row r="53" spans="1:45" x14ac:dyDescent="0.2">
      <c r="C53" s="49"/>
      <c r="E53" s="58">
        <v>0</v>
      </c>
      <c r="F53" s="24">
        <v>0</v>
      </c>
      <c r="G53" s="24">
        <v>0</v>
      </c>
      <c r="H53" s="24">
        <v>0</v>
      </c>
      <c r="I53" s="24">
        <v>0</v>
      </c>
      <c r="J53" s="25">
        <f>SUM(E53:I53)</f>
        <v>0</v>
      </c>
      <c r="K53" s="30"/>
      <c r="L53" s="24">
        <v>0</v>
      </c>
      <c r="M53" s="33">
        <v>0</v>
      </c>
      <c r="N53" s="24">
        <v>0</v>
      </c>
      <c r="O53" s="24">
        <v>948.7</v>
      </c>
      <c r="P53" s="24">
        <v>0</v>
      </c>
      <c r="Q53" s="25">
        <f t="shared" si="78"/>
        <v>948.7</v>
      </c>
      <c r="R53" s="30"/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5">
        <f t="shared" si="79"/>
        <v>0</v>
      </c>
      <c r="Y53" s="30"/>
      <c r="Z53" s="24">
        <v>0</v>
      </c>
      <c r="AA53" s="30">
        <v>70.713399999999993</v>
      </c>
      <c r="AB53" s="24">
        <v>0</v>
      </c>
      <c r="AC53" s="24">
        <v>0</v>
      </c>
      <c r="AD53" s="24">
        <v>0</v>
      </c>
      <c r="AE53" s="25">
        <f>SUM(Z53:AD53)</f>
        <v>70.713399999999993</v>
      </c>
      <c r="AG53" s="24">
        <v>0</v>
      </c>
      <c r="AH53" s="33">
        <v>218.30699999999999</v>
      </c>
      <c r="AI53" s="24">
        <v>0</v>
      </c>
      <c r="AJ53" s="24">
        <v>0</v>
      </c>
      <c r="AK53" s="24">
        <v>0</v>
      </c>
      <c r="AL53" s="25">
        <f t="shared" si="80"/>
        <v>218.30699999999999</v>
      </c>
      <c r="AN53" s="29">
        <f t="shared" si="77"/>
        <v>0</v>
      </c>
      <c r="AO53" s="29">
        <f t="shared" si="77"/>
        <v>289.0204</v>
      </c>
      <c r="AP53" s="29">
        <f t="shared" si="77"/>
        <v>0</v>
      </c>
      <c r="AQ53" s="29">
        <f t="shared" si="77"/>
        <v>0</v>
      </c>
      <c r="AR53" s="29">
        <f t="shared" si="77"/>
        <v>0</v>
      </c>
      <c r="AS53" s="25">
        <f t="shared" si="81"/>
        <v>289.0204</v>
      </c>
    </row>
    <row r="54" spans="1:45" x14ac:dyDescent="0.2">
      <c r="C54" s="49"/>
      <c r="E54" s="24">
        <v>77.055000000000007</v>
      </c>
      <c r="F54" s="24">
        <v>115.69</v>
      </c>
      <c r="G54" s="24">
        <v>948.7</v>
      </c>
      <c r="H54" s="24">
        <v>0</v>
      </c>
      <c r="I54" s="24">
        <v>158.47999999999999</v>
      </c>
      <c r="J54" s="25">
        <f>SUM(E54:I54)</f>
        <v>1299.9250000000002</v>
      </c>
      <c r="K54" s="30"/>
      <c r="L54" s="24">
        <v>0</v>
      </c>
      <c r="M54" s="24">
        <v>0</v>
      </c>
      <c r="N54" s="24">
        <v>0</v>
      </c>
      <c r="O54" s="24">
        <v>0</v>
      </c>
      <c r="P54" s="24">
        <v>2717.39</v>
      </c>
      <c r="Q54" s="25">
        <f t="shared" si="78"/>
        <v>2717.39</v>
      </c>
      <c r="R54" s="30"/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5">
        <f t="shared" si="79"/>
        <v>0</v>
      </c>
      <c r="Y54" s="30"/>
      <c r="Z54" s="24">
        <v>0</v>
      </c>
      <c r="AA54" s="30">
        <v>0</v>
      </c>
      <c r="AB54" s="24">
        <v>0</v>
      </c>
      <c r="AC54" s="24">
        <v>0</v>
      </c>
      <c r="AD54" s="24">
        <v>0</v>
      </c>
      <c r="AE54" s="25">
        <f>SUM(Z54:AD54)</f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5">
        <f t="shared" si="80"/>
        <v>0</v>
      </c>
      <c r="AN54" s="29">
        <f t="shared" si="77"/>
        <v>0</v>
      </c>
      <c r="AO54" s="29">
        <f t="shared" si="77"/>
        <v>0</v>
      </c>
      <c r="AP54" s="29">
        <f t="shared" si="77"/>
        <v>0</v>
      </c>
      <c r="AQ54" s="29">
        <f t="shared" si="77"/>
        <v>0</v>
      </c>
      <c r="AR54" s="29">
        <f t="shared" si="77"/>
        <v>0</v>
      </c>
      <c r="AS54" s="25">
        <f t="shared" si="81"/>
        <v>0</v>
      </c>
    </row>
    <row r="55" spans="1:45" x14ac:dyDescent="0.2">
      <c r="C55" s="49"/>
      <c r="E55" s="24">
        <v>0</v>
      </c>
      <c r="F55" s="24">
        <v>0</v>
      </c>
      <c r="G55" s="24">
        <v>0</v>
      </c>
      <c r="H55" s="24">
        <v>2717.39</v>
      </c>
      <c r="I55" s="24">
        <v>0</v>
      </c>
      <c r="J55" s="25">
        <f>SUM(E55:I55)</f>
        <v>2717.39</v>
      </c>
      <c r="K55" s="30"/>
      <c r="L55" s="24">
        <v>0</v>
      </c>
      <c r="M55" s="24">
        <v>0</v>
      </c>
      <c r="N55" s="24">
        <v>0</v>
      </c>
      <c r="O55" s="24">
        <v>158.47999999999999</v>
      </c>
      <c r="P55" s="24">
        <v>0</v>
      </c>
      <c r="Q55" s="25">
        <f t="shared" si="78"/>
        <v>158.47999999999999</v>
      </c>
      <c r="R55" s="30"/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5">
        <f t="shared" si="79"/>
        <v>0</v>
      </c>
      <c r="Y55" s="30"/>
      <c r="Z55" s="24">
        <v>0</v>
      </c>
      <c r="AA55" s="30">
        <v>0</v>
      </c>
      <c r="AB55" s="24">
        <v>0</v>
      </c>
      <c r="AC55" s="24">
        <v>0</v>
      </c>
      <c r="AD55" s="24">
        <v>0</v>
      </c>
      <c r="AE55" s="25">
        <f>SUM(Z55:AD55)</f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5">
        <f t="shared" si="80"/>
        <v>0</v>
      </c>
      <c r="AN55" s="29">
        <f t="shared" si="77"/>
        <v>0</v>
      </c>
      <c r="AO55" s="29">
        <f t="shared" si="77"/>
        <v>0</v>
      </c>
      <c r="AP55" s="29">
        <f t="shared" si="77"/>
        <v>0</v>
      </c>
      <c r="AQ55" s="29">
        <f t="shared" si="77"/>
        <v>0</v>
      </c>
      <c r="AR55" s="29">
        <f t="shared" si="77"/>
        <v>0</v>
      </c>
      <c r="AS55" s="25">
        <f t="shared" si="81"/>
        <v>0</v>
      </c>
    </row>
    <row r="56" spans="1:45" s="9" customFormat="1" x14ac:dyDescent="0.2">
      <c r="A56" s="12"/>
      <c r="B56" s="12"/>
      <c r="C56" s="49"/>
      <c r="D56" s="12"/>
      <c r="E56" s="25">
        <f t="shared" ref="E56:J56" si="82">SUM(E51:E55)</f>
        <v>77.055000000000007</v>
      </c>
      <c r="F56" s="25">
        <f t="shared" si="82"/>
        <v>115.69</v>
      </c>
      <c r="G56" s="25">
        <f t="shared" si="82"/>
        <v>948.7</v>
      </c>
      <c r="H56" s="25">
        <f t="shared" si="82"/>
        <v>2717.39</v>
      </c>
      <c r="I56" s="25">
        <f t="shared" si="82"/>
        <v>158.47999999999999</v>
      </c>
      <c r="J56" s="25">
        <f t="shared" si="82"/>
        <v>4017.3150000000001</v>
      </c>
      <c r="K56" s="30"/>
      <c r="L56" s="25">
        <f t="shared" ref="L56:Q56" si="83">SUM(L51:L55)</f>
        <v>0</v>
      </c>
      <c r="M56" s="25">
        <f t="shared" si="83"/>
        <v>0</v>
      </c>
      <c r="N56" s="25">
        <f t="shared" si="83"/>
        <v>0</v>
      </c>
      <c r="O56" s="25">
        <f t="shared" si="83"/>
        <v>1299.9250000000002</v>
      </c>
      <c r="P56" s="25">
        <f t="shared" si="83"/>
        <v>2717.39</v>
      </c>
      <c r="Q56" s="25">
        <f t="shared" si="83"/>
        <v>4017.3150000000001</v>
      </c>
      <c r="R56" s="30"/>
      <c r="S56" s="25">
        <f t="shared" ref="S56:X56" si="84">SUM(S51:S55)</f>
        <v>0</v>
      </c>
      <c r="T56" s="25">
        <f t="shared" si="84"/>
        <v>0</v>
      </c>
      <c r="U56" s="25">
        <f t="shared" si="84"/>
        <v>0</v>
      </c>
      <c r="V56" s="25">
        <f t="shared" si="84"/>
        <v>0</v>
      </c>
      <c r="W56" s="25">
        <f t="shared" si="84"/>
        <v>0</v>
      </c>
      <c r="X56" s="25">
        <f t="shared" si="84"/>
        <v>0</v>
      </c>
      <c r="Y56" s="30"/>
      <c r="Z56" s="25">
        <f t="shared" ref="Z56:AE56" si="85">SUM(Z51:Z55)</f>
        <v>0</v>
      </c>
      <c r="AA56" s="25">
        <f t="shared" si="85"/>
        <v>87.999499999999998</v>
      </c>
      <c r="AB56" s="25">
        <f t="shared" si="85"/>
        <v>0</v>
      </c>
      <c r="AC56" s="25">
        <f t="shared" si="85"/>
        <v>0</v>
      </c>
      <c r="AD56" s="25">
        <f t="shared" si="85"/>
        <v>0</v>
      </c>
      <c r="AE56" s="25">
        <f t="shared" si="85"/>
        <v>87.999499999999998</v>
      </c>
      <c r="AF56" s="30"/>
      <c r="AG56" s="25">
        <f>SUM(AG51:AG55)</f>
        <v>0</v>
      </c>
      <c r="AH56" s="25">
        <f t="shared" ref="AH56:AK56" si="86">SUM(AH51:AH55)</f>
        <v>271.673</v>
      </c>
      <c r="AI56" s="25">
        <f t="shared" si="86"/>
        <v>472.30200000000002</v>
      </c>
      <c r="AJ56" s="25">
        <f t="shared" si="86"/>
        <v>0</v>
      </c>
      <c r="AK56" s="25">
        <f t="shared" si="86"/>
        <v>0</v>
      </c>
      <c r="AL56" s="25">
        <f>SUM(AL51:AL55)</f>
        <v>743.97500000000002</v>
      </c>
      <c r="AM56" s="30"/>
      <c r="AN56" s="25">
        <f>SUM(AN51:AN55)</f>
        <v>0</v>
      </c>
      <c r="AO56" s="25">
        <f t="shared" ref="AO56:AS56" si="87">SUM(AO51:AO55)</f>
        <v>359.67250000000001</v>
      </c>
      <c r="AP56" s="25">
        <f t="shared" si="87"/>
        <v>472.30200000000002</v>
      </c>
      <c r="AQ56" s="25">
        <f t="shared" si="87"/>
        <v>0</v>
      </c>
      <c r="AR56" s="25">
        <f t="shared" si="87"/>
        <v>0</v>
      </c>
      <c r="AS56" s="25">
        <f t="shared" si="87"/>
        <v>831.97450000000003</v>
      </c>
    </row>
    <row r="57" spans="1:45" s="12" customFormat="1" x14ac:dyDescent="0.2">
      <c r="C57" s="49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</row>
    <row r="58" spans="1:45" x14ac:dyDescent="0.2">
      <c r="B58" s="6">
        <v>3</v>
      </c>
      <c r="C58" s="49" t="s">
        <v>86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5">
        <f>SUM(E58:I58)</f>
        <v>0</v>
      </c>
      <c r="K58" s="30"/>
      <c r="L58" s="24">
        <v>0</v>
      </c>
      <c r="M58" s="24">
        <v>0</v>
      </c>
      <c r="N58" s="27">
        <v>0</v>
      </c>
      <c r="O58" s="24">
        <v>77.055000000000007</v>
      </c>
      <c r="P58" s="24">
        <v>0</v>
      </c>
      <c r="Q58" s="25">
        <f>SUM(L58:P58)</f>
        <v>77.055000000000007</v>
      </c>
      <c r="R58" s="30"/>
      <c r="S58" s="36">
        <v>0</v>
      </c>
      <c r="T58" s="36">
        <v>0</v>
      </c>
      <c r="U58" s="36">
        <v>0</v>
      </c>
      <c r="V58" s="36">
        <v>0</v>
      </c>
      <c r="W58" s="36">
        <v>0</v>
      </c>
      <c r="X58" s="25">
        <f>SUM(S58:W58)</f>
        <v>0</v>
      </c>
      <c r="Y58" s="30"/>
      <c r="Z58" s="36">
        <v>0</v>
      </c>
      <c r="AA58" s="36">
        <v>0</v>
      </c>
      <c r="AB58" s="36">
        <v>0</v>
      </c>
      <c r="AC58" s="36">
        <v>0</v>
      </c>
      <c r="AD58" s="36">
        <v>0</v>
      </c>
      <c r="AE58" s="25">
        <f>SUM(Z58:AD58)</f>
        <v>0</v>
      </c>
      <c r="AF58" s="30"/>
      <c r="AG58" s="36">
        <v>0</v>
      </c>
      <c r="AH58" s="36">
        <v>0</v>
      </c>
      <c r="AI58" s="36">
        <v>0</v>
      </c>
      <c r="AJ58" s="36">
        <v>0</v>
      </c>
      <c r="AK58" s="36">
        <v>0</v>
      </c>
      <c r="AL58" s="25">
        <f>SUM(AG58:AK58)</f>
        <v>0</v>
      </c>
      <c r="AN58" s="29">
        <f t="shared" ref="AN58:AR62" si="88">AG58+Z58</f>
        <v>0</v>
      </c>
      <c r="AO58" s="29">
        <f t="shared" si="88"/>
        <v>0</v>
      </c>
      <c r="AP58" s="29">
        <f t="shared" si="88"/>
        <v>0</v>
      </c>
      <c r="AQ58" s="29">
        <f t="shared" si="88"/>
        <v>0</v>
      </c>
      <c r="AR58" s="29">
        <f t="shared" si="88"/>
        <v>0</v>
      </c>
      <c r="AS58" s="25">
        <f>SUM(AN58:AR58)</f>
        <v>0</v>
      </c>
    </row>
    <row r="59" spans="1:45" x14ac:dyDescent="0.2">
      <c r="C59" s="49"/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5">
        <f>SUM(E59:I59)</f>
        <v>0</v>
      </c>
      <c r="K59" s="30"/>
      <c r="L59" s="24">
        <v>0</v>
      </c>
      <c r="M59" s="24">
        <v>0</v>
      </c>
      <c r="N59" s="24">
        <v>0</v>
      </c>
      <c r="O59" s="24">
        <v>115.69</v>
      </c>
      <c r="P59" s="24">
        <v>0</v>
      </c>
      <c r="Q59" s="25">
        <f t="shared" ref="Q59:Q62" si="89">SUM(L59:P59)</f>
        <v>115.69</v>
      </c>
      <c r="R59" s="30"/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25">
        <f t="shared" ref="X59:X62" si="90">SUM(S59:W59)</f>
        <v>0</v>
      </c>
      <c r="Y59" s="30"/>
      <c r="Z59" s="36">
        <v>0</v>
      </c>
      <c r="AA59" s="36">
        <v>0</v>
      </c>
      <c r="AB59" s="36">
        <v>0</v>
      </c>
      <c r="AC59" s="36">
        <v>0</v>
      </c>
      <c r="AD59" s="36">
        <v>0</v>
      </c>
      <c r="AE59" s="25">
        <f>SUM(Z59:AD59)</f>
        <v>0</v>
      </c>
      <c r="AF59" s="30"/>
      <c r="AG59" s="36">
        <v>0</v>
      </c>
      <c r="AH59" s="36">
        <v>0</v>
      </c>
      <c r="AI59" s="36">
        <v>0</v>
      </c>
      <c r="AJ59" s="36">
        <v>0</v>
      </c>
      <c r="AK59" s="36">
        <v>0</v>
      </c>
      <c r="AL59" s="25">
        <f t="shared" ref="AL59:AL62" si="91">SUM(AG59:AK59)</f>
        <v>0</v>
      </c>
      <c r="AN59" s="29">
        <f t="shared" si="88"/>
        <v>0</v>
      </c>
      <c r="AO59" s="29">
        <f t="shared" si="88"/>
        <v>0</v>
      </c>
      <c r="AP59" s="29">
        <f t="shared" si="88"/>
        <v>0</v>
      </c>
      <c r="AQ59" s="29">
        <f t="shared" si="88"/>
        <v>0</v>
      </c>
      <c r="AR59" s="29">
        <f t="shared" si="88"/>
        <v>0</v>
      </c>
      <c r="AS59" s="25">
        <f t="shared" ref="AS59:AS62" si="92">SUM(AN59:AR59)</f>
        <v>0</v>
      </c>
    </row>
    <row r="60" spans="1:45" x14ac:dyDescent="0.2">
      <c r="C60" s="49"/>
      <c r="E60" s="27">
        <v>0</v>
      </c>
      <c r="F60" s="24">
        <v>0</v>
      </c>
      <c r="G60" s="24">
        <v>0</v>
      </c>
      <c r="H60" s="24">
        <v>0</v>
      </c>
      <c r="I60" s="24">
        <v>0</v>
      </c>
      <c r="J60" s="25">
        <f>SUM(E60:I60)</f>
        <v>0</v>
      </c>
      <c r="K60" s="30"/>
      <c r="L60" s="24">
        <v>0</v>
      </c>
      <c r="M60" s="24">
        <v>0</v>
      </c>
      <c r="N60" s="24">
        <v>0</v>
      </c>
      <c r="O60" s="24">
        <v>948.7</v>
      </c>
      <c r="P60" s="24">
        <v>0</v>
      </c>
      <c r="Q60" s="25">
        <f t="shared" si="89"/>
        <v>948.7</v>
      </c>
      <c r="R60" s="30"/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25">
        <f t="shared" si="90"/>
        <v>0</v>
      </c>
      <c r="Y60" s="30"/>
      <c r="Z60" s="36">
        <v>0</v>
      </c>
      <c r="AA60" s="36">
        <v>0</v>
      </c>
      <c r="AB60" s="36">
        <v>0</v>
      </c>
      <c r="AC60" s="36">
        <v>0</v>
      </c>
      <c r="AD60" s="36">
        <v>0</v>
      </c>
      <c r="AE60" s="25">
        <f>SUM(Z60:AD60)</f>
        <v>0</v>
      </c>
      <c r="AF60" s="30"/>
      <c r="AG60" s="36">
        <v>0</v>
      </c>
      <c r="AH60" s="36">
        <v>0</v>
      </c>
      <c r="AI60" s="36">
        <v>0</v>
      </c>
      <c r="AJ60" s="36">
        <v>0</v>
      </c>
      <c r="AK60" s="36">
        <v>0</v>
      </c>
      <c r="AL60" s="25">
        <f t="shared" si="91"/>
        <v>0</v>
      </c>
      <c r="AN60" s="29">
        <f t="shared" si="88"/>
        <v>0</v>
      </c>
      <c r="AO60" s="29">
        <f t="shared" si="88"/>
        <v>0</v>
      </c>
      <c r="AP60" s="29">
        <f t="shared" si="88"/>
        <v>0</v>
      </c>
      <c r="AQ60" s="29">
        <f t="shared" si="88"/>
        <v>0</v>
      </c>
      <c r="AR60" s="29">
        <f t="shared" si="88"/>
        <v>0</v>
      </c>
      <c r="AS60" s="25">
        <f t="shared" si="92"/>
        <v>0</v>
      </c>
    </row>
    <row r="61" spans="1:45" x14ac:dyDescent="0.2">
      <c r="C61" s="49"/>
      <c r="E61" s="24">
        <v>77.055000000000007</v>
      </c>
      <c r="F61" s="24">
        <v>115.69</v>
      </c>
      <c r="G61" s="24">
        <v>948.7</v>
      </c>
      <c r="H61" s="24">
        <v>0</v>
      </c>
      <c r="I61" s="24">
        <v>158.47999999999999</v>
      </c>
      <c r="J61" s="25">
        <f>SUM(E61:I61)</f>
        <v>1299.9250000000002</v>
      </c>
      <c r="K61" s="30"/>
      <c r="L61" s="24">
        <v>0</v>
      </c>
      <c r="M61" s="24">
        <v>0</v>
      </c>
      <c r="N61" s="24">
        <v>0</v>
      </c>
      <c r="O61" s="24">
        <v>0</v>
      </c>
      <c r="P61" s="24">
        <v>2717.39</v>
      </c>
      <c r="Q61" s="25">
        <f t="shared" si="89"/>
        <v>2717.39</v>
      </c>
      <c r="R61" s="30"/>
      <c r="S61" s="36">
        <v>0</v>
      </c>
      <c r="T61" s="36">
        <v>0</v>
      </c>
      <c r="U61" s="36">
        <v>0</v>
      </c>
      <c r="V61" s="36">
        <v>0</v>
      </c>
      <c r="W61" s="36">
        <v>0</v>
      </c>
      <c r="X61" s="25">
        <f t="shared" si="90"/>
        <v>0</v>
      </c>
      <c r="Y61" s="30"/>
      <c r="Z61" s="36">
        <v>0</v>
      </c>
      <c r="AA61" s="36">
        <v>0</v>
      </c>
      <c r="AB61" s="36">
        <v>0</v>
      </c>
      <c r="AC61" s="36">
        <v>0</v>
      </c>
      <c r="AD61" s="36">
        <v>0</v>
      </c>
      <c r="AE61" s="25">
        <f>SUM(Z61:AD61)</f>
        <v>0</v>
      </c>
      <c r="AF61" s="30"/>
      <c r="AG61" s="36">
        <v>0</v>
      </c>
      <c r="AH61" s="36">
        <v>0</v>
      </c>
      <c r="AI61" s="36">
        <v>0</v>
      </c>
      <c r="AJ61" s="36">
        <v>0</v>
      </c>
      <c r="AK61" s="36">
        <v>0</v>
      </c>
      <c r="AL61" s="25">
        <f t="shared" si="91"/>
        <v>0</v>
      </c>
      <c r="AN61" s="29">
        <f t="shared" si="88"/>
        <v>0</v>
      </c>
      <c r="AO61" s="29">
        <f t="shared" si="88"/>
        <v>0</v>
      </c>
      <c r="AP61" s="29">
        <f t="shared" si="88"/>
        <v>0</v>
      </c>
      <c r="AQ61" s="29">
        <f t="shared" si="88"/>
        <v>0</v>
      </c>
      <c r="AR61" s="29">
        <f t="shared" si="88"/>
        <v>0</v>
      </c>
      <c r="AS61" s="25">
        <f t="shared" si="92"/>
        <v>0</v>
      </c>
    </row>
    <row r="62" spans="1:45" x14ac:dyDescent="0.2">
      <c r="C62" s="49"/>
      <c r="E62" s="24">
        <v>0</v>
      </c>
      <c r="F62" s="24">
        <v>0</v>
      </c>
      <c r="G62" s="24">
        <v>0</v>
      </c>
      <c r="H62" s="24">
        <v>2717.39</v>
      </c>
      <c r="I62" s="24">
        <v>0</v>
      </c>
      <c r="J62" s="25">
        <f>SUM(E62:I62)</f>
        <v>2717.39</v>
      </c>
      <c r="K62" s="30"/>
      <c r="L62" s="24">
        <v>0</v>
      </c>
      <c r="M62" s="24">
        <v>0</v>
      </c>
      <c r="N62" s="24">
        <v>0</v>
      </c>
      <c r="O62" s="24">
        <v>158.47999999999999</v>
      </c>
      <c r="P62" s="24">
        <v>0</v>
      </c>
      <c r="Q62" s="25">
        <f t="shared" si="89"/>
        <v>158.47999999999999</v>
      </c>
      <c r="R62" s="30"/>
      <c r="S62" s="36">
        <v>0</v>
      </c>
      <c r="T62" s="36">
        <v>0</v>
      </c>
      <c r="U62" s="36">
        <v>0</v>
      </c>
      <c r="V62" s="36">
        <v>0</v>
      </c>
      <c r="W62" s="36">
        <v>0</v>
      </c>
      <c r="X62" s="25">
        <f t="shared" si="90"/>
        <v>0</v>
      </c>
      <c r="Y62" s="30"/>
      <c r="Z62" s="36">
        <v>0</v>
      </c>
      <c r="AA62" s="36">
        <v>0</v>
      </c>
      <c r="AB62" s="36">
        <v>0</v>
      </c>
      <c r="AC62" s="36">
        <v>0</v>
      </c>
      <c r="AD62" s="36">
        <v>0</v>
      </c>
      <c r="AE62" s="25">
        <f>SUM(Z62:AD62)</f>
        <v>0</v>
      </c>
      <c r="AF62" s="30"/>
      <c r="AG62" s="36">
        <v>0</v>
      </c>
      <c r="AH62" s="36">
        <v>0</v>
      </c>
      <c r="AI62" s="36">
        <v>0</v>
      </c>
      <c r="AJ62" s="36">
        <v>0</v>
      </c>
      <c r="AK62" s="36">
        <v>0</v>
      </c>
      <c r="AL62" s="25">
        <f t="shared" si="91"/>
        <v>0</v>
      </c>
      <c r="AN62" s="29">
        <f t="shared" si="88"/>
        <v>0</v>
      </c>
      <c r="AO62" s="29">
        <f t="shared" si="88"/>
        <v>0</v>
      </c>
      <c r="AP62" s="29">
        <f t="shared" si="88"/>
        <v>0</v>
      </c>
      <c r="AQ62" s="29">
        <f t="shared" si="88"/>
        <v>0</v>
      </c>
      <c r="AR62" s="29">
        <f t="shared" si="88"/>
        <v>0</v>
      </c>
      <c r="AS62" s="25">
        <f t="shared" si="92"/>
        <v>0</v>
      </c>
    </row>
    <row r="63" spans="1:45" s="9" customFormat="1" x14ac:dyDescent="0.2">
      <c r="A63" s="12"/>
      <c r="B63" s="12"/>
      <c r="C63" s="49"/>
      <c r="D63" s="12"/>
      <c r="E63" s="25">
        <f t="shared" ref="E63:J63" si="93">SUM(E58:E62)</f>
        <v>77.055000000000007</v>
      </c>
      <c r="F63" s="25">
        <f t="shared" si="93"/>
        <v>115.69</v>
      </c>
      <c r="G63" s="25">
        <f t="shared" si="93"/>
        <v>948.7</v>
      </c>
      <c r="H63" s="25">
        <f t="shared" si="93"/>
        <v>2717.39</v>
      </c>
      <c r="I63" s="25">
        <f t="shared" si="93"/>
        <v>158.47999999999999</v>
      </c>
      <c r="J63" s="25">
        <f t="shared" si="93"/>
        <v>4017.3150000000001</v>
      </c>
      <c r="K63" s="30"/>
      <c r="L63" s="25">
        <f t="shared" ref="L63:Q63" si="94">SUM(L58:L62)</f>
        <v>0</v>
      </c>
      <c r="M63" s="25">
        <f t="shared" si="94"/>
        <v>0</v>
      </c>
      <c r="N63" s="25">
        <f t="shared" si="94"/>
        <v>0</v>
      </c>
      <c r="O63" s="25">
        <f t="shared" si="94"/>
        <v>1299.9250000000002</v>
      </c>
      <c r="P63" s="25">
        <f t="shared" si="94"/>
        <v>2717.39</v>
      </c>
      <c r="Q63" s="25">
        <f t="shared" si="94"/>
        <v>4017.3150000000001</v>
      </c>
      <c r="R63" s="30"/>
      <c r="S63" s="25">
        <f t="shared" ref="S63:X63" si="95">SUM(S58:S62)</f>
        <v>0</v>
      </c>
      <c r="T63" s="25">
        <f t="shared" si="95"/>
        <v>0</v>
      </c>
      <c r="U63" s="25">
        <f t="shared" si="95"/>
        <v>0</v>
      </c>
      <c r="V63" s="25">
        <f t="shared" si="95"/>
        <v>0</v>
      </c>
      <c r="W63" s="25">
        <f t="shared" si="95"/>
        <v>0</v>
      </c>
      <c r="X63" s="25">
        <f t="shared" si="95"/>
        <v>0</v>
      </c>
      <c r="Y63" s="30"/>
      <c r="Z63" s="25">
        <f t="shared" ref="Z63:AE63" si="96">SUM(Z58:Z62)</f>
        <v>0</v>
      </c>
      <c r="AA63" s="25">
        <f t="shared" si="96"/>
        <v>0</v>
      </c>
      <c r="AB63" s="25">
        <f t="shared" si="96"/>
        <v>0</v>
      </c>
      <c r="AC63" s="25">
        <f t="shared" si="96"/>
        <v>0</v>
      </c>
      <c r="AD63" s="25">
        <f t="shared" si="96"/>
        <v>0</v>
      </c>
      <c r="AE63" s="25">
        <f t="shared" si="96"/>
        <v>0</v>
      </c>
      <c r="AF63" s="30"/>
      <c r="AG63" s="25">
        <f>SUM(AG58:AG62)</f>
        <v>0</v>
      </c>
      <c r="AH63" s="25">
        <f t="shared" ref="AH63:AK63" si="97">SUM(AH58:AH62)</f>
        <v>0</v>
      </c>
      <c r="AI63" s="25">
        <f t="shared" si="97"/>
        <v>0</v>
      </c>
      <c r="AJ63" s="25">
        <f t="shared" si="97"/>
        <v>0</v>
      </c>
      <c r="AK63" s="25">
        <f t="shared" si="97"/>
        <v>0</v>
      </c>
      <c r="AL63" s="25">
        <f>SUM(AL58:AL62)</f>
        <v>0</v>
      </c>
      <c r="AM63" s="30"/>
      <c r="AN63" s="25">
        <f>SUM(AN58:AN62)</f>
        <v>0</v>
      </c>
      <c r="AO63" s="25">
        <f t="shared" ref="AO63:AS63" si="98">SUM(AO58:AO62)</f>
        <v>0</v>
      </c>
      <c r="AP63" s="25">
        <f t="shared" si="98"/>
        <v>0</v>
      </c>
      <c r="AQ63" s="25">
        <f t="shared" si="98"/>
        <v>0</v>
      </c>
      <c r="AR63" s="25">
        <f t="shared" si="98"/>
        <v>0</v>
      </c>
      <c r="AS63" s="25">
        <f t="shared" si="98"/>
        <v>0</v>
      </c>
    </row>
    <row r="64" spans="1:45" s="12" customFormat="1" x14ac:dyDescent="0.2">
      <c r="C64" s="49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</row>
    <row r="65" spans="3:45" s="12" customFormat="1" x14ac:dyDescent="0.2">
      <c r="C65" s="49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</row>
    <row r="66" spans="3:45" s="12" customFormat="1" x14ac:dyDescent="0.2">
      <c r="C66" s="49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</row>
    <row r="67" spans="3:45" s="12" customFormat="1" x14ac:dyDescent="0.2">
      <c r="C67" s="49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</row>
    <row r="68" spans="3:45" s="12" customFormat="1" x14ac:dyDescent="0.2">
      <c r="C68" s="49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</row>
    <row r="69" spans="3:45" s="12" customFormat="1" x14ac:dyDescent="0.2">
      <c r="C69" s="49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</row>
    <row r="70" spans="3:45" s="12" customFormat="1" x14ac:dyDescent="0.2">
      <c r="C70" s="49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</row>
    <row r="71" spans="3:45" s="12" customFormat="1" x14ac:dyDescent="0.2">
      <c r="C71" s="49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</row>
    <row r="72" spans="3:45" s="12" customFormat="1" x14ac:dyDescent="0.2">
      <c r="C72" s="4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</row>
    <row r="73" spans="3:45" s="12" customFormat="1" x14ac:dyDescent="0.2">
      <c r="C73" s="4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</row>
    <row r="74" spans="3:45" s="12" customFormat="1" x14ac:dyDescent="0.2">
      <c r="C74" s="49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</row>
    <row r="75" spans="3:45" s="12" customFormat="1" x14ac:dyDescent="0.2">
      <c r="C75" s="4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</row>
    <row r="76" spans="3:45" s="12" customFormat="1" x14ac:dyDescent="0.2">
      <c r="C76" s="4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</row>
    <row r="77" spans="3:45" s="12" customFormat="1" x14ac:dyDescent="0.2">
      <c r="C77" s="4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</row>
    <row r="78" spans="3:45" s="12" customFormat="1" x14ac:dyDescent="0.2">
      <c r="C78" s="49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</row>
    <row r="79" spans="3:45" s="12" customFormat="1" x14ac:dyDescent="0.2">
      <c r="C79" s="4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</row>
    <row r="80" spans="3:45" s="12" customFormat="1" x14ac:dyDescent="0.2">
      <c r="C80" s="49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</row>
    <row r="81" spans="3:45" s="12" customFormat="1" x14ac:dyDescent="0.2">
      <c r="C81" s="4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</row>
    <row r="82" spans="3:45" s="12" customFormat="1" x14ac:dyDescent="0.2">
      <c r="C82" s="49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</row>
    <row r="83" spans="3:45" s="12" customFormat="1" x14ac:dyDescent="0.2">
      <c r="C83" s="4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</row>
    <row r="84" spans="3:45" s="12" customFormat="1" x14ac:dyDescent="0.2">
      <c r="C84" s="49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</row>
    <row r="85" spans="3:45" s="12" customFormat="1" x14ac:dyDescent="0.2">
      <c r="C85" s="4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</row>
    <row r="86" spans="3:45" s="12" customFormat="1" x14ac:dyDescent="0.2">
      <c r="C86" s="49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</row>
    <row r="87" spans="3:45" s="12" customFormat="1" x14ac:dyDescent="0.2">
      <c r="C87" s="4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</row>
    <row r="88" spans="3:45" s="12" customFormat="1" x14ac:dyDescent="0.2">
      <c r="C88" s="49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</row>
    <row r="89" spans="3:45" s="12" customFormat="1" x14ac:dyDescent="0.2">
      <c r="C89" s="49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A909-373E-574E-BE4E-3A04C29131E8}">
  <dimension ref="A1:AH113"/>
  <sheetViews>
    <sheetView zoomScale="130" zoomScaleNormal="130" workbookViewId="0">
      <pane xSplit="3" ySplit="1" topLeftCell="D80" activePane="bottomRight" state="frozen"/>
      <selection pane="topRight" activeCell="D1" sqref="D1"/>
      <selection pane="bottomLeft" activeCell="A2" sqref="A2"/>
      <selection pane="bottomRight" activeCell="K66" sqref="K66"/>
    </sheetView>
  </sheetViews>
  <sheetFormatPr baseColWidth="10" defaultRowHeight="16" x14ac:dyDescent="0.2"/>
  <cols>
    <col min="1" max="1" width="3" style="7" bestFit="1" customWidth="1"/>
    <col min="2" max="2" width="3.28515625" style="20" bestFit="1" customWidth="1"/>
    <col min="3" max="3" width="2.5703125" style="7" customWidth="1"/>
    <col min="4" max="4" width="4.5703125" style="7" bestFit="1" customWidth="1"/>
    <col min="5" max="5" width="3.42578125" customWidth="1"/>
    <col min="6" max="6" width="4.28515625" style="28" bestFit="1" customWidth="1"/>
    <col min="7" max="7" width="6.7109375" style="28" bestFit="1" customWidth="1"/>
    <col min="8" max="8" width="7.7109375" style="28" bestFit="1" customWidth="1"/>
    <col min="9" max="9" width="6.5703125" style="28" bestFit="1" customWidth="1"/>
    <col min="10" max="10" width="7.7109375" style="28" bestFit="1" customWidth="1"/>
    <col min="11" max="11" width="7.5703125" style="28" customWidth="1"/>
    <col min="12" max="13" width="7.7109375" style="28" bestFit="1" customWidth="1"/>
    <col min="14" max="14" width="4.28515625" style="28" bestFit="1" customWidth="1"/>
    <col min="15" max="15" width="7.7109375" style="28" bestFit="1" customWidth="1"/>
    <col min="16" max="16" width="7" style="28" bestFit="1" customWidth="1"/>
    <col min="17" max="17" width="7.7109375" style="28" bestFit="1" customWidth="1"/>
    <col min="18" max="18" width="6.7109375" style="28" bestFit="1" customWidth="1"/>
    <col min="19" max="19" width="6.28515625" style="24" bestFit="1" customWidth="1"/>
    <col min="20" max="20" width="6.7109375" style="24" bestFit="1" customWidth="1"/>
    <col min="21" max="23" width="8.140625" style="28" bestFit="1" customWidth="1"/>
    <col min="24" max="24" width="10.140625" style="28" bestFit="1" customWidth="1"/>
    <col min="25" max="25" width="9.7109375" style="28" bestFit="1" customWidth="1"/>
    <col min="26" max="26" width="8" style="28" bestFit="1" customWidth="1"/>
    <col min="27" max="27" width="10.140625" style="28" bestFit="1" customWidth="1"/>
    <col min="28" max="28" width="9.5703125" style="28" bestFit="1" customWidth="1"/>
    <col min="29" max="29" width="8.28515625" style="28" bestFit="1" customWidth="1"/>
    <col min="30" max="30" width="8.140625" style="28" bestFit="1" customWidth="1"/>
    <col min="31" max="31" width="7.140625" style="28" bestFit="1" customWidth="1"/>
    <col min="32" max="33" width="7.85546875" style="7" customWidth="1"/>
    <col min="34" max="34" width="5.7109375" style="7" bestFit="1" customWidth="1"/>
    <col min="35" max="16384" width="10.7109375" style="7"/>
  </cols>
  <sheetData>
    <row r="1" spans="1:33" s="16" customFormat="1" ht="48" customHeight="1" x14ac:dyDescent="0.2">
      <c r="A1" s="16" t="s">
        <v>42</v>
      </c>
      <c r="B1" s="19" t="s">
        <v>29</v>
      </c>
      <c r="C1" s="16" t="s">
        <v>14</v>
      </c>
      <c r="D1" s="16" t="s">
        <v>15</v>
      </c>
      <c r="E1"/>
      <c r="F1" s="23" t="s">
        <v>27</v>
      </c>
      <c r="G1" s="23" t="s">
        <v>0</v>
      </c>
      <c r="H1" s="23" t="s">
        <v>4</v>
      </c>
      <c r="I1" s="23" t="s">
        <v>81</v>
      </c>
      <c r="J1" s="38" t="s">
        <v>26</v>
      </c>
      <c r="K1" s="23" t="s">
        <v>30</v>
      </c>
      <c r="L1" s="38" t="s">
        <v>3</v>
      </c>
      <c r="M1" s="23" t="s">
        <v>5</v>
      </c>
      <c r="N1" s="23" t="s">
        <v>82</v>
      </c>
      <c r="O1" s="38" t="s">
        <v>28</v>
      </c>
      <c r="P1" s="23" t="s">
        <v>31</v>
      </c>
      <c r="Q1" s="38" t="s">
        <v>21</v>
      </c>
      <c r="R1" s="38" t="s">
        <v>2</v>
      </c>
      <c r="S1" s="38" t="s">
        <v>45</v>
      </c>
      <c r="T1" s="38" t="s">
        <v>46</v>
      </c>
      <c r="U1" s="38" t="s">
        <v>83</v>
      </c>
      <c r="V1" s="38" t="s">
        <v>84</v>
      </c>
      <c r="W1" s="38" t="s">
        <v>32</v>
      </c>
      <c r="X1" s="38" t="s">
        <v>38</v>
      </c>
      <c r="Y1" s="38" t="s">
        <v>34</v>
      </c>
      <c r="Z1" s="38" t="s">
        <v>39</v>
      </c>
      <c r="AA1" s="38" t="s">
        <v>40</v>
      </c>
      <c r="AB1" s="38" t="s">
        <v>41</v>
      </c>
      <c r="AC1" s="38" t="s">
        <v>43</v>
      </c>
      <c r="AD1" s="38" t="s">
        <v>44</v>
      </c>
      <c r="AE1" s="23" t="s">
        <v>65</v>
      </c>
      <c r="AF1" s="16" t="s">
        <v>72</v>
      </c>
    </row>
    <row r="2" spans="1:33" x14ac:dyDescent="0.2">
      <c r="A2" s="7">
        <v>1</v>
      </c>
      <c r="B2" s="20">
        <v>0</v>
      </c>
      <c r="C2" s="7">
        <v>1</v>
      </c>
      <c r="D2" s="8" t="s">
        <v>16</v>
      </c>
      <c r="F2" s="28">
        <v>0</v>
      </c>
      <c r="G2" s="28">
        <v>477.125</v>
      </c>
      <c r="H2" s="28">
        <v>1631.73</v>
      </c>
      <c r="I2" s="28">
        <v>0</v>
      </c>
      <c r="J2" s="29">
        <f>F2+G2+H2+I2</f>
        <v>2108.855</v>
      </c>
      <c r="K2" s="28">
        <v>2185.2399999999998</v>
      </c>
      <c r="L2" s="29">
        <f>J2+K2</f>
        <v>4294.0949999999993</v>
      </c>
      <c r="M2" s="28">
        <v>3160.99</v>
      </c>
      <c r="N2" s="28">
        <v>0</v>
      </c>
      <c r="O2" s="29">
        <f>M2+N2</f>
        <v>3160.99</v>
      </c>
      <c r="P2" s="28">
        <v>959.6</v>
      </c>
      <c r="Q2" s="29">
        <f>P2+O2</f>
        <v>4120.59</v>
      </c>
      <c r="R2" s="29">
        <f>MAX(L2-Q2,0)</f>
        <v>173.5049999999992</v>
      </c>
      <c r="S2" s="24">
        <v>0</v>
      </c>
      <c r="T2" s="24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9">
        <f>X2+Y2</f>
        <v>0</v>
      </c>
      <c r="AD2" s="29">
        <f>AA2+AB2</f>
        <v>0</v>
      </c>
      <c r="AE2" s="29">
        <f>W2+AC2</f>
        <v>0</v>
      </c>
      <c r="AF2" s="29">
        <f>Z2+AD2</f>
        <v>0</v>
      </c>
      <c r="AG2" s="29"/>
    </row>
    <row r="3" spans="1:33" x14ac:dyDescent="0.2">
      <c r="C3" s="7">
        <v>2</v>
      </c>
      <c r="D3" s="7" t="s">
        <v>17</v>
      </c>
      <c r="F3" s="28">
        <v>0</v>
      </c>
      <c r="G3" s="28">
        <v>587.69299999999998</v>
      </c>
      <c r="H3" s="28">
        <v>4303.24</v>
      </c>
      <c r="I3" s="28">
        <v>0</v>
      </c>
      <c r="J3" s="29">
        <f t="shared" ref="J3:J6" si="0">F3+G3+H3+I3</f>
        <v>4890.933</v>
      </c>
      <c r="K3" s="28">
        <v>398.37</v>
      </c>
      <c r="L3" s="29">
        <f>J3+K3</f>
        <v>5289.3029999999999</v>
      </c>
      <c r="M3" s="28">
        <v>3231.37</v>
      </c>
      <c r="N3" s="28">
        <v>0</v>
      </c>
      <c r="O3" s="29">
        <f t="shared" ref="O3:O6" si="1">M3+N3</f>
        <v>3231.37</v>
      </c>
      <c r="P3" s="28">
        <v>1844.24</v>
      </c>
      <c r="Q3" s="29">
        <f>P3+O3</f>
        <v>5075.6099999999997</v>
      </c>
      <c r="R3" s="29">
        <f t="shared" ref="R3:R6" si="2">MAX(L3-Q3,0)</f>
        <v>213.69300000000021</v>
      </c>
      <c r="S3" s="24">
        <v>0</v>
      </c>
      <c r="T3" s="24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9">
        <f>X3+Y3</f>
        <v>0</v>
      </c>
      <c r="AD3" s="29">
        <f>AA3+AB3</f>
        <v>0</v>
      </c>
      <c r="AE3" s="29">
        <f>W3+AC3</f>
        <v>0</v>
      </c>
      <c r="AF3" s="29">
        <f t="shared" ref="AF3:AF6" si="3">Z3+AD3</f>
        <v>0</v>
      </c>
      <c r="AG3" s="29"/>
    </row>
    <row r="4" spans="1:33" x14ac:dyDescent="0.2">
      <c r="C4" s="7">
        <v>3</v>
      </c>
      <c r="D4" s="7" t="s">
        <v>18</v>
      </c>
      <c r="F4" s="28">
        <v>0</v>
      </c>
      <c r="G4" s="28">
        <v>513.84699999999998</v>
      </c>
      <c r="H4" s="28">
        <v>3379.72</v>
      </c>
      <c r="I4" s="28">
        <v>0</v>
      </c>
      <c r="J4" s="29">
        <f t="shared" si="0"/>
        <v>3893.567</v>
      </c>
      <c r="K4" s="28">
        <v>730.99</v>
      </c>
      <c r="L4" s="29">
        <f>J4+K4</f>
        <v>4624.5569999999998</v>
      </c>
      <c r="M4" s="28">
        <v>3184.36</v>
      </c>
      <c r="N4" s="28">
        <v>0</v>
      </c>
      <c r="O4" s="29">
        <f t="shared" si="1"/>
        <v>3184.36</v>
      </c>
      <c r="P4" s="28">
        <v>1253.3399999999999</v>
      </c>
      <c r="Q4" s="29">
        <f>P4+O4</f>
        <v>4437.7</v>
      </c>
      <c r="R4" s="29">
        <f t="shared" si="2"/>
        <v>186.85699999999997</v>
      </c>
      <c r="S4" s="24">
        <v>0</v>
      </c>
      <c r="T4" s="24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9">
        <f>X4+Y4</f>
        <v>0</v>
      </c>
      <c r="AD4" s="29">
        <f>AA4+AB4</f>
        <v>0</v>
      </c>
      <c r="AE4" s="29">
        <f>W4+AC4</f>
        <v>0</v>
      </c>
      <c r="AF4" s="29">
        <f t="shared" si="3"/>
        <v>0</v>
      </c>
      <c r="AG4" s="29"/>
    </row>
    <row r="5" spans="1:33" x14ac:dyDescent="0.2">
      <c r="C5" s="7">
        <v>4</v>
      </c>
      <c r="D5" s="7" t="s">
        <v>19</v>
      </c>
      <c r="F5" s="28">
        <v>0</v>
      </c>
      <c r="G5" s="28">
        <v>713.66200000000003</v>
      </c>
      <c r="H5" s="28">
        <v>4351.47</v>
      </c>
      <c r="I5" s="28">
        <v>0</v>
      </c>
      <c r="J5" s="29">
        <f t="shared" si="0"/>
        <v>5065.1320000000005</v>
      </c>
      <c r="K5" s="28">
        <v>1357.75</v>
      </c>
      <c r="L5" s="29">
        <f>J5+K5</f>
        <v>6422.8820000000005</v>
      </c>
      <c r="M5" s="28">
        <v>3311.51</v>
      </c>
      <c r="N5" s="28">
        <v>0</v>
      </c>
      <c r="O5" s="29">
        <f t="shared" si="1"/>
        <v>3311.51</v>
      </c>
      <c r="P5" s="28">
        <v>2851.85</v>
      </c>
      <c r="Q5" s="29">
        <f>P5+O5</f>
        <v>6163.3600000000006</v>
      </c>
      <c r="R5" s="29">
        <f t="shared" si="2"/>
        <v>259.52199999999993</v>
      </c>
      <c r="S5" s="24">
        <v>0</v>
      </c>
      <c r="T5" s="24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9">
        <f>X5+Y5</f>
        <v>0</v>
      </c>
      <c r="AD5" s="29">
        <f>AA5+AB5</f>
        <v>0</v>
      </c>
      <c r="AE5" s="29">
        <f>W5+AC5</f>
        <v>0</v>
      </c>
      <c r="AF5" s="29">
        <f t="shared" si="3"/>
        <v>0</v>
      </c>
      <c r="AG5" s="29"/>
    </row>
    <row r="6" spans="1:33" x14ac:dyDescent="0.2">
      <c r="C6" s="7">
        <v>5</v>
      </c>
      <c r="D6" s="7" t="s">
        <v>20</v>
      </c>
      <c r="F6" s="28">
        <v>0</v>
      </c>
      <c r="G6" s="28">
        <v>417.25700000000001</v>
      </c>
      <c r="H6" s="28">
        <v>620.69000000000005</v>
      </c>
      <c r="I6" s="28">
        <v>0</v>
      </c>
      <c r="J6" s="29">
        <f t="shared" si="0"/>
        <v>1037.9470000000001</v>
      </c>
      <c r="K6" s="28">
        <v>2717.39</v>
      </c>
      <c r="L6" s="29">
        <f>J6+K6</f>
        <v>3755.337</v>
      </c>
      <c r="M6" s="28">
        <v>3122.9</v>
      </c>
      <c r="N6" s="28">
        <v>0</v>
      </c>
      <c r="O6" s="29">
        <f t="shared" si="1"/>
        <v>3122.9</v>
      </c>
      <c r="P6" s="28">
        <v>480.71</v>
      </c>
      <c r="Q6" s="29">
        <f>P6+O6</f>
        <v>3603.61</v>
      </c>
      <c r="R6" s="29">
        <f t="shared" si="2"/>
        <v>151.72699999999986</v>
      </c>
      <c r="S6" s="24">
        <v>0</v>
      </c>
      <c r="T6" s="24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9">
        <f>X6+Y6</f>
        <v>0</v>
      </c>
      <c r="AD6" s="29">
        <f>AA6+AB6</f>
        <v>0</v>
      </c>
      <c r="AE6" s="29">
        <f>W6+AC6</f>
        <v>0</v>
      </c>
      <c r="AF6" s="29">
        <f t="shared" si="3"/>
        <v>0</v>
      </c>
      <c r="AG6" s="29"/>
    </row>
    <row r="7" spans="1:33" x14ac:dyDescent="0.2">
      <c r="F7" s="25">
        <f>SUM(F2:F6)</f>
        <v>0</v>
      </c>
      <c r="G7" s="25">
        <f t="shared" ref="G7:Q7" si="4">SUM(G2:G6)</f>
        <v>2709.5840000000003</v>
      </c>
      <c r="H7" s="25">
        <f t="shared" si="4"/>
        <v>14286.85</v>
      </c>
      <c r="I7" s="25">
        <f>SUM(I2:I6)</f>
        <v>0</v>
      </c>
      <c r="J7" s="25">
        <f>SUM(J2:J6)</f>
        <v>16996.434000000001</v>
      </c>
      <c r="K7" s="25">
        <f t="shared" si="4"/>
        <v>7389.74</v>
      </c>
      <c r="L7" s="25">
        <f t="shared" si="4"/>
        <v>24386.173999999999</v>
      </c>
      <c r="M7" s="25">
        <f>SUM(M2:M6)</f>
        <v>16011.13</v>
      </c>
      <c r="N7" s="25">
        <f>SUM(N2:N6)</f>
        <v>0</v>
      </c>
      <c r="O7" s="25">
        <f>SUM(O2:O6)</f>
        <v>16011.13</v>
      </c>
      <c r="P7" s="25">
        <f>SUM(P2:P6)</f>
        <v>7389.7400000000007</v>
      </c>
      <c r="Q7" s="25">
        <f t="shared" si="4"/>
        <v>23400.870000000003</v>
      </c>
      <c r="R7" s="25">
        <f>SUM(R2:R6)</f>
        <v>985.30399999999918</v>
      </c>
      <c r="S7" s="25">
        <f t="shared" ref="S7:AD7" si="5">SUM(S2:S6)</f>
        <v>0</v>
      </c>
      <c r="T7" s="25">
        <f t="shared" si="5"/>
        <v>0</v>
      </c>
      <c r="U7" s="25">
        <f t="shared" si="5"/>
        <v>0</v>
      </c>
      <c r="V7" s="25">
        <f t="shared" si="5"/>
        <v>0</v>
      </c>
      <c r="W7" s="25">
        <f t="shared" si="5"/>
        <v>0</v>
      </c>
      <c r="X7" s="25">
        <f t="shared" si="5"/>
        <v>0</v>
      </c>
      <c r="Y7" s="25">
        <f t="shared" si="5"/>
        <v>0</v>
      </c>
      <c r="Z7" s="25">
        <f>SUM(Z2:Z6)</f>
        <v>0</v>
      </c>
      <c r="AA7" s="25">
        <f>SUM(AA2:AA6)</f>
        <v>0</v>
      </c>
      <c r="AB7" s="25">
        <f t="shared" si="5"/>
        <v>0</v>
      </c>
      <c r="AC7" s="25">
        <f t="shared" si="5"/>
        <v>0</v>
      </c>
      <c r="AD7" s="25">
        <f t="shared" si="5"/>
        <v>0</v>
      </c>
      <c r="AE7" s="25">
        <f>SUM(AE2:AE6)</f>
        <v>0</v>
      </c>
      <c r="AF7" s="50">
        <f>SUM(AF2:AF6)</f>
        <v>0</v>
      </c>
      <c r="AG7" s="50"/>
    </row>
    <row r="8" spans="1:33" x14ac:dyDescent="0.2"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50"/>
      <c r="AG8" s="50"/>
    </row>
    <row r="9" spans="1:33" x14ac:dyDescent="0.2">
      <c r="A9" s="7">
        <v>1</v>
      </c>
      <c r="B9" s="20" t="s">
        <v>64</v>
      </c>
      <c r="C9" s="7">
        <v>1</v>
      </c>
      <c r="D9" s="13" t="s">
        <v>16</v>
      </c>
      <c r="F9" s="28">
        <v>0</v>
      </c>
      <c r="G9" s="28">
        <v>477.125</v>
      </c>
      <c r="H9" s="39">
        <v>0</v>
      </c>
      <c r="I9" s="28">
        <v>0</v>
      </c>
      <c r="J9" s="29">
        <f>F9+G9+H9+I9</f>
        <v>477.125</v>
      </c>
      <c r="K9" s="28">
        <v>2185.2399999999998</v>
      </c>
      <c r="L9" s="29">
        <f>J9+K9</f>
        <v>2662.3649999999998</v>
      </c>
      <c r="M9" s="39">
        <v>2042.355</v>
      </c>
      <c r="N9" s="28">
        <v>0</v>
      </c>
      <c r="O9" s="29">
        <f>M9+N9</f>
        <v>2042.355</v>
      </c>
      <c r="P9" s="39">
        <v>620.00900000000001</v>
      </c>
      <c r="Q9" s="40">
        <f>P9+O9</f>
        <v>2662.364</v>
      </c>
      <c r="R9" s="41">
        <v>0</v>
      </c>
      <c r="S9" s="41">
        <v>339.59900000000005</v>
      </c>
      <c r="T9" s="30">
        <v>0</v>
      </c>
      <c r="U9" s="28">
        <v>0</v>
      </c>
      <c r="V9" s="39">
        <v>1118.6423</v>
      </c>
      <c r="W9" s="56">
        <v>339.6</v>
      </c>
      <c r="X9" s="28">
        <v>0</v>
      </c>
      <c r="Y9" s="39">
        <v>2185.2399999999998</v>
      </c>
      <c r="Z9" s="28">
        <v>0</v>
      </c>
      <c r="AA9" s="28">
        <v>0</v>
      </c>
      <c r="AB9" s="28">
        <v>0</v>
      </c>
      <c r="AC9" s="29">
        <f>X9+Y9</f>
        <v>2185.2399999999998</v>
      </c>
      <c r="AD9" s="29">
        <f>AA9+AB9</f>
        <v>0</v>
      </c>
      <c r="AE9" s="29">
        <f>W9+AC9</f>
        <v>2524.8399999999997</v>
      </c>
      <c r="AF9" s="29">
        <f>Z9+AD9</f>
        <v>0</v>
      </c>
      <c r="AG9" s="29"/>
    </row>
    <row r="10" spans="1:33" x14ac:dyDescent="0.2">
      <c r="C10" s="7">
        <v>2</v>
      </c>
      <c r="D10" s="7" t="s">
        <v>17</v>
      </c>
      <c r="F10" s="28">
        <v>0</v>
      </c>
      <c r="G10" s="28">
        <v>587.69299999999998</v>
      </c>
      <c r="H10" s="28">
        <v>4303.24</v>
      </c>
      <c r="I10" s="28">
        <v>0</v>
      </c>
      <c r="J10" s="29">
        <f t="shared" ref="J10:J13" si="6">F10+G10+H10+I10</f>
        <v>4890.933</v>
      </c>
      <c r="K10" s="28">
        <v>398.37</v>
      </c>
      <c r="L10" s="29">
        <f>J10+K10</f>
        <v>5289.3029999999999</v>
      </c>
      <c r="M10" s="28">
        <v>3231.37</v>
      </c>
      <c r="N10" s="28">
        <v>0</v>
      </c>
      <c r="O10" s="29">
        <f t="shared" ref="O10:O13" si="7">M10+N10</f>
        <v>3231.37</v>
      </c>
      <c r="P10" s="28">
        <v>1844.24</v>
      </c>
      <c r="Q10" s="29">
        <f>P10+O10</f>
        <v>5075.6099999999997</v>
      </c>
      <c r="R10" s="30">
        <v>213.69300000000021</v>
      </c>
      <c r="S10" s="30">
        <v>0</v>
      </c>
      <c r="T10" s="30">
        <v>0</v>
      </c>
      <c r="U10" s="28">
        <v>0</v>
      </c>
      <c r="V10" s="28">
        <v>0</v>
      </c>
      <c r="W10" s="55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9">
        <f>X10+Y10</f>
        <v>0</v>
      </c>
      <c r="AD10" s="29">
        <f>AA10+AB10</f>
        <v>0</v>
      </c>
      <c r="AE10" s="29">
        <f>W10+AC10</f>
        <v>0</v>
      </c>
      <c r="AF10" s="29">
        <f t="shared" ref="AF10:AF13" si="8">Z10+AD10</f>
        <v>0</v>
      </c>
      <c r="AG10" s="29"/>
    </row>
    <row r="11" spans="1:33" x14ac:dyDescent="0.2">
      <c r="C11" s="7">
        <v>3</v>
      </c>
      <c r="D11" s="7" t="s">
        <v>18</v>
      </c>
      <c r="F11" s="28">
        <v>0</v>
      </c>
      <c r="G11" s="28">
        <v>513.84699999999998</v>
      </c>
      <c r="H11" s="28">
        <v>3379.72</v>
      </c>
      <c r="I11" s="28">
        <v>0</v>
      </c>
      <c r="J11" s="29">
        <f t="shared" si="6"/>
        <v>3893.567</v>
      </c>
      <c r="K11" s="28">
        <v>730.99</v>
      </c>
      <c r="L11" s="29">
        <f>J11+K11</f>
        <v>4624.5569999999998</v>
      </c>
      <c r="M11" s="28">
        <v>3184.36</v>
      </c>
      <c r="N11" s="28">
        <v>0</v>
      </c>
      <c r="O11" s="29">
        <f t="shared" si="7"/>
        <v>3184.36</v>
      </c>
      <c r="P11" s="28">
        <v>1253.3399999999999</v>
      </c>
      <c r="Q11" s="29">
        <f>P11+O11</f>
        <v>4437.7</v>
      </c>
      <c r="R11" s="30">
        <v>186.85699999999997</v>
      </c>
      <c r="S11" s="30">
        <v>0</v>
      </c>
      <c r="T11" s="30">
        <v>0</v>
      </c>
      <c r="U11" s="28">
        <v>0</v>
      </c>
      <c r="V11" s="28">
        <v>0</v>
      </c>
      <c r="W11" s="55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9">
        <f>X11+Y11</f>
        <v>0</v>
      </c>
      <c r="AD11" s="29">
        <f>AA11+AB11</f>
        <v>0</v>
      </c>
      <c r="AE11" s="29">
        <f>W11+AC11</f>
        <v>0</v>
      </c>
      <c r="AF11" s="29">
        <f t="shared" si="8"/>
        <v>0</v>
      </c>
      <c r="AG11" s="29"/>
    </row>
    <row r="12" spans="1:33" x14ac:dyDescent="0.2">
      <c r="C12" s="7">
        <v>4</v>
      </c>
      <c r="D12" s="7" t="s">
        <v>19</v>
      </c>
      <c r="F12" s="28">
        <v>0</v>
      </c>
      <c r="G12" s="28">
        <v>713.66200000000003</v>
      </c>
      <c r="H12" s="28">
        <v>4351.47</v>
      </c>
      <c r="I12" s="28">
        <v>0</v>
      </c>
      <c r="J12" s="29">
        <f t="shared" si="6"/>
        <v>5065.1320000000005</v>
      </c>
      <c r="K12" s="28">
        <v>1357.75</v>
      </c>
      <c r="L12" s="29">
        <f>J12+K12</f>
        <v>6422.8820000000005</v>
      </c>
      <c r="M12" s="28">
        <v>3311.51</v>
      </c>
      <c r="N12" s="28">
        <v>0</v>
      </c>
      <c r="O12" s="29">
        <f t="shared" si="7"/>
        <v>3311.51</v>
      </c>
      <c r="P12" s="28">
        <v>2851.85</v>
      </c>
      <c r="Q12" s="29">
        <f>P12+O12</f>
        <v>6163.3600000000006</v>
      </c>
      <c r="R12" s="30">
        <v>259.52199999999993</v>
      </c>
      <c r="S12" s="30">
        <v>0</v>
      </c>
      <c r="T12" s="30">
        <v>0</v>
      </c>
      <c r="U12" s="28">
        <v>0</v>
      </c>
      <c r="V12" s="28">
        <v>0</v>
      </c>
      <c r="W12" s="55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9">
        <f>X12+Y12</f>
        <v>0</v>
      </c>
      <c r="AD12" s="29">
        <f>AA12+AB12</f>
        <v>0</v>
      </c>
      <c r="AE12" s="29">
        <f>W12+AC12</f>
        <v>0</v>
      </c>
      <c r="AF12" s="29">
        <f t="shared" si="8"/>
        <v>0</v>
      </c>
      <c r="AG12" s="29"/>
    </row>
    <row r="13" spans="1:33" x14ac:dyDescent="0.2">
      <c r="C13" s="7">
        <v>5</v>
      </c>
      <c r="D13" s="7" t="s">
        <v>20</v>
      </c>
      <c r="F13" s="28">
        <v>0</v>
      </c>
      <c r="G13" s="28">
        <v>417.25700000000001</v>
      </c>
      <c r="H13" s="28">
        <v>620.69000000000005</v>
      </c>
      <c r="I13" s="28">
        <v>0</v>
      </c>
      <c r="J13" s="29">
        <f t="shared" si="6"/>
        <v>1037.9470000000001</v>
      </c>
      <c r="K13" s="28">
        <v>2717.39</v>
      </c>
      <c r="L13" s="29">
        <f>J13+K13</f>
        <v>3755.337</v>
      </c>
      <c r="M13" s="28">
        <v>3122.9</v>
      </c>
      <c r="N13" s="28">
        <v>0</v>
      </c>
      <c r="O13" s="29">
        <f t="shared" si="7"/>
        <v>3122.9</v>
      </c>
      <c r="P13" s="28">
        <v>480.71</v>
      </c>
      <c r="Q13" s="29">
        <f>P13+O13</f>
        <v>3603.61</v>
      </c>
      <c r="R13" s="30">
        <v>151.72699999999986</v>
      </c>
      <c r="S13" s="30">
        <v>0</v>
      </c>
      <c r="T13" s="30">
        <v>0</v>
      </c>
      <c r="U13" s="28">
        <v>0</v>
      </c>
      <c r="V13" s="28">
        <v>0</v>
      </c>
      <c r="W13" s="55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9">
        <f>X13+Y13</f>
        <v>0</v>
      </c>
      <c r="AD13" s="29">
        <f>AA13+AB13</f>
        <v>0</v>
      </c>
      <c r="AE13" s="29">
        <f>W13+AC13</f>
        <v>0</v>
      </c>
      <c r="AF13" s="29">
        <f t="shared" si="8"/>
        <v>0</v>
      </c>
      <c r="AG13" s="29"/>
    </row>
    <row r="14" spans="1:33" x14ac:dyDescent="0.2">
      <c r="F14" s="25">
        <f>SUM(F9:F13)</f>
        <v>0</v>
      </c>
      <c r="G14" s="25">
        <f t="shared" ref="G14:L14" si="9">SUM(G9:G13)</f>
        <v>2709.5840000000003</v>
      </c>
      <c r="H14" s="25">
        <f t="shared" si="9"/>
        <v>12655.12</v>
      </c>
      <c r="I14" s="25">
        <f>SUM(I9:I13)</f>
        <v>0</v>
      </c>
      <c r="J14" s="25">
        <f>SUM(J9:J13)</f>
        <v>15364.704000000002</v>
      </c>
      <c r="K14" s="25">
        <f t="shared" si="9"/>
        <v>7389.74</v>
      </c>
      <c r="L14" s="25">
        <f t="shared" si="9"/>
        <v>22754.444</v>
      </c>
      <c r="M14" s="25">
        <f>SUM(M9:M13)</f>
        <v>14892.495000000001</v>
      </c>
      <c r="N14" s="25">
        <f>SUM(N9:N13)</f>
        <v>0</v>
      </c>
      <c r="O14" s="25">
        <f>SUM(O9:O13)</f>
        <v>14892.495000000001</v>
      </c>
      <c r="P14" s="25">
        <f>SUM(P9:P13)</f>
        <v>7050.1490000000003</v>
      </c>
      <c r="Q14" s="25">
        <f t="shared" ref="Q14" si="10">SUM(Q9:Q13)</f>
        <v>21942.644</v>
      </c>
      <c r="R14" s="25">
        <f>SUM(R9:R13)</f>
        <v>811.79899999999998</v>
      </c>
      <c r="S14" s="25">
        <f t="shared" ref="S14:AD14" si="11">SUM(S9:S13)</f>
        <v>339.59900000000005</v>
      </c>
      <c r="T14" s="25">
        <f t="shared" si="11"/>
        <v>0</v>
      </c>
      <c r="U14" s="25">
        <f t="shared" si="11"/>
        <v>0</v>
      </c>
      <c r="V14" s="25">
        <f t="shared" si="11"/>
        <v>1118.6423</v>
      </c>
      <c r="W14" s="25">
        <f t="shared" si="11"/>
        <v>339.6</v>
      </c>
      <c r="X14" s="25">
        <f t="shared" si="11"/>
        <v>0</v>
      </c>
      <c r="Y14" s="25">
        <f t="shared" si="11"/>
        <v>2185.2399999999998</v>
      </c>
      <c r="Z14" s="25">
        <f>SUM(Z9:Z13)</f>
        <v>0</v>
      </c>
      <c r="AA14" s="25">
        <f>SUM(AA9:AA13)</f>
        <v>0</v>
      </c>
      <c r="AB14" s="25">
        <f t="shared" si="11"/>
        <v>0</v>
      </c>
      <c r="AC14" s="25">
        <f t="shared" si="11"/>
        <v>2185.2399999999998</v>
      </c>
      <c r="AD14" s="25">
        <f t="shared" si="11"/>
        <v>0</v>
      </c>
      <c r="AE14" s="25">
        <f>SUM(AE9:AE13)</f>
        <v>2524.8399999999997</v>
      </c>
      <c r="AF14" s="50">
        <f>SUM(AF9:AF13)</f>
        <v>0</v>
      </c>
      <c r="AG14" s="50"/>
    </row>
    <row r="15" spans="1:33" x14ac:dyDescent="0.2"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50"/>
      <c r="AG15" s="50"/>
    </row>
    <row r="16" spans="1:33" x14ac:dyDescent="0.2">
      <c r="A16" s="7">
        <v>1</v>
      </c>
      <c r="B16" s="20" t="s">
        <v>66</v>
      </c>
      <c r="C16" s="7">
        <v>1</v>
      </c>
      <c r="D16" s="13" t="s">
        <v>16</v>
      </c>
      <c r="F16" s="28">
        <v>0</v>
      </c>
      <c r="G16" s="28">
        <v>477.125</v>
      </c>
      <c r="H16" s="24">
        <v>0</v>
      </c>
      <c r="I16" s="28">
        <v>0</v>
      </c>
      <c r="J16" s="29">
        <f>F16+G16+H16+I16</f>
        <v>477.125</v>
      </c>
      <c r="K16" s="28">
        <v>2185.2399999999998</v>
      </c>
      <c r="L16" s="29">
        <f>J16+K16</f>
        <v>2662.3649999999998</v>
      </c>
      <c r="M16" s="24">
        <v>2042.355</v>
      </c>
      <c r="N16" s="28">
        <v>0</v>
      </c>
      <c r="O16" s="29">
        <f>M16+N16</f>
        <v>2042.355</v>
      </c>
      <c r="P16" s="24">
        <v>620.00099999999998</v>
      </c>
      <c r="Q16" s="29">
        <f>P16+O16</f>
        <v>2662.3559999999998</v>
      </c>
      <c r="R16" s="30">
        <v>0</v>
      </c>
      <c r="S16" s="30">
        <v>339.59900000000005</v>
      </c>
      <c r="T16" s="30">
        <v>0</v>
      </c>
      <c r="U16" s="28">
        <v>0</v>
      </c>
      <c r="V16" s="28">
        <v>0</v>
      </c>
      <c r="W16" s="24">
        <v>339.59900000000005</v>
      </c>
      <c r="X16" s="28">
        <v>0</v>
      </c>
      <c r="Y16" s="24">
        <v>2185.2399999999998</v>
      </c>
      <c r="Z16" s="28">
        <v>0</v>
      </c>
      <c r="AA16" s="28">
        <v>0</v>
      </c>
      <c r="AB16" s="28">
        <v>0</v>
      </c>
      <c r="AC16" s="29">
        <f>X16+Y16</f>
        <v>2185.2399999999998</v>
      </c>
      <c r="AD16" s="29">
        <f>AA16+AB16</f>
        <v>0</v>
      </c>
      <c r="AE16" s="29">
        <f>W16+AC16</f>
        <v>2524.8389999999999</v>
      </c>
      <c r="AF16" s="29">
        <f>Z16+AD16</f>
        <v>0</v>
      </c>
      <c r="AG16" s="29"/>
    </row>
    <row r="17" spans="1:33" x14ac:dyDescent="0.2">
      <c r="C17" s="7">
        <v>2</v>
      </c>
      <c r="D17" s="7" t="s">
        <v>17</v>
      </c>
      <c r="F17" s="28">
        <v>0</v>
      </c>
      <c r="G17" s="28">
        <v>587.69299999999998</v>
      </c>
      <c r="H17" s="28">
        <v>4303.24</v>
      </c>
      <c r="I17" s="28">
        <v>0</v>
      </c>
      <c r="J17" s="29">
        <f t="shared" ref="J17:J20" si="12">F17+G17+H17+I17</f>
        <v>4890.933</v>
      </c>
      <c r="K17" s="28">
        <v>398.37</v>
      </c>
      <c r="L17" s="29">
        <f>J17+K17</f>
        <v>5289.3029999999999</v>
      </c>
      <c r="M17" s="28">
        <v>3231.37</v>
      </c>
      <c r="N17" s="28">
        <v>0</v>
      </c>
      <c r="O17" s="29">
        <f t="shared" ref="O17:O20" si="13">M17+N17</f>
        <v>3231.37</v>
      </c>
      <c r="P17" s="28">
        <v>1844.24</v>
      </c>
      <c r="Q17" s="29">
        <f>P17+O17</f>
        <v>5075.6099999999997</v>
      </c>
      <c r="R17" s="30">
        <v>213.69300000000021</v>
      </c>
      <c r="S17" s="30">
        <v>0</v>
      </c>
      <c r="T17" s="30">
        <v>0</v>
      </c>
      <c r="U17" s="28">
        <v>0</v>
      </c>
      <c r="V17" s="28">
        <v>0</v>
      </c>
      <c r="W17" s="24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9">
        <f>X17+Y17</f>
        <v>0</v>
      </c>
      <c r="AD17" s="29">
        <f>AA17+AB17</f>
        <v>0</v>
      </c>
      <c r="AE17" s="29">
        <f>W17+AC17</f>
        <v>0</v>
      </c>
      <c r="AF17" s="29">
        <f t="shared" ref="AF17:AF20" si="14">Z17+AD17</f>
        <v>0</v>
      </c>
      <c r="AG17" s="29"/>
    </row>
    <row r="18" spans="1:33" x14ac:dyDescent="0.2">
      <c r="C18" s="7">
        <v>3</v>
      </c>
      <c r="D18" s="7" t="s">
        <v>18</v>
      </c>
      <c r="F18" s="28">
        <v>0</v>
      </c>
      <c r="G18" s="28">
        <v>513.84699999999998</v>
      </c>
      <c r="H18" s="28">
        <v>3379.72</v>
      </c>
      <c r="I18" s="28">
        <v>0</v>
      </c>
      <c r="J18" s="29">
        <f t="shared" si="12"/>
        <v>3893.567</v>
      </c>
      <c r="K18" s="28">
        <v>730.99</v>
      </c>
      <c r="L18" s="29">
        <f>J18+K18</f>
        <v>4624.5569999999998</v>
      </c>
      <c r="M18" s="28">
        <v>3184.36</v>
      </c>
      <c r="N18" s="28">
        <v>0</v>
      </c>
      <c r="O18" s="29">
        <f t="shared" si="13"/>
        <v>3184.36</v>
      </c>
      <c r="P18" s="28">
        <v>1253.3399999999999</v>
      </c>
      <c r="Q18" s="29">
        <f>P18+O18</f>
        <v>4437.7</v>
      </c>
      <c r="R18" s="30">
        <v>186.85699999999997</v>
      </c>
      <c r="S18" s="30">
        <v>0</v>
      </c>
      <c r="T18" s="30">
        <v>0</v>
      </c>
      <c r="U18" s="28">
        <v>0</v>
      </c>
      <c r="V18" s="28">
        <v>0</v>
      </c>
      <c r="W18" s="24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9">
        <f>X18+Y18</f>
        <v>0</v>
      </c>
      <c r="AD18" s="29">
        <f>AA18+AB18</f>
        <v>0</v>
      </c>
      <c r="AE18" s="29">
        <f>W18+AC18</f>
        <v>0</v>
      </c>
      <c r="AF18" s="29">
        <f t="shared" si="14"/>
        <v>0</v>
      </c>
      <c r="AG18" s="29"/>
    </row>
    <row r="19" spans="1:33" x14ac:dyDescent="0.2">
      <c r="C19" s="7">
        <v>4</v>
      </c>
      <c r="D19" s="7" t="s">
        <v>19</v>
      </c>
      <c r="F19" s="28">
        <v>0</v>
      </c>
      <c r="G19" s="28">
        <v>713.66200000000003</v>
      </c>
      <c r="H19" s="28">
        <v>4351.47</v>
      </c>
      <c r="I19" s="28">
        <v>0</v>
      </c>
      <c r="J19" s="29">
        <f t="shared" si="12"/>
        <v>5065.1320000000005</v>
      </c>
      <c r="K19" s="28">
        <v>1357.75</v>
      </c>
      <c r="L19" s="29">
        <f>J19+K19</f>
        <v>6422.8820000000005</v>
      </c>
      <c r="M19" s="28">
        <v>3311.51</v>
      </c>
      <c r="N19" s="28">
        <v>0</v>
      </c>
      <c r="O19" s="29">
        <f t="shared" si="13"/>
        <v>3311.51</v>
      </c>
      <c r="P19" s="28">
        <v>2851.85</v>
      </c>
      <c r="Q19" s="29">
        <f>P19+O19</f>
        <v>6163.3600000000006</v>
      </c>
      <c r="R19" s="30">
        <v>259.52199999999993</v>
      </c>
      <c r="S19" s="30">
        <v>0</v>
      </c>
      <c r="T19" s="30">
        <v>0</v>
      </c>
      <c r="U19" s="28">
        <v>0</v>
      </c>
      <c r="V19" s="28">
        <v>0</v>
      </c>
      <c r="W19" s="24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9">
        <f>X19+Y19</f>
        <v>0</v>
      </c>
      <c r="AD19" s="29">
        <f>AA19+AB19</f>
        <v>0</v>
      </c>
      <c r="AE19" s="29">
        <f>W19+AC19</f>
        <v>0</v>
      </c>
      <c r="AF19" s="29">
        <f t="shared" si="14"/>
        <v>0</v>
      </c>
      <c r="AG19" s="29"/>
    </row>
    <row r="20" spans="1:33" x14ac:dyDescent="0.2">
      <c r="C20" s="7">
        <v>5</v>
      </c>
      <c r="D20" s="7" t="s">
        <v>20</v>
      </c>
      <c r="F20" s="28">
        <v>0</v>
      </c>
      <c r="G20" s="28">
        <v>417.25700000000001</v>
      </c>
      <c r="H20" s="28">
        <v>620.69000000000005</v>
      </c>
      <c r="I20" s="28">
        <v>0</v>
      </c>
      <c r="J20" s="29">
        <f t="shared" si="12"/>
        <v>1037.9470000000001</v>
      </c>
      <c r="K20" s="28">
        <v>2717.39</v>
      </c>
      <c r="L20" s="29">
        <f>J20+K20</f>
        <v>3755.337</v>
      </c>
      <c r="M20" s="28">
        <v>3122.9</v>
      </c>
      <c r="N20" s="28">
        <v>0</v>
      </c>
      <c r="O20" s="29">
        <f t="shared" si="13"/>
        <v>3122.9</v>
      </c>
      <c r="P20" s="28">
        <v>480.71</v>
      </c>
      <c r="Q20" s="29">
        <f>P20+O20</f>
        <v>3603.61</v>
      </c>
      <c r="R20" s="30">
        <v>151.72699999999986</v>
      </c>
      <c r="S20" s="30">
        <v>0</v>
      </c>
      <c r="T20" s="30">
        <v>0</v>
      </c>
      <c r="U20" s="28">
        <v>0</v>
      </c>
      <c r="V20" s="28">
        <v>0</v>
      </c>
      <c r="W20" s="24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9">
        <f>X20+Y20</f>
        <v>0</v>
      </c>
      <c r="AD20" s="29">
        <f>AA20+AB20</f>
        <v>0</v>
      </c>
      <c r="AE20" s="29">
        <f>W20+AC20</f>
        <v>0</v>
      </c>
      <c r="AF20" s="29">
        <f t="shared" si="14"/>
        <v>0</v>
      </c>
      <c r="AG20" s="29"/>
    </row>
    <row r="21" spans="1:33" x14ac:dyDescent="0.2">
      <c r="F21" s="25">
        <f>SUM(F16:F20)</f>
        <v>0</v>
      </c>
      <c r="G21" s="25">
        <f t="shared" ref="G21:H21" si="15">SUM(G16:G20)</f>
        <v>2709.5840000000003</v>
      </c>
      <c r="H21" s="25">
        <f t="shared" si="15"/>
        <v>12655.12</v>
      </c>
      <c r="I21" s="25">
        <f>SUM(I16:I20)</f>
        <v>0</v>
      </c>
      <c r="J21" s="25">
        <f>SUM(J16:J20)</f>
        <v>15364.704000000002</v>
      </c>
      <c r="K21" s="25">
        <f t="shared" ref="K21:L21" si="16">SUM(K16:K20)</f>
        <v>7389.74</v>
      </c>
      <c r="L21" s="25">
        <f t="shared" si="16"/>
        <v>22754.444</v>
      </c>
      <c r="M21" s="25">
        <f>SUM(M16:M20)</f>
        <v>14892.495000000001</v>
      </c>
      <c r="N21" s="25">
        <f>SUM(N16:N20)</f>
        <v>0</v>
      </c>
      <c r="O21" s="25">
        <f>SUM(O16:O20)</f>
        <v>14892.495000000001</v>
      </c>
      <c r="P21" s="25">
        <f>SUM(P16:P20)</f>
        <v>7050.1410000000005</v>
      </c>
      <c r="Q21" s="25">
        <f t="shared" ref="Q21" si="17">SUM(Q16:Q20)</f>
        <v>21942.635999999999</v>
      </c>
      <c r="R21" s="25">
        <f>SUM(R16:R20)</f>
        <v>811.79899999999998</v>
      </c>
      <c r="S21" s="25">
        <f t="shared" ref="S21:Y21" si="18">SUM(S16:S20)</f>
        <v>339.59900000000005</v>
      </c>
      <c r="T21" s="25">
        <f t="shared" si="18"/>
        <v>0</v>
      </c>
      <c r="U21" s="25">
        <f t="shared" si="18"/>
        <v>0</v>
      </c>
      <c r="V21" s="25">
        <f t="shared" si="18"/>
        <v>0</v>
      </c>
      <c r="W21" s="25">
        <f t="shared" si="18"/>
        <v>339.59900000000005</v>
      </c>
      <c r="X21" s="25">
        <f t="shared" si="18"/>
        <v>0</v>
      </c>
      <c r="Y21" s="25">
        <f t="shared" si="18"/>
        <v>2185.2399999999998</v>
      </c>
      <c r="Z21" s="25">
        <f>SUM(Z16:Z20)</f>
        <v>0</v>
      </c>
      <c r="AA21" s="25">
        <f>SUM(AA16:AA20)</f>
        <v>0</v>
      </c>
      <c r="AB21" s="25">
        <f t="shared" ref="AB21:AD21" si="19">SUM(AB16:AB20)</f>
        <v>0</v>
      </c>
      <c r="AC21" s="25">
        <f t="shared" si="19"/>
        <v>2185.2399999999998</v>
      </c>
      <c r="AD21" s="25">
        <f t="shared" si="19"/>
        <v>0</v>
      </c>
      <c r="AE21" s="25">
        <f>SUM(AE16:AE20)</f>
        <v>2524.8389999999999</v>
      </c>
      <c r="AF21" s="50">
        <f>SUM(AF16:AF20)</f>
        <v>0</v>
      </c>
      <c r="AG21" s="50"/>
    </row>
    <row r="23" spans="1:33" x14ac:dyDescent="0.2">
      <c r="A23" s="7">
        <v>1</v>
      </c>
      <c r="B23" s="57" t="s">
        <v>73</v>
      </c>
      <c r="C23" s="7">
        <v>1</v>
      </c>
      <c r="D23" s="8" t="s">
        <v>16</v>
      </c>
      <c r="F23" s="28">
        <v>0</v>
      </c>
      <c r="G23" s="28">
        <v>0</v>
      </c>
      <c r="H23" s="24">
        <v>0</v>
      </c>
      <c r="I23" s="28">
        <v>0</v>
      </c>
      <c r="J23" s="29">
        <f>F23+G23+H23+I23</f>
        <v>0</v>
      </c>
      <c r="K23" s="28">
        <v>0</v>
      </c>
      <c r="L23" s="29">
        <f>J23+K23</f>
        <v>0</v>
      </c>
      <c r="M23" s="24">
        <v>0</v>
      </c>
      <c r="N23" s="28">
        <v>0</v>
      </c>
      <c r="O23" s="29">
        <f>M23+N23</f>
        <v>0</v>
      </c>
      <c r="P23" s="24">
        <v>0</v>
      </c>
      <c r="Q23" s="29">
        <f>P23+O23</f>
        <v>0</v>
      </c>
      <c r="R23" s="30">
        <v>0</v>
      </c>
      <c r="S23" s="30">
        <v>339.59900000000005</v>
      </c>
      <c r="T23" s="30">
        <v>0</v>
      </c>
      <c r="U23" s="28">
        <v>0</v>
      </c>
      <c r="V23" s="28">
        <v>0</v>
      </c>
      <c r="W23" s="24">
        <v>339.59900000000005</v>
      </c>
      <c r="X23" s="28">
        <v>0</v>
      </c>
      <c r="Y23" s="24">
        <v>2185.2399999999998</v>
      </c>
      <c r="Z23" s="28">
        <v>0</v>
      </c>
      <c r="AA23" s="28">
        <v>0</v>
      </c>
      <c r="AB23" s="28">
        <v>0</v>
      </c>
      <c r="AC23" s="29">
        <f>X23+Y23</f>
        <v>2185.2399999999998</v>
      </c>
      <c r="AD23" s="29">
        <f>AA23+AB23</f>
        <v>0</v>
      </c>
      <c r="AE23" s="29">
        <f>W23+AC23</f>
        <v>2524.8389999999999</v>
      </c>
      <c r="AF23" s="29">
        <f>Z23+AD23</f>
        <v>0</v>
      </c>
      <c r="AG23" s="29"/>
    </row>
    <row r="24" spans="1:33" x14ac:dyDescent="0.2">
      <c r="C24" s="7">
        <v>2</v>
      </c>
      <c r="D24" s="8" t="s">
        <v>17</v>
      </c>
      <c r="F24" s="28">
        <v>0</v>
      </c>
      <c r="G24" s="28">
        <v>587.69299999999998</v>
      </c>
      <c r="H24" s="28">
        <v>4303.24</v>
      </c>
      <c r="I24" s="34">
        <v>109.35</v>
      </c>
      <c r="J24" s="29">
        <f t="shared" ref="J24:J27" si="20">F24+G24+H24+I24</f>
        <v>5000.2830000000004</v>
      </c>
      <c r="K24" s="28">
        <v>398.37</v>
      </c>
      <c r="L24" s="29">
        <f>J24+K24</f>
        <v>5398.6530000000002</v>
      </c>
      <c r="M24" s="28">
        <v>3231.37</v>
      </c>
      <c r="N24" s="28">
        <v>0</v>
      </c>
      <c r="O24" s="29">
        <f t="shared" ref="O24:O27" si="21">M24+N24</f>
        <v>3231.37</v>
      </c>
      <c r="P24" s="28">
        <v>1844.24</v>
      </c>
      <c r="Q24" s="29">
        <f>P24+O24</f>
        <v>5075.6099999999997</v>
      </c>
      <c r="R24" s="30">
        <v>213.69300000000021</v>
      </c>
      <c r="S24" s="30">
        <v>0</v>
      </c>
      <c r="T24" s="30">
        <v>0</v>
      </c>
      <c r="U24" s="28">
        <v>0</v>
      </c>
      <c r="V24" s="28">
        <v>0</v>
      </c>
      <c r="W24" s="24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9">
        <f>X24+Y24</f>
        <v>0</v>
      </c>
      <c r="AD24" s="29">
        <f>AA24+AB24</f>
        <v>0</v>
      </c>
      <c r="AE24" s="29">
        <f>W24+AC24</f>
        <v>0</v>
      </c>
      <c r="AF24" s="29">
        <f t="shared" ref="AF24:AF27" si="22">Z24+AD24</f>
        <v>0</v>
      </c>
      <c r="AG24" s="29"/>
    </row>
    <row r="25" spans="1:33" x14ac:dyDescent="0.2">
      <c r="C25" s="7">
        <v>3</v>
      </c>
      <c r="D25" s="8" t="s">
        <v>18</v>
      </c>
      <c r="F25" s="28">
        <v>0</v>
      </c>
      <c r="G25" s="28">
        <v>513.84699999999998</v>
      </c>
      <c r="H25" s="28">
        <v>3379.72</v>
      </c>
      <c r="I25" s="34">
        <v>730.99</v>
      </c>
      <c r="J25" s="29">
        <f t="shared" si="20"/>
        <v>4624.5569999999998</v>
      </c>
      <c r="K25" s="28">
        <v>730.99</v>
      </c>
      <c r="L25" s="29">
        <f>J25+K25</f>
        <v>5355.5469999999996</v>
      </c>
      <c r="M25" s="28">
        <v>3184.36</v>
      </c>
      <c r="N25" s="28">
        <v>0</v>
      </c>
      <c r="O25" s="29">
        <f t="shared" si="21"/>
        <v>3184.36</v>
      </c>
      <c r="P25" s="28">
        <v>1253.3399999999999</v>
      </c>
      <c r="Q25" s="29">
        <f>P25+O25</f>
        <v>4437.7</v>
      </c>
      <c r="R25" s="30">
        <v>186.85699999999997</v>
      </c>
      <c r="S25" s="30">
        <v>0</v>
      </c>
      <c r="T25" s="30">
        <v>0</v>
      </c>
      <c r="U25" s="28">
        <v>0</v>
      </c>
      <c r="V25" s="28">
        <v>0</v>
      </c>
      <c r="W25" s="24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9">
        <f>X25+Y25</f>
        <v>0</v>
      </c>
      <c r="AD25" s="29">
        <f>AA25+AB25</f>
        <v>0</v>
      </c>
      <c r="AE25" s="29">
        <f>W25+AC25</f>
        <v>0</v>
      </c>
      <c r="AF25" s="29">
        <f t="shared" si="22"/>
        <v>0</v>
      </c>
      <c r="AG25" s="29"/>
    </row>
    <row r="26" spans="1:33" x14ac:dyDescent="0.2">
      <c r="C26" s="7">
        <v>4</v>
      </c>
      <c r="D26" s="7" t="s">
        <v>19</v>
      </c>
      <c r="F26" s="28">
        <v>0</v>
      </c>
      <c r="G26" s="28">
        <v>713.66200000000003</v>
      </c>
      <c r="H26" s="28">
        <v>4351.47</v>
      </c>
      <c r="I26" s="34">
        <v>119.26</v>
      </c>
      <c r="J26" s="29">
        <f t="shared" si="20"/>
        <v>5184.3920000000007</v>
      </c>
      <c r="K26" s="28">
        <v>1357.75</v>
      </c>
      <c r="L26" s="29">
        <f>J26+K26</f>
        <v>6542.1420000000007</v>
      </c>
      <c r="M26" s="28">
        <v>3311.51</v>
      </c>
      <c r="N26" s="28">
        <v>0</v>
      </c>
      <c r="O26" s="29">
        <f t="shared" si="21"/>
        <v>3311.51</v>
      </c>
      <c r="P26" s="28">
        <v>2851.85</v>
      </c>
      <c r="Q26" s="29">
        <f>P26+O26</f>
        <v>6163.3600000000006</v>
      </c>
      <c r="R26" s="30">
        <v>259.52199999999993</v>
      </c>
      <c r="S26" s="30">
        <v>0</v>
      </c>
      <c r="T26" s="30">
        <v>0</v>
      </c>
      <c r="U26" s="28">
        <v>0</v>
      </c>
      <c r="V26" s="28">
        <v>0</v>
      </c>
      <c r="W26" s="24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9">
        <f>X26+Y26</f>
        <v>0</v>
      </c>
      <c r="AD26" s="29">
        <f>AA26+AB26</f>
        <v>0</v>
      </c>
      <c r="AE26" s="29">
        <f>W26+AC26</f>
        <v>0</v>
      </c>
      <c r="AF26" s="29">
        <f t="shared" si="22"/>
        <v>0</v>
      </c>
      <c r="AG26" s="29"/>
    </row>
    <row r="27" spans="1:33" x14ac:dyDescent="0.2">
      <c r="C27" s="7">
        <v>5</v>
      </c>
      <c r="D27" s="7" t="s">
        <v>20</v>
      </c>
      <c r="F27" s="28">
        <v>0</v>
      </c>
      <c r="G27" s="28">
        <v>417.25700000000001</v>
      </c>
      <c r="H27" s="28">
        <v>620.69000000000005</v>
      </c>
      <c r="I27" s="28">
        <v>0</v>
      </c>
      <c r="J27" s="29">
        <f t="shared" si="20"/>
        <v>1037.9470000000001</v>
      </c>
      <c r="K27" s="28">
        <v>2717.39</v>
      </c>
      <c r="L27" s="29">
        <f>J27+K27</f>
        <v>3755.337</v>
      </c>
      <c r="M27" s="28">
        <v>3122.9</v>
      </c>
      <c r="N27" s="28">
        <v>0</v>
      </c>
      <c r="O27" s="29">
        <f t="shared" si="21"/>
        <v>3122.9</v>
      </c>
      <c r="P27" s="28">
        <v>480.71</v>
      </c>
      <c r="Q27" s="29">
        <f>P27+O27</f>
        <v>3603.61</v>
      </c>
      <c r="R27" s="30">
        <v>151.72699999999986</v>
      </c>
      <c r="S27" s="30">
        <v>0</v>
      </c>
      <c r="T27" s="30">
        <v>0</v>
      </c>
      <c r="U27" s="28">
        <v>0</v>
      </c>
      <c r="V27" s="28">
        <v>0</v>
      </c>
      <c r="W27" s="24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9">
        <f>X27+Y27</f>
        <v>0</v>
      </c>
      <c r="AD27" s="29">
        <f>AA27+AB27</f>
        <v>0</v>
      </c>
      <c r="AE27" s="29">
        <f>W27+AC27</f>
        <v>0</v>
      </c>
      <c r="AF27" s="29">
        <f t="shared" si="22"/>
        <v>0</v>
      </c>
      <c r="AG27" s="29"/>
    </row>
    <row r="28" spans="1:33" x14ac:dyDescent="0.2">
      <c r="F28" s="25">
        <f>SUM(F23:F27)</f>
        <v>0</v>
      </c>
      <c r="G28" s="25">
        <f t="shared" ref="G28:H28" si="23">SUM(G23:G27)</f>
        <v>2232.4589999999998</v>
      </c>
      <c r="H28" s="25">
        <f t="shared" si="23"/>
        <v>12655.12</v>
      </c>
      <c r="I28" s="25">
        <f>SUM(I23:I27)</f>
        <v>959.6</v>
      </c>
      <c r="J28" s="25">
        <f>SUM(J23:J27)</f>
        <v>15847.179</v>
      </c>
      <c r="K28" s="25">
        <f t="shared" ref="K28:L28" si="24">SUM(K23:K27)</f>
        <v>5204.5</v>
      </c>
      <c r="L28" s="25">
        <f t="shared" si="24"/>
        <v>21051.679</v>
      </c>
      <c r="M28" s="25">
        <f>SUM(M23:M27)</f>
        <v>12850.14</v>
      </c>
      <c r="N28" s="25">
        <f>SUM(N23:N27)</f>
        <v>0</v>
      </c>
      <c r="O28" s="25">
        <f>SUM(O23:O27)</f>
        <v>12850.14</v>
      </c>
      <c r="P28" s="25">
        <f>SUM(P23:P27)</f>
        <v>6430.14</v>
      </c>
      <c r="Q28" s="25">
        <f t="shared" ref="Q28" si="25">SUM(Q23:Q27)</f>
        <v>19280.28</v>
      </c>
      <c r="R28" s="25">
        <f>SUM(R23:R27)</f>
        <v>811.79899999999998</v>
      </c>
      <c r="S28" s="25">
        <f t="shared" ref="S28:Y28" si="26">SUM(S23:S27)</f>
        <v>339.59900000000005</v>
      </c>
      <c r="T28" s="25">
        <f t="shared" si="26"/>
        <v>0</v>
      </c>
      <c r="U28" s="25">
        <f t="shared" si="26"/>
        <v>0</v>
      </c>
      <c r="V28" s="25">
        <f t="shared" si="26"/>
        <v>0</v>
      </c>
      <c r="W28" s="25">
        <f t="shared" si="26"/>
        <v>339.59900000000005</v>
      </c>
      <c r="X28" s="25">
        <f t="shared" si="26"/>
        <v>0</v>
      </c>
      <c r="Y28" s="25">
        <f t="shared" si="26"/>
        <v>2185.2399999999998</v>
      </c>
      <c r="Z28" s="25">
        <f>SUM(Z23:Z27)</f>
        <v>0</v>
      </c>
      <c r="AA28" s="25">
        <f>SUM(AA23:AA27)</f>
        <v>0</v>
      </c>
      <c r="AB28" s="25">
        <f t="shared" ref="AB28:AD28" si="27">SUM(AB23:AB27)</f>
        <v>0</v>
      </c>
      <c r="AC28" s="25">
        <f t="shared" si="27"/>
        <v>2185.2399999999998</v>
      </c>
      <c r="AD28" s="25">
        <f t="shared" si="27"/>
        <v>0</v>
      </c>
      <c r="AE28" s="25">
        <f>SUM(AE23:AE27)</f>
        <v>2524.8389999999999</v>
      </c>
      <c r="AF28" s="50">
        <f>SUM(AF23:AF27)</f>
        <v>0</v>
      </c>
      <c r="AG28" s="50"/>
    </row>
    <row r="29" spans="1:33" x14ac:dyDescent="0.2"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50"/>
      <c r="AG29" s="50"/>
    </row>
    <row r="30" spans="1:33" x14ac:dyDescent="0.2">
      <c r="A30" s="7">
        <v>2</v>
      </c>
      <c r="B30" s="20" t="s">
        <v>67</v>
      </c>
      <c r="C30" s="7">
        <v>1</v>
      </c>
      <c r="D30" s="13" t="s">
        <v>16</v>
      </c>
      <c r="F30" s="28">
        <v>0</v>
      </c>
      <c r="G30" s="28">
        <v>477.125</v>
      </c>
      <c r="H30" s="24">
        <v>0</v>
      </c>
      <c r="I30" s="28">
        <v>0</v>
      </c>
      <c r="J30" s="29">
        <f>F30+G30+H30+I30</f>
        <v>477.125</v>
      </c>
      <c r="K30" s="28">
        <v>2185.2399999999998</v>
      </c>
      <c r="L30" s="29">
        <f>J30+K30</f>
        <v>2662.3649999999998</v>
      </c>
      <c r="M30" s="24">
        <v>2042.355</v>
      </c>
      <c r="N30" s="28">
        <v>0</v>
      </c>
      <c r="O30" s="29">
        <f>M30+N30</f>
        <v>2042.355</v>
      </c>
      <c r="P30" s="24">
        <v>620.00099999999998</v>
      </c>
      <c r="Q30" s="29">
        <f>P30+O30</f>
        <v>2662.3559999999998</v>
      </c>
      <c r="R30" s="45">
        <v>0</v>
      </c>
      <c r="S30" s="30">
        <v>339.59900000000005</v>
      </c>
      <c r="T30" s="30">
        <v>0</v>
      </c>
      <c r="U30" s="28">
        <v>0</v>
      </c>
      <c r="V30" s="28">
        <v>0</v>
      </c>
      <c r="W30" s="24">
        <v>339.59900000000005</v>
      </c>
      <c r="X30" s="28">
        <v>0</v>
      </c>
      <c r="Y30" s="24">
        <v>2185.2399999999998</v>
      </c>
      <c r="Z30" s="28">
        <v>0</v>
      </c>
      <c r="AA30" s="28">
        <v>0</v>
      </c>
      <c r="AB30" s="28">
        <v>0</v>
      </c>
      <c r="AC30" s="29">
        <f>X30+Y30</f>
        <v>2185.2399999999998</v>
      </c>
      <c r="AD30" s="29">
        <f>AA30+AB30</f>
        <v>0</v>
      </c>
      <c r="AE30" s="29">
        <f>W30+AC30</f>
        <v>2524.8389999999999</v>
      </c>
      <c r="AF30" s="29">
        <f>Z30+AD30</f>
        <v>0</v>
      </c>
      <c r="AG30" s="29"/>
    </row>
    <row r="31" spans="1:33" x14ac:dyDescent="0.2">
      <c r="C31" s="7">
        <v>2</v>
      </c>
      <c r="D31" s="7" t="s">
        <v>17</v>
      </c>
      <c r="F31" s="28">
        <v>0</v>
      </c>
      <c r="G31" s="28">
        <v>587.69299999999998</v>
      </c>
      <c r="H31" s="28">
        <v>4303.24</v>
      </c>
      <c r="I31" s="28">
        <v>0</v>
      </c>
      <c r="J31" s="29">
        <f t="shared" ref="J31:J34" si="28">F31+G31+H31+I31</f>
        <v>4890.933</v>
      </c>
      <c r="K31" s="28">
        <v>398.37</v>
      </c>
      <c r="L31" s="29">
        <f>J31+K31</f>
        <v>5289.3029999999999</v>
      </c>
      <c r="M31" s="28">
        <v>3231.37</v>
      </c>
      <c r="N31" s="28">
        <v>0</v>
      </c>
      <c r="O31" s="29">
        <f t="shared" ref="O31:O34" si="29">M31+N31</f>
        <v>3231.37</v>
      </c>
      <c r="P31" s="28">
        <v>1844.24</v>
      </c>
      <c r="Q31" s="29">
        <f>P31+O31</f>
        <v>5075.6099999999997</v>
      </c>
      <c r="R31" s="45">
        <v>213.69300000000021</v>
      </c>
      <c r="S31" s="30">
        <v>0</v>
      </c>
      <c r="T31" s="30">
        <v>0</v>
      </c>
      <c r="U31" s="28">
        <v>0</v>
      </c>
      <c r="V31" s="28">
        <v>0</v>
      </c>
      <c r="W31" s="24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9">
        <f>X31+Y31</f>
        <v>0</v>
      </c>
      <c r="AD31" s="29">
        <f>AA31+AB31</f>
        <v>0</v>
      </c>
      <c r="AE31" s="29">
        <f>W31+AC31</f>
        <v>0</v>
      </c>
      <c r="AF31" s="29">
        <f t="shared" ref="AF31:AF34" si="30">Z31+AD31</f>
        <v>0</v>
      </c>
      <c r="AG31" s="29"/>
    </row>
    <row r="32" spans="1:33" x14ac:dyDescent="0.2">
      <c r="C32" s="7">
        <v>3</v>
      </c>
      <c r="D32" s="7" t="s">
        <v>18</v>
      </c>
      <c r="F32" s="28">
        <v>0</v>
      </c>
      <c r="G32" s="28">
        <v>513.84699999999998</v>
      </c>
      <c r="H32" s="28">
        <v>3379.72</v>
      </c>
      <c r="I32" s="28">
        <v>0</v>
      </c>
      <c r="J32" s="29">
        <f t="shared" si="28"/>
        <v>3893.567</v>
      </c>
      <c r="K32" s="28">
        <v>730.99</v>
      </c>
      <c r="L32" s="29">
        <f>J32+K32</f>
        <v>4624.5569999999998</v>
      </c>
      <c r="M32" s="28">
        <v>3184.36</v>
      </c>
      <c r="N32" s="28">
        <v>0</v>
      </c>
      <c r="O32" s="29">
        <f t="shared" si="29"/>
        <v>3184.36</v>
      </c>
      <c r="P32" s="28">
        <v>1253.3399999999999</v>
      </c>
      <c r="Q32" s="29">
        <f>P32+O32</f>
        <v>4437.7</v>
      </c>
      <c r="R32" s="45">
        <v>186.85699999999997</v>
      </c>
      <c r="S32" s="30">
        <v>0</v>
      </c>
      <c r="T32" s="30">
        <v>0</v>
      </c>
      <c r="U32" s="28">
        <v>0</v>
      </c>
      <c r="V32" s="28">
        <v>0</v>
      </c>
      <c r="W32" s="24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9">
        <f>X32+Y32</f>
        <v>0</v>
      </c>
      <c r="AD32" s="29">
        <f>AA32+AB32</f>
        <v>0</v>
      </c>
      <c r="AE32" s="29">
        <f>W32+AC32</f>
        <v>0</v>
      </c>
      <c r="AF32" s="29">
        <f t="shared" si="30"/>
        <v>0</v>
      </c>
      <c r="AG32" s="29"/>
    </row>
    <row r="33" spans="1:33" x14ac:dyDescent="0.2">
      <c r="C33" s="7">
        <v>4</v>
      </c>
      <c r="D33" s="7" t="s">
        <v>19</v>
      </c>
      <c r="F33" s="28">
        <v>0</v>
      </c>
      <c r="G33" s="28">
        <v>713.66200000000003</v>
      </c>
      <c r="H33" s="28">
        <v>4351.47</v>
      </c>
      <c r="I33" s="28">
        <v>0</v>
      </c>
      <c r="J33" s="29">
        <f t="shared" si="28"/>
        <v>5065.1320000000005</v>
      </c>
      <c r="K33" s="28">
        <v>1357.75</v>
      </c>
      <c r="L33" s="29">
        <f>J33+K33</f>
        <v>6422.8820000000005</v>
      </c>
      <c r="M33" s="28">
        <v>3311.51</v>
      </c>
      <c r="N33" s="28">
        <v>0</v>
      </c>
      <c r="O33" s="29">
        <f t="shared" si="29"/>
        <v>3311.51</v>
      </c>
      <c r="P33" s="28">
        <v>2851.85</v>
      </c>
      <c r="Q33" s="29">
        <f>P33+O33</f>
        <v>6163.3600000000006</v>
      </c>
      <c r="R33" s="45">
        <v>259.52199999999993</v>
      </c>
      <c r="S33" s="30">
        <v>0</v>
      </c>
      <c r="T33" s="30">
        <v>0</v>
      </c>
      <c r="U33" s="28">
        <v>0</v>
      </c>
      <c r="V33" s="28">
        <v>0</v>
      </c>
      <c r="W33" s="24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9">
        <f>X33+Y33</f>
        <v>0</v>
      </c>
      <c r="AD33" s="29">
        <f>AA33+AB33</f>
        <v>0</v>
      </c>
      <c r="AE33" s="29">
        <f>W33+AC33</f>
        <v>0</v>
      </c>
      <c r="AF33" s="29">
        <f t="shared" si="30"/>
        <v>0</v>
      </c>
      <c r="AG33" s="29"/>
    </row>
    <row r="34" spans="1:33" x14ac:dyDescent="0.2">
      <c r="C34" s="7">
        <v>5</v>
      </c>
      <c r="D34" s="7" t="s">
        <v>20</v>
      </c>
      <c r="F34" s="28">
        <v>0</v>
      </c>
      <c r="G34" s="28">
        <v>417.25700000000001</v>
      </c>
      <c r="H34" s="28">
        <v>620.69000000000005</v>
      </c>
      <c r="I34" s="28">
        <v>0</v>
      </c>
      <c r="J34" s="29">
        <f t="shared" si="28"/>
        <v>1037.9470000000001</v>
      </c>
      <c r="K34" s="28">
        <v>2717.39</v>
      </c>
      <c r="L34" s="29">
        <f>J34+K34</f>
        <v>3755.337</v>
      </c>
      <c r="M34" s="28">
        <v>3122.9</v>
      </c>
      <c r="N34" s="28">
        <v>0</v>
      </c>
      <c r="O34" s="29">
        <f t="shared" si="29"/>
        <v>3122.9</v>
      </c>
      <c r="P34" s="28">
        <v>480.71</v>
      </c>
      <c r="Q34" s="29">
        <f>P34+O34</f>
        <v>3603.61</v>
      </c>
      <c r="R34" s="45">
        <v>151.72699999999986</v>
      </c>
      <c r="S34" s="30">
        <v>0</v>
      </c>
      <c r="T34" s="30">
        <v>0</v>
      </c>
      <c r="U34" s="28">
        <v>0</v>
      </c>
      <c r="V34" s="28">
        <v>0</v>
      </c>
      <c r="W34" s="24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9">
        <f>X34+Y34</f>
        <v>0</v>
      </c>
      <c r="AD34" s="29">
        <f>AA34+AB34</f>
        <v>0</v>
      </c>
      <c r="AE34" s="29">
        <f>W34+AC34</f>
        <v>0</v>
      </c>
      <c r="AF34" s="29">
        <f t="shared" si="30"/>
        <v>0</v>
      </c>
      <c r="AG34" s="29"/>
    </row>
    <row r="35" spans="1:33" x14ac:dyDescent="0.2">
      <c r="F35" s="25">
        <f>SUM(F30:F34)</f>
        <v>0</v>
      </c>
      <c r="G35" s="25">
        <f t="shared" ref="G35:H35" si="31">SUM(G30:G34)</f>
        <v>2709.5840000000003</v>
      </c>
      <c r="H35" s="25">
        <f t="shared" si="31"/>
        <v>12655.12</v>
      </c>
      <c r="I35" s="25">
        <f>SUM(I30:I34)</f>
        <v>0</v>
      </c>
      <c r="J35" s="25">
        <f>SUM(J30:J34)</f>
        <v>15364.704000000002</v>
      </c>
      <c r="K35" s="25">
        <f t="shared" ref="K35:L35" si="32">SUM(K30:K34)</f>
        <v>7389.74</v>
      </c>
      <c r="L35" s="25">
        <f t="shared" si="32"/>
        <v>22754.444</v>
      </c>
      <c r="M35" s="25">
        <f>SUM(M30:M34)</f>
        <v>14892.495000000001</v>
      </c>
      <c r="N35" s="25">
        <f>SUM(N30:N34)</f>
        <v>0</v>
      </c>
      <c r="O35" s="25">
        <f>SUM(O30:O34)</f>
        <v>14892.495000000001</v>
      </c>
      <c r="P35" s="25">
        <f>SUM(P30:P34)</f>
        <v>7050.1410000000005</v>
      </c>
      <c r="Q35" s="25">
        <f t="shared" ref="Q35" si="33">SUM(Q30:Q34)</f>
        <v>21942.635999999999</v>
      </c>
      <c r="R35" s="25">
        <f>SUM(R30:R34)</f>
        <v>811.79899999999998</v>
      </c>
      <c r="S35" s="25">
        <f t="shared" ref="S35:Y35" si="34">SUM(S30:S34)</f>
        <v>339.59900000000005</v>
      </c>
      <c r="T35" s="25">
        <f t="shared" si="34"/>
        <v>0</v>
      </c>
      <c r="U35" s="25">
        <f t="shared" si="34"/>
        <v>0</v>
      </c>
      <c r="V35" s="25">
        <f t="shared" si="34"/>
        <v>0</v>
      </c>
      <c r="W35" s="25">
        <f t="shared" si="34"/>
        <v>339.59900000000005</v>
      </c>
      <c r="X35" s="25">
        <f t="shared" si="34"/>
        <v>0</v>
      </c>
      <c r="Y35" s="25">
        <f t="shared" si="34"/>
        <v>2185.2399999999998</v>
      </c>
      <c r="Z35" s="25">
        <f>SUM(Z30:Z34)</f>
        <v>0</v>
      </c>
      <c r="AA35" s="25">
        <f>SUM(AA30:AA34)</f>
        <v>0</v>
      </c>
      <c r="AB35" s="25">
        <f t="shared" ref="AB35:AD35" si="35">SUM(AB30:AB34)</f>
        <v>0</v>
      </c>
      <c r="AC35" s="25">
        <f t="shared" si="35"/>
        <v>2185.2399999999998</v>
      </c>
      <c r="AD35" s="25">
        <f t="shared" si="35"/>
        <v>0</v>
      </c>
      <c r="AE35" s="25">
        <f>SUM(AE30:AE34)</f>
        <v>2524.8389999999999</v>
      </c>
      <c r="AF35" s="50">
        <f>SUM(AF30:AF34)</f>
        <v>0</v>
      </c>
      <c r="AG35" s="50"/>
    </row>
    <row r="36" spans="1:33" x14ac:dyDescent="0.2"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50"/>
      <c r="AG36" s="50"/>
    </row>
    <row r="37" spans="1:33" x14ac:dyDescent="0.2">
      <c r="A37" s="7">
        <v>2</v>
      </c>
      <c r="B37" s="20" t="s">
        <v>73</v>
      </c>
      <c r="C37" s="7">
        <v>1</v>
      </c>
      <c r="D37" s="14" t="s">
        <v>16</v>
      </c>
      <c r="F37" s="34">
        <v>0</v>
      </c>
      <c r="G37" s="34">
        <v>0</v>
      </c>
      <c r="H37" s="34">
        <v>0</v>
      </c>
      <c r="I37" s="34">
        <v>0</v>
      </c>
      <c r="J37" s="29">
        <f>F37+G37+H37+I37</f>
        <v>0</v>
      </c>
      <c r="K37" s="34">
        <v>0</v>
      </c>
      <c r="L37" s="29">
        <f>K37+J37</f>
        <v>0</v>
      </c>
      <c r="M37" s="34">
        <v>0</v>
      </c>
      <c r="N37" s="34">
        <v>0</v>
      </c>
      <c r="O37" s="29">
        <f>M37+N37</f>
        <v>0</v>
      </c>
      <c r="P37" s="44">
        <v>0</v>
      </c>
      <c r="Q37" s="29">
        <f>P37+O37</f>
        <v>0</v>
      </c>
      <c r="R37" s="29">
        <f>MAX(L37-Q37,0)</f>
        <v>0</v>
      </c>
      <c r="S37" s="30">
        <v>0</v>
      </c>
      <c r="T37" s="24">
        <v>0</v>
      </c>
      <c r="U37" s="28">
        <v>0</v>
      </c>
      <c r="V37" s="28">
        <v>0</v>
      </c>
      <c r="W37" s="24">
        <v>339.59900000000005</v>
      </c>
      <c r="X37" s="28">
        <v>0</v>
      </c>
      <c r="Y37" s="24">
        <v>2185.2399999999998</v>
      </c>
      <c r="Z37" s="24">
        <v>0</v>
      </c>
      <c r="AA37" s="28">
        <v>0</v>
      </c>
      <c r="AB37" s="24">
        <v>0</v>
      </c>
      <c r="AC37" s="29">
        <f>X37+Y37</f>
        <v>2185.2399999999998</v>
      </c>
      <c r="AD37" s="29">
        <f>AA37+AB37</f>
        <v>0</v>
      </c>
      <c r="AE37" s="29">
        <f>W37+AC37</f>
        <v>2524.8389999999999</v>
      </c>
      <c r="AF37" s="29">
        <f>Z37+AD37</f>
        <v>0</v>
      </c>
      <c r="AG37" s="29"/>
    </row>
    <row r="38" spans="1:33" x14ac:dyDescent="0.2">
      <c r="C38" s="7">
        <v>2</v>
      </c>
      <c r="D38" s="8" t="s">
        <v>17</v>
      </c>
      <c r="F38" s="28">
        <v>0</v>
      </c>
      <c r="G38" s="28">
        <v>587.69299999999998</v>
      </c>
      <c r="H38" s="28">
        <v>4303.24</v>
      </c>
      <c r="I38" s="34">
        <v>70.652405000000002</v>
      </c>
      <c r="J38" s="29">
        <f t="shared" ref="J38:J41" si="36">F38+G38+H38+I38</f>
        <v>4961.5854049999998</v>
      </c>
      <c r="K38" s="34">
        <v>289.02</v>
      </c>
      <c r="L38" s="29">
        <f>K38+J38</f>
        <v>5250.6054050000002</v>
      </c>
      <c r="M38" s="28">
        <v>3231.37</v>
      </c>
      <c r="N38" s="28">
        <v>0</v>
      </c>
      <c r="O38" s="29">
        <f t="shared" ref="O38:O41" si="37">M38+N38</f>
        <v>3231.37</v>
      </c>
      <c r="P38" s="30">
        <v>115.69</v>
      </c>
      <c r="Q38" s="29">
        <f>P38+O38</f>
        <v>3347.06</v>
      </c>
      <c r="R38" s="40">
        <f t="shared" ref="R38:R41" si="38">MAX(L38-Q38,0)</f>
        <v>1903.5454050000003</v>
      </c>
      <c r="S38" s="30">
        <v>38.698</v>
      </c>
      <c r="T38" s="24">
        <v>1728.55</v>
      </c>
      <c r="U38" s="28">
        <v>0</v>
      </c>
      <c r="V38" s="28">
        <v>0</v>
      </c>
      <c r="W38" s="24">
        <v>0</v>
      </c>
      <c r="X38" s="28">
        <v>0</v>
      </c>
      <c r="Y38" s="24">
        <v>0</v>
      </c>
      <c r="Z38" s="24">
        <v>38.698</v>
      </c>
      <c r="AA38" s="28">
        <v>0</v>
      </c>
      <c r="AB38" s="24">
        <v>1728.55</v>
      </c>
      <c r="AC38" s="29">
        <f>X38+Y38</f>
        <v>0</v>
      </c>
      <c r="AD38" s="29">
        <f>AA38+AB38</f>
        <v>1728.55</v>
      </c>
      <c r="AE38" s="29">
        <f>W38+AC38</f>
        <v>0</v>
      </c>
      <c r="AF38" s="29">
        <f t="shared" ref="AF38:AF41" si="39">Z38+AD38</f>
        <v>1767.248</v>
      </c>
      <c r="AG38" s="29"/>
    </row>
    <row r="39" spans="1:33" x14ac:dyDescent="0.2">
      <c r="C39" s="7">
        <v>3</v>
      </c>
      <c r="D39" s="8" t="s">
        <v>18</v>
      </c>
      <c r="F39" s="28">
        <v>0</v>
      </c>
      <c r="G39" s="28">
        <v>513.84699999999998</v>
      </c>
      <c r="H39" s="28">
        <v>3379.72</v>
      </c>
      <c r="I39" s="34">
        <v>472.30182000000002</v>
      </c>
      <c r="J39" s="29">
        <f t="shared" si="36"/>
        <v>4365.8688199999997</v>
      </c>
      <c r="K39" s="34">
        <v>0</v>
      </c>
      <c r="L39" s="29">
        <f>K39+J39</f>
        <v>4365.8688199999997</v>
      </c>
      <c r="M39" s="28">
        <v>3184.36</v>
      </c>
      <c r="N39" s="28">
        <v>0</v>
      </c>
      <c r="O39" s="29">
        <f t="shared" si="37"/>
        <v>3184.36</v>
      </c>
      <c r="P39" s="30">
        <v>1253.3400000000001</v>
      </c>
      <c r="Q39" s="29">
        <f>P39+O39</f>
        <v>4437.7000000000007</v>
      </c>
      <c r="R39" s="40">
        <f t="shared" si="38"/>
        <v>0</v>
      </c>
      <c r="S39" s="30">
        <v>258.68799999999999</v>
      </c>
      <c r="T39" s="24">
        <v>0</v>
      </c>
      <c r="U39" s="28">
        <v>0</v>
      </c>
      <c r="V39" s="28">
        <v>0</v>
      </c>
      <c r="W39" s="24">
        <v>0</v>
      </c>
      <c r="X39" s="28">
        <v>0</v>
      </c>
      <c r="Y39" s="24">
        <v>0</v>
      </c>
      <c r="Z39" s="24">
        <v>258.68799999999999</v>
      </c>
      <c r="AA39" s="28">
        <v>0</v>
      </c>
      <c r="AB39" s="24">
        <v>0</v>
      </c>
      <c r="AC39" s="29">
        <f>X39+Y39</f>
        <v>0</v>
      </c>
      <c r="AD39" s="29">
        <f>AA39+AB39</f>
        <v>0</v>
      </c>
      <c r="AE39" s="29">
        <f>W39+AC39</f>
        <v>0</v>
      </c>
      <c r="AF39" s="29">
        <f t="shared" si="39"/>
        <v>258.68799999999999</v>
      </c>
      <c r="AG39" s="29"/>
    </row>
    <row r="40" spans="1:33" x14ac:dyDescent="0.2">
      <c r="C40" s="7">
        <v>4</v>
      </c>
      <c r="D40" s="7" t="s">
        <v>19</v>
      </c>
      <c r="F40" s="28">
        <v>0</v>
      </c>
      <c r="G40" s="28">
        <v>713.66200000000003</v>
      </c>
      <c r="H40" s="28">
        <v>4351.47</v>
      </c>
      <c r="I40" s="34">
        <v>77.05538</v>
      </c>
      <c r="J40" s="29">
        <f t="shared" si="36"/>
        <v>5142.1873800000003</v>
      </c>
      <c r="K40" s="34">
        <v>1238.49</v>
      </c>
      <c r="L40" s="29">
        <f>K40+J40</f>
        <v>6380.6773800000001</v>
      </c>
      <c r="M40" s="28">
        <v>3311.51</v>
      </c>
      <c r="N40" s="28">
        <v>0</v>
      </c>
      <c r="O40" s="29">
        <f t="shared" si="37"/>
        <v>3311.51</v>
      </c>
      <c r="P40" s="30">
        <v>2717.39</v>
      </c>
      <c r="Q40" s="29">
        <f>P40+O40</f>
        <v>6028.9</v>
      </c>
      <c r="R40" s="40">
        <f t="shared" si="38"/>
        <v>351.77738000000045</v>
      </c>
      <c r="S40" s="30">
        <v>42.204999999999998</v>
      </c>
      <c r="T40" s="24">
        <v>134.46</v>
      </c>
      <c r="U40" s="28">
        <v>0</v>
      </c>
      <c r="V40" s="28">
        <v>0</v>
      </c>
      <c r="W40" s="24">
        <v>0</v>
      </c>
      <c r="X40" s="28">
        <v>0</v>
      </c>
      <c r="Y40" s="24">
        <v>0</v>
      </c>
      <c r="Z40" s="24">
        <v>42.204999999999998</v>
      </c>
      <c r="AA40" s="28">
        <v>0</v>
      </c>
      <c r="AB40" s="24">
        <v>134.46</v>
      </c>
      <c r="AC40" s="29">
        <f>X40+Y40</f>
        <v>0</v>
      </c>
      <c r="AD40" s="29">
        <f>AA40+AB40</f>
        <v>134.46</v>
      </c>
      <c r="AE40" s="29">
        <f>W40+AC40</f>
        <v>0</v>
      </c>
      <c r="AF40" s="29">
        <f t="shared" si="39"/>
        <v>176.66500000000002</v>
      </c>
      <c r="AG40" s="29"/>
    </row>
    <row r="41" spans="1:33" x14ac:dyDescent="0.2">
      <c r="C41" s="7">
        <v>5</v>
      </c>
      <c r="D41" s="7" t="s">
        <v>20</v>
      </c>
      <c r="F41" s="28">
        <v>0</v>
      </c>
      <c r="G41" s="28">
        <v>417.25700000000001</v>
      </c>
      <c r="H41" s="28">
        <v>620.69000000000005</v>
      </c>
      <c r="I41" s="28">
        <v>0</v>
      </c>
      <c r="J41" s="29">
        <f t="shared" si="36"/>
        <v>1037.9470000000001</v>
      </c>
      <c r="K41" s="28">
        <v>2717.39</v>
      </c>
      <c r="L41" s="29">
        <f>K41+J41</f>
        <v>3755.337</v>
      </c>
      <c r="M41" s="28">
        <v>3122.9</v>
      </c>
      <c r="N41" s="28">
        <v>0</v>
      </c>
      <c r="O41" s="29">
        <f t="shared" si="37"/>
        <v>3122.9</v>
      </c>
      <c r="P41" s="30">
        <v>158.47999999999999</v>
      </c>
      <c r="Q41" s="29">
        <f>P41+O41</f>
        <v>3281.38</v>
      </c>
      <c r="R41" s="40">
        <f t="shared" si="38"/>
        <v>473.95699999999988</v>
      </c>
      <c r="S41" s="30">
        <v>0</v>
      </c>
      <c r="T41" s="24">
        <v>322.23</v>
      </c>
      <c r="U41" s="28">
        <v>0</v>
      </c>
      <c r="V41" s="28">
        <v>0</v>
      </c>
      <c r="W41" s="24">
        <v>0</v>
      </c>
      <c r="X41" s="28">
        <v>0</v>
      </c>
      <c r="Y41" s="24">
        <v>0</v>
      </c>
      <c r="Z41" s="24">
        <v>0</v>
      </c>
      <c r="AA41" s="28">
        <v>0</v>
      </c>
      <c r="AB41" s="24">
        <v>322.23</v>
      </c>
      <c r="AC41" s="29">
        <f>X41+Y41</f>
        <v>0</v>
      </c>
      <c r="AD41" s="29">
        <f>AA41+AB41</f>
        <v>322.23</v>
      </c>
      <c r="AE41" s="29">
        <f>W41+AC41</f>
        <v>0</v>
      </c>
      <c r="AF41" s="29">
        <f t="shared" si="39"/>
        <v>322.23</v>
      </c>
      <c r="AG41" s="29"/>
    </row>
    <row r="42" spans="1:33" x14ac:dyDescent="0.2">
      <c r="F42" s="25">
        <f t="shared" ref="F42:AF42" si="40">SUM(F37:F41)</f>
        <v>0</v>
      </c>
      <c r="G42" s="25">
        <f t="shared" si="40"/>
        <v>2232.4589999999998</v>
      </c>
      <c r="H42" s="25">
        <f t="shared" si="40"/>
        <v>12655.12</v>
      </c>
      <c r="I42" s="25">
        <f t="shared" si="40"/>
        <v>620.00960500000008</v>
      </c>
      <c r="J42" s="25">
        <f>SUM(J37:J41)</f>
        <v>15507.588605000001</v>
      </c>
      <c r="K42" s="25">
        <f t="shared" si="40"/>
        <v>4244.8999999999996</v>
      </c>
      <c r="L42" s="25">
        <f t="shared" si="40"/>
        <v>19752.488604999999</v>
      </c>
      <c r="M42" s="25">
        <f>SUM(M37:M41)</f>
        <v>12850.14</v>
      </c>
      <c r="N42" s="25">
        <f t="shared" ref="N42" si="41">SUM(N37:N41)</f>
        <v>0</v>
      </c>
      <c r="O42" s="25">
        <f t="shared" si="40"/>
        <v>12850.14</v>
      </c>
      <c r="P42" s="25">
        <f>SUM(P37:P41)</f>
        <v>4244.8999999999996</v>
      </c>
      <c r="Q42" s="25">
        <f t="shared" si="40"/>
        <v>17095.04</v>
      </c>
      <c r="R42" s="25">
        <f t="shared" si="40"/>
        <v>2729.2797850000006</v>
      </c>
      <c r="S42" s="25">
        <f t="shared" si="40"/>
        <v>339.59099999999995</v>
      </c>
      <c r="T42" s="25">
        <f t="shared" si="40"/>
        <v>2185.2399999999998</v>
      </c>
      <c r="U42" s="25">
        <f t="shared" si="40"/>
        <v>0</v>
      </c>
      <c r="V42" s="25">
        <f t="shared" si="40"/>
        <v>0</v>
      </c>
      <c r="W42" s="25">
        <f t="shared" si="40"/>
        <v>339.59900000000005</v>
      </c>
      <c r="X42" s="25">
        <f t="shared" si="40"/>
        <v>0</v>
      </c>
      <c r="Y42" s="25">
        <f t="shared" si="40"/>
        <v>2185.2399999999998</v>
      </c>
      <c r="Z42" s="25">
        <f t="shared" si="40"/>
        <v>339.59099999999995</v>
      </c>
      <c r="AA42" s="25">
        <f t="shared" si="40"/>
        <v>0</v>
      </c>
      <c r="AB42" s="25">
        <f t="shared" si="40"/>
        <v>2185.2399999999998</v>
      </c>
      <c r="AC42" s="25">
        <f t="shared" si="40"/>
        <v>2185.2399999999998</v>
      </c>
      <c r="AD42" s="25">
        <f t="shared" si="40"/>
        <v>2185.2399999999998</v>
      </c>
      <c r="AE42" s="25">
        <f t="shared" si="40"/>
        <v>2524.8389999999999</v>
      </c>
      <c r="AF42" s="50">
        <f t="shared" si="40"/>
        <v>2524.8310000000001</v>
      </c>
      <c r="AG42" s="50"/>
    </row>
    <row r="43" spans="1:33" x14ac:dyDescent="0.2"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50"/>
      <c r="AG43" s="50"/>
    </row>
    <row r="44" spans="1:33" x14ac:dyDescent="0.2">
      <c r="A44" s="7">
        <v>1</v>
      </c>
      <c r="B44" s="20" t="s">
        <v>64</v>
      </c>
      <c r="C44" s="7">
        <v>1</v>
      </c>
      <c r="D44" s="13" t="s">
        <v>16</v>
      </c>
      <c r="F44" s="28">
        <v>0</v>
      </c>
      <c r="G44" s="28">
        <v>477.125</v>
      </c>
      <c r="H44" s="28">
        <v>0</v>
      </c>
      <c r="I44" s="28">
        <v>0</v>
      </c>
      <c r="J44" s="29">
        <f>F44+G44+H44+I44</f>
        <v>477.125</v>
      </c>
      <c r="K44" s="28">
        <v>2185.2399999999998</v>
      </c>
      <c r="L44" s="29">
        <f>J44+K44</f>
        <v>2662.3649999999998</v>
      </c>
      <c r="M44" s="24">
        <v>2042.355</v>
      </c>
      <c r="N44" s="28">
        <v>0</v>
      </c>
      <c r="O44" s="29">
        <f>M44+N44</f>
        <v>2042.355</v>
      </c>
      <c r="P44" s="24">
        <v>620.00900000000001</v>
      </c>
      <c r="Q44" s="29">
        <f>P44+O44</f>
        <v>2662.364</v>
      </c>
      <c r="R44" s="30">
        <v>0</v>
      </c>
      <c r="S44" s="45">
        <v>0</v>
      </c>
      <c r="T44" s="45">
        <v>0</v>
      </c>
      <c r="U44" s="28">
        <v>0</v>
      </c>
      <c r="V44" s="28">
        <v>0</v>
      </c>
      <c r="W44" s="24">
        <v>339.59900000000005</v>
      </c>
      <c r="X44" s="28">
        <v>0</v>
      </c>
      <c r="Y44" s="24">
        <v>2185.2399999999998</v>
      </c>
      <c r="Z44" s="28">
        <v>0</v>
      </c>
      <c r="AA44" s="28">
        <v>0</v>
      </c>
      <c r="AB44" s="28">
        <v>0</v>
      </c>
      <c r="AC44" s="29">
        <f>X44+Y44</f>
        <v>2185.2399999999998</v>
      </c>
      <c r="AD44" s="29">
        <f>AA44+AB44</f>
        <v>0</v>
      </c>
      <c r="AE44" s="29">
        <f>W44+AC44</f>
        <v>2524.8389999999999</v>
      </c>
      <c r="AF44" s="29">
        <f>Z44+AD44</f>
        <v>0</v>
      </c>
      <c r="AG44" s="29"/>
    </row>
    <row r="45" spans="1:33" x14ac:dyDescent="0.2">
      <c r="C45" s="7">
        <v>2</v>
      </c>
      <c r="D45" s="7" t="s">
        <v>17</v>
      </c>
      <c r="F45" s="28">
        <v>0</v>
      </c>
      <c r="G45" s="28">
        <v>587.69299999999998</v>
      </c>
      <c r="H45" s="28">
        <v>4303.24</v>
      </c>
      <c r="I45" s="28">
        <v>0</v>
      </c>
      <c r="J45" s="29">
        <f t="shared" ref="J45:J48" si="42">F45+G45+H45+I45</f>
        <v>4890.933</v>
      </c>
      <c r="K45" s="28">
        <v>398.37</v>
      </c>
      <c r="L45" s="29">
        <f>J45+K45</f>
        <v>5289.3029999999999</v>
      </c>
      <c r="M45" s="28">
        <v>3231.37</v>
      </c>
      <c r="N45" s="28">
        <v>0</v>
      </c>
      <c r="O45" s="29">
        <f t="shared" ref="O45:O48" si="43">M45+N45</f>
        <v>3231.37</v>
      </c>
      <c r="P45" s="28">
        <v>1844.24</v>
      </c>
      <c r="Q45" s="29">
        <f>P45+O45</f>
        <v>5075.6099999999997</v>
      </c>
      <c r="R45" s="30">
        <v>213.69300000000021</v>
      </c>
      <c r="S45" s="42">
        <v>38.698</v>
      </c>
      <c r="T45" s="45">
        <v>0</v>
      </c>
      <c r="U45" s="28">
        <v>0</v>
      </c>
      <c r="V45" s="28">
        <v>0</v>
      </c>
      <c r="W45" s="24">
        <v>0</v>
      </c>
      <c r="X45" s="28">
        <v>0</v>
      </c>
      <c r="Y45" s="24">
        <v>0</v>
      </c>
      <c r="Z45" s="31">
        <v>38.698</v>
      </c>
      <c r="AA45" s="28">
        <v>0</v>
      </c>
      <c r="AB45" s="28">
        <v>0</v>
      </c>
      <c r="AC45" s="29">
        <f>X45+Y45</f>
        <v>0</v>
      </c>
      <c r="AD45" s="29">
        <f>AA45+AB45</f>
        <v>0</v>
      </c>
      <c r="AE45" s="29">
        <f>W45+AC45</f>
        <v>0</v>
      </c>
      <c r="AF45" s="29">
        <f t="shared" ref="AF45:AF48" si="44">Z45+AD45</f>
        <v>38.698</v>
      </c>
      <c r="AG45" s="29"/>
    </row>
    <row r="46" spans="1:33" x14ac:dyDescent="0.2">
      <c r="C46" s="7">
        <v>3</v>
      </c>
      <c r="D46" s="7" t="s">
        <v>18</v>
      </c>
      <c r="F46" s="28">
        <v>0</v>
      </c>
      <c r="G46" s="28">
        <v>513.84699999999998</v>
      </c>
      <c r="H46" s="28">
        <v>3379.72</v>
      </c>
      <c r="I46" s="28">
        <v>0</v>
      </c>
      <c r="J46" s="29">
        <f t="shared" si="42"/>
        <v>3893.567</v>
      </c>
      <c r="K46" s="28">
        <v>730.99</v>
      </c>
      <c r="L46" s="29">
        <f>J46+K46</f>
        <v>4624.5569999999998</v>
      </c>
      <c r="M46" s="28">
        <v>3184.36</v>
      </c>
      <c r="N46" s="28">
        <v>0</v>
      </c>
      <c r="O46" s="29">
        <f t="shared" si="43"/>
        <v>3184.36</v>
      </c>
      <c r="P46" s="28">
        <v>1253.3399999999999</v>
      </c>
      <c r="Q46" s="29">
        <f>P46+O46</f>
        <v>4437.7</v>
      </c>
      <c r="R46" s="30">
        <v>186.85699999999997</v>
      </c>
      <c r="S46" s="42">
        <v>258.68799999999999</v>
      </c>
      <c r="T46" s="45">
        <v>0</v>
      </c>
      <c r="U46" s="28">
        <v>0</v>
      </c>
      <c r="V46" s="28">
        <v>0</v>
      </c>
      <c r="W46" s="24">
        <v>0</v>
      </c>
      <c r="X46" s="28">
        <v>0</v>
      </c>
      <c r="Y46" s="24">
        <v>0</v>
      </c>
      <c r="Z46" s="31">
        <v>258.68799999999999</v>
      </c>
      <c r="AA46" s="28">
        <v>0</v>
      </c>
      <c r="AB46" s="28">
        <v>0</v>
      </c>
      <c r="AC46" s="29">
        <f>X46+Y46</f>
        <v>0</v>
      </c>
      <c r="AD46" s="29">
        <f>AA46+AB46</f>
        <v>0</v>
      </c>
      <c r="AE46" s="29">
        <f>W46+AC46</f>
        <v>0</v>
      </c>
      <c r="AF46" s="29">
        <f t="shared" si="44"/>
        <v>258.68799999999999</v>
      </c>
      <c r="AG46" s="29"/>
    </row>
    <row r="47" spans="1:33" x14ac:dyDescent="0.2">
      <c r="C47" s="7">
        <v>4</v>
      </c>
      <c r="D47" s="7" t="s">
        <v>19</v>
      </c>
      <c r="F47" s="28">
        <v>0</v>
      </c>
      <c r="G47" s="28">
        <v>713.66200000000003</v>
      </c>
      <c r="H47" s="28">
        <v>4351.47</v>
      </c>
      <c r="I47" s="28">
        <v>0</v>
      </c>
      <c r="J47" s="29">
        <f t="shared" si="42"/>
        <v>5065.1320000000005</v>
      </c>
      <c r="K47" s="28">
        <v>1357.75</v>
      </c>
      <c r="L47" s="29">
        <f>J47+K47</f>
        <v>6422.8820000000005</v>
      </c>
      <c r="M47" s="28">
        <v>3311.51</v>
      </c>
      <c r="N47" s="28">
        <v>0</v>
      </c>
      <c r="O47" s="29">
        <f t="shared" si="43"/>
        <v>3311.51</v>
      </c>
      <c r="P47" s="28">
        <v>2851.85</v>
      </c>
      <c r="Q47" s="29">
        <f>P47+O47</f>
        <v>6163.3600000000006</v>
      </c>
      <c r="R47" s="30">
        <v>259.52199999999993</v>
      </c>
      <c r="S47" s="42">
        <v>42.204999999999998</v>
      </c>
      <c r="T47" s="45">
        <v>0</v>
      </c>
      <c r="U47" s="28">
        <v>0</v>
      </c>
      <c r="V47" s="28">
        <v>0</v>
      </c>
      <c r="W47" s="24">
        <v>0</v>
      </c>
      <c r="X47" s="28">
        <v>0</v>
      </c>
      <c r="Y47" s="24">
        <v>0</v>
      </c>
      <c r="Z47" s="31">
        <v>42.204999999999998</v>
      </c>
      <c r="AA47" s="28">
        <v>0</v>
      </c>
      <c r="AB47" s="28">
        <v>0</v>
      </c>
      <c r="AC47" s="29">
        <f>X47+Y47</f>
        <v>0</v>
      </c>
      <c r="AD47" s="29">
        <f>AA47+AB47</f>
        <v>0</v>
      </c>
      <c r="AE47" s="29">
        <f>W47+AC47</f>
        <v>0</v>
      </c>
      <c r="AF47" s="29">
        <f t="shared" si="44"/>
        <v>42.204999999999998</v>
      </c>
      <c r="AG47" s="29"/>
    </row>
    <row r="48" spans="1:33" x14ac:dyDescent="0.2">
      <c r="C48" s="7">
        <v>5</v>
      </c>
      <c r="D48" s="7" t="s">
        <v>20</v>
      </c>
      <c r="F48" s="28">
        <v>0</v>
      </c>
      <c r="G48" s="28">
        <v>417.25700000000001</v>
      </c>
      <c r="H48" s="28">
        <v>620.69000000000005</v>
      </c>
      <c r="I48" s="28">
        <v>0</v>
      </c>
      <c r="J48" s="29">
        <f t="shared" si="42"/>
        <v>1037.9470000000001</v>
      </c>
      <c r="K48" s="28">
        <v>2717.39</v>
      </c>
      <c r="L48" s="29">
        <f>J48+K48</f>
        <v>3755.337</v>
      </c>
      <c r="M48" s="28">
        <v>3122.9</v>
      </c>
      <c r="N48" s="28">
        <v>0</v>
      </c>
      <c r="O48" s="29">
        <f t="shared" si="43"/>
        <v>3122.9</v>
      </c>
      <c r="P48" s="28">
        <v>480.71</v>
      </c>
      <c r="Q48" s="29">
        <f>P48+O48</f>
        <v>3603.61</v>
      </c>
      <c r="R48" s="30">
        <v>151.72699999999986</v>
      </c>
      <c r="S48" s="45">
        <v>0</v>
      </c>
      <c r="T48" s="45">
        <v>0</v>
      </c>
      <c r="U48" s="28">
        <v>0</v>
      </c>
      <c r="V48" s="28">
        <v>0</v>
      </c>
      <c r="W48" s="24">
        <v>0</v>
      </c>
      <c r="X48" s="28">
        <v>0</v>
      </c>
      <c r="Y48" s="24">
        <v>0</v>
      </c>
      <c r="Z48" s="24">
        <v>0</v>
      </c>
      <c r="AA48" s="28">
        <v>0</v>
      </c>
      <c r="AB48" s="28">
        <v>0</v>
      </c>
      <c r="AC48" s="29">
        <f>X48+Y48</f>
        <v>0</v>
      </c>
      <c r="AD48" s="29">
        <f>AA48+AB48</f>
        <v>0</v>
      </c>
      <c r="AE48" s="29">
        <f>W48+AC48</f>
        <v>0</v>
      </c>
      <c r="AF48" s="29">
        <f t="shared" si="44"/>
        <v>0</v>
      </c>
      <c r="AG48" s="29"/>
    </row>
    <row r="49" spans="1:33" x14ac:dyDescent="0.2">
      <c r="F49" s="25">
        <f>SUM(F44:F48)</f>
        <v>0</v>
      </c>
      <c r="G49" s="25">
        <f t="shared" ref="G49:L49" si="45">SUM(G44:G48)</f>
        <v>2709.5840000000003</v>
      </c>
      <c r="H49" s="25">
        <f t="shared" si="45"/>
        <v>12655.12</v>
      </c>
      <c r="I49" s="25">
        <f>SUM(I44:I48)</f>
        <v>0</v>
      </c>
      <c r="J49" s="25">
        <f>SUM(J44:J48)</f>
        <v>15364.704000000002</v>
      </c>
      <c r="K49" s="25">
        <f t="shared" si="45"/>
        <v>7389.74</v>
      </c>
      <c r="L49" s="25">
        <f t="shared" si="45"/>
        <v>22754.444</v>
      </c>
      <c r="M49" s="25">
        <f>SUM(M44:M48)</f>
        <v>14892.495000000001</v>
      </c>
      <c r="N49" s="25">
        <f>SUM(N44:N48)</f>
        <v>0</v>
      </c>
      <c r="O49" s="25">
        <f>SUM(O44:O48)</f>
        <v>14892.495000000001</v>
      </c>
      <c r="P49" s="25">
        <f>SUM(P44:P48)</f>
        <v>7050.1490000000003</v>
      </c>
      <c r="Q49" s="25">
        <f t="shared" ref="Q49" si="46">SUM(Q44:Q48)</f>
        <v>21942.644</v>
      </c>
      <c r="R49" s="25">
        <f>SUM(R44:R48)</f>
        <v>811.79899999999998</v>
      </c>
      <c r="S49" s="25">
        <f t="shared" ref="S49:W49" si="47">SUM(S44:S48)</f>
        <v>339.59099999999995</v>
      </c>
      <c r="T49" s="25">
        <f t="shared" si="47"/>
        <v>0</v>
      </c>
      <c r="U49" s="25">
        <f t="shared" si="47"/>
        <v>0</v>
      </c>
      <c r="V49" s="25">
        <f t="shared" si="47"/>
        <v>0</v>
      </c>
      <c r="W49" s="25">
        <f t="shared" si="47"/>
        <v>339.59900000000005</v>
      </c>
      <c r="X49" s="25">
        <f>SUM(X44:X48)</f>
        <v>0</v>
      </c>
      <c r="Y49" s="25">
        <f>SUM(Y44:Y48)</f>
        <v>2185.2399999999998</v>
      </c>
      <c r="Z49" s="25">
        <f>SUM(Z44:Z48)</f>
        <v>339.59099999999995</v>
      </c>
      <c r="AA49" s="25">
        <f>SUM(AA44:AA48)</f>
        <v>0</v>
      </c>
      <c r="AB49" s="25">
        <f t="shared" ref="AB49:AD49" si="48">SUM(AB44:AB48)</f>
        <v>0</v>
      </c>
      <c r="AC49" s="25">
        <f>SUM(AC44:AC48)</f>
        <v>2185.2399999999998</v>
      </c>
      <c r="AD49" s="25">
        <f t="shared" si="48"/>
        <v>0</v>
      </c>
      <c r="AE49" s="25">
        <f>SUM(AE44:AE48)</f>
        <v>2524.8389999999999</v>
      </c>
      <c r="AF49" s="50">
        <f>SUM(AF44:AF48)</f>
        <v>339.59099999999995</v>
      </c>
      <c r="AG49" s="50"/>
    </row>
    <row r="51" spans="1:33" x14ac:dyDescent="0.2">
      <c r="A51" s="7">
        <v>1</v>
      </c>
      <c r="B51" s="20" t="s">
        <v>70</v>
      </c>
      <c r="C51" s="7">
        <v>1</v>
      </c>
      <c r="D51" s="13" t="s">
        <v>16</v>
      </c>
      <c r="F51" s="28">
        <v>0</v>
      </c>
      <c r="G51" s="28">
        <v>477.125</v>
      </c>
      <c r="H51" s="28">
        <v>0</v>
      </c>
      <c r="I51" s="28">
        <v>0</v>
      </c>
      <c r="J51" s="29">
        <f>F51+G51+H51+I51</f>
        <v>477.125</v>
      </c>
      <c r="K51" s="28">
        <v>2185.2399999999998</v>
      </c>
      <c r="L51" s="29">
        <f>K51+J51</f>
        <v>2662.3649999999998</v>
      </c>
      <c r="M51" s="24">
        <v>2042.355</v>
      </c>
      <c r="N51" s="28">
        <v>0</v>
      </c>
      <c r="O51" s="29">
        <f>M51+N51</f>
        <v>2042.355</v>
      </c>
      <c r="P51" s="24">
        <v>620.00900000000001</v>
      </c>
      <c r="Q51" s="29">
        <f>P51+O51</f>
        <v>2662.364</v>
      </c>
      <c r="R51" s="30">
        <v>0</v>
      </c>
      <c r="S51" s="30">
        <v>0</v>
      </c>
      <c r="T51" s="24">
        <v>0</v>
      </c>
      <c r="U51" s="28">
        <v>0</v>
      </c>
      <c r="V51" s="28">
        <v>0</v>
      </c>
      <c r="W51" s="24">
        <v>339.59900000000005</v>
      </c>
      <c r="X51" s="28">
        <v>0</v>
      </c>
      <c r="Y51" s="24">
        <v>2185.2399999999998</v>
      </c>
      <c r="Z51" s="24">
        <v>0</v>
      </c>
      <c r="AA51" s="28">
        <v>0</v>
      </c>
      <c r="AB51" s="24">
        <v>0</v>
      </c>
      <c r="AC51" s="29">
        <f>X51+Y51</f>
        <v>2185.2399999999998</v>
      </c>
      <c r="AD51" s="29">
        <f>AA51+AB51</f>
        <v>0</v>
      </c>
      <c r="AE51" s="29">
        <f>W51+AC51</f>
        <v>2524.8389999999999</v>
      </c>
      <c r="AF51" s="29">
        <f>Z51+AD51</f>
        <v>0</v>
      </c>
      <c r="AG51" s="29"/>
    </row>
    <row r="52" spans="1:33" x14ac:dyDescent="0.2">
      <c r="C52" s="7">
        <v>2</v>
      </c>
      <c r="D52" s="7" t="s">
        <v>17</v>
      </c>
      <c r="F52" s="28">
        <v>0</v>
      </c>
      <c r="G52" s="28">
        <v>587.69299999999998</v>
      </c>
      <c r="H52" s="28">
        <v>4303.24</v>
      </c>
      <c r="I52" s="28">
        <v>0</v>
      </c>
      <c r="J52" s="29">
        <f t="shared" ref="J52:J55" si="49">F52+G52+H52+I52</f>
        <v>4890.933</v>
      </c>
      <c r="K52" s="28">
        <v>398.37</v>
      </c>
      <c r="L52" s="29">
        <f>K52+J52</f>
        <v>5289.3029999999999</v>
      </c>
      <c r="M52" s="28">
        <v>3231.37</v>
      </c>
      <c r="N52" s="28">
        <v>0</v>
      </c>
      <c r="O52" s="29">
        <f t="shared" ref="O52:O55" si="50">M52+N52</f>
        <v>3231.37</v>
      </c>
      <c r="P52" s="28">
        <v>1844.24</v>
      </c>
      <c r="Q52" s="29">
        <f>P52+O52</f>
        <v>5075.6099999999997</v>
      </c>
      <c r="R52" s="30">
        <v>213.69300000000021</v>
      </c>
      <c r="S52" s="30">
        <v>38.698</v>
      </c>
      <c r="T52" s="33">
        <v>1728.55</v>
      </c>
      <c r="U52" s="28">
        <v>0</v>
      </c>
      <c r="V52" s="28">
        <v>0</v>
      </c>
      <c r="W52" s="24">
        <v>0</v>
      </c>
      <c r="X52" s="28">
        <v>0</v>
      </c>
      <c r="Y52" s="24">
        <v>0</v>
      </c>
      <c r="Z52" s="24">
        <v>38.698</v>
      </c>
      <c r="AA52" s="28">
        <v>0</v>
      </c>
      <c r="AB52" s="33">
        <v>1728.55</v>
      </c>
      <c r="AC52" s="29">
        <f>X52+Y52</f>
        <v>0</v>
      </c>
      <c r="AD52" s="29">
        <f>AA52+AB52</f>
        <v>1728.55</v>
      </c>
      <c r="AE52" s="29">
        <f>W52+AC52</f>
        <v>0</v>
      </c>
      <c r="AF52" s="29">
        <f t="shared" ref="AF52:AF55" si="51">Z52+AD52</f>
        <v>1767.248</v>
      </c>
      <c r="AG52" s="29"/>
    </row>
    <row r="53" spans="1:33" x14ac:dyDescent="0.2">
      <c r="C53" s="7">
        <v>3</v>
      </c>
      <c r="D53" s="7" t="s">
        <v>18</v>
      </c>
      <c r="F53" s="28">
        <v>0</v>
      </c>
      <c r="G53" s="28">
        <v>513.84699999999998</v>
      </c>
      <c r="H53" s="28">
        <v>3379.72</v>
      </c>
      <c r="I53" s="28">
        <v>0</v>
      </c>
      <c r="J53" s="29">
        <f t="shared" si="49"/>
        <v>3893.567</v>
      </c>
      <c r="K53" s="28">
        <v>730.99</v>
      </c>
      <c r="L53" s="29">
        <f>K53+J53</f>
        <v>4624.5569999999998</v>
      </c>
      <c r="M53" s="28">
        <v>3184.36</v>
      </c>
      <c r="N53" s="28">
        <v>0</v>
      </c>
      <c r="O53" s="29">
        <f t="shared" si="50"/>
        <v>3184.36</v>
      </c>
      <c r="P53" s="28">
        <v>1253.3399999999999</v>
      </c>
      <c r="Q53" s="29">
        <f>P53+O53</f>
        <v>4437.7</v>
      </c>
      <c r="R53" s="30">
        <v>186.85699999999997</v>
      </c>
      <c r="S53" s="30">
        <v>258.68799999999999</v>
      </c>
      <c r="T53" s="28">
        <v>0</v>
      </c>
      <c r="U53" s="28">
        <v>0</v>
      </c>
      <c r="V53" s="28">
        <v>0</v>
      </c>
      <c r="W53" s="24">
        <v>0</v>
      </c>
      <c r="X53" s="28">
        <v>0</v>
      </c>
      <c r="Y53" s="24">
        <v>0</v>
      </c>
      <c r="Z53" s="24">
        <v>258.68799999999999</v>
      </c>
      <c r="AA53" s="28">
        <v>0</v>
      </c>
      <c r="AB53" s="28">
        <v>0</v>
      </c>
      <c r="AC53" s="29">
        <f>X53+Y53</f>
        <v>0</v>
      </c>
      <c r="AD53" s="29">
        <f>AA53+AB53</f>
        <v>0</v>
      </c>
      <c r="AE53" s="29">
        <f>W53+AC53</f>
        <v>0</v>
      </c>
      <c r="AF53" s="29">
        <f t="shared" si="51"/>
        <v>258.68799999999999</v>
      </c>
      <c r="AG53" s="29"/>
    </row>
    <row r="54" spans="1:33" x14ac:dyDescent="0.2">
      <c r="C54" s="7">
        <v>4</v>
      </c>
      <c r="D54" s="7" t="s">
        <v>19</v>
      </c>
      <c r="F54" s="28">
        <v>0</v>
      </c>
      <c r="G54" s="28">
        <v>713.66200000000003</v>
      </c>
      <c r="H54" s="28">
        <v>4351.47</v>
      </c>
      <c r="I54" s="28">
        <v>0</v>
      </c>
      <c r="J54" s="29">
        <f t="shared" si="49"/>
        <v>5065.1320000000005</v>
      </c>
      <c r="K54" s="28">
        <v>1357.75</v>
      </c>
      <c r="L54" s="29">
        <f>K54+J54</f>
        <v>6422.8820000000005</v>
      </c>
      <c r="M54" s="28">
        <v>3311.51</v>
      </c>
      <c r="N54" s="28">
        <v>0</v>
      </c>
      <c r="O54" s="29">
        <f t="shared" si="50"/>
        <v>3311.51</v>
      </c>
      <c r="P54" s="28">
        <v>2851.85</v>
      </c>
      <c r="Q54" s="29">
        <f>P54+O54</f>
        <v>6163.3600000000006</v>
      </c>
      <c r="R54" s="30">
        <v>259.52199999999993</v>
      </c>
      <c r="S54" s="30">
        <v>42.204999999999998</v>
      </c>
      <c r="T54" s="33">
        <v>134.46</v>
      </c>
      <c r="U54" s="28">
        <v>0</v>
      </c>
      <c r="V54" s="28">
        <v>0</v>
      </c>
      <c r="W54" s="24">
        <v>0</v>
      </c>
      <c r="X54" s="28">
        <v>0</v>
      </c>
      <c r="Y54" s="24">
        <v>0</v>
      </c>
      <c r="Z54" s="24">
        <v>42.204999999999998</v>
      </c>
      <c r="AA54" s="28">
        <v>0</v>
      </c>
      <c r="AB54" s="33">
        <v>134.46</v>
      </c>
      <c r="AC54" s="29">
        <f>X54+Y54</f>
        <v>0</v>
      </c>
      <c r="AD54" s="29">
        <f>AA54+AB54</f>
        <v>134.46</v>
      </c>
      <c r="AE54" s="29">
        <f>W54+AC54</f>
        <v>0</v>
      </c>
      <c r="AF54" s="29">
        <f t="shared" si="51"/>
        <v>176.66500000000002</v>
      </c>
      <c r="AG54" s="29"/>
    </row>
    <row r="55" spans="1:33" x14ac:dyDescent="0.2">
      <c r="C55" s="7">
        <v>5</v>
      </c>
      <c r="D55" s="7" t="s">
        <v>20</v>
      </c>
      <c r="F55" s="28">
        <v>0</v>
      </c>
      <c r="G55" s="28">
        <v>417.25700000000001</v>
      </c>
      <c r="H55" s="28">
        <v>620.69000000000005</v>
      </c>
      <c r="I55" s="28">
        <v>0</v>
      </c>
      <c r="J55" s="29">
        <f t="shared" si="49"/>
        <v>1037.9470000000001</v>
      </c>
      <c r="K55" s="28">
        <v>2717.39</v>
      </c>
      <c r="L55" s="29">
        <f>K55+J55</f>
        <v>3755.337</v>
      </c>
      <c r="M55" s="28">
        <v>3122.9</v>
      </c>
      <c r="N55" s="28">
        <v>0</v>
      </c>
      <c r="O55" s="29">
        <f t="shared" si="50"/>
        <v>3122.9</v>
      </c>
      <c r="P55" s="28">
        <v>480.71</v>
      </c>
      <c r="Q55" s="29">
        <f>P55+O55</f>
        <v>3603.61</v>
      </c>
      <c r="R55" s="30">
        <v>151.72699999999986</v>
      </c>
      <c r="S55" s="30">
        <v>0</v>
      </c>
      <c r="T55" s="33">
        <v>322.23</v>
      </c>
      <c r="U55" s="28">
        <v>0</v>
      </c>
      <c r="V55" s="28">
        <v>0</v>
      </c>
      <c r="W55" s="24">
        <v>0</v>
      </c>
      <c r="X55" s="28">
        <v>0</v>
      </c>
      <c r="Y55" s="24">
        <v>0</v>
      </c>
      <c r="Z55" s="24">
        <v>0</v>
      </c>
      <c r="AA55" s="28">
        <v>0</v>
      </c>
      <c r="AB55" s="33">
        <v>322.23</v>
      </c>
      <c r="AC55" s="29">
        <f>X55+Y55</f>
        <v>0</v>
      </c>
      <c r="AD55" s="29">
        <f>AA55+AB55</f>
        <v>322.23</v>
      </c>
      <c r="AE55" s="29">
        <f>W55+AC55</f>
        <v>0</v>
      </c>
      <c r="AF55" s="29">
        <f t="shared" si="51"/>
        <v>322.23</v>
      </c>
      <c r="AG55" s="29"/>
    </row>
    <row r="56" spans="1:33" x14ac:dyDescent="0.2">
      <c r="F56" s="25">
        <f t="shared" ref="F56:X56" si="52">SUM(F51:F55)</f>
        <v>0</v>
      </c>
      <c r="G56" s="25">
        <f t="shared" si="52"/>
        <v>2709.5840000000003</v>
      </c>
      <c r="H56" s="25">
        <f t="shared" si="52"/>
        <v>12655.12</v>
      </c>
      <c r="I56" s="25">
        <f t="shared" si="52"/>
        <v>0</v>
      </c>
      <c r="J56" s="25">
        <f>SUM(J51:J55)</f>
        <v>15364.704000000002</v>
      </c>
      <c r="K56" s="25">
        <f t="shared" si="52"/>
        <v>7389.74</v>
      </c>
      <c r="L56" s="25">
        <f t="shared" si="52"/>
        <v>22754.444</v>
      </c>
      <c r="M56" s="25">
        <f>SUM(M51:M55)</f>
        <v>14892.495000000001</v>
      </c>
      <c r="N56" s="25">
        <f t="shared" ref="N56" si="53">SUM(N51:N55)</f>
        <v>0</v>
      </c>
      <c r="O56" s="25">
        <f t="shared" si="52"/>
        <v>14892.495000000001</v>
      </c>
      <c r="P56" s="25">
        <f>SUM(P51:P55)</f>
        <v>7050.1490000000003</v>
      </c>
      <c r="Q56" s="25">
        <f t="shared" si="52"/>
        <v>21942.644</v>
      </c>
      <c r="R56" s="25">
        <f t="shared" si="52"/>
        <v>811.79899999999998</v>
      </c>
      <c r="S56" s="25">
        <f t="shared" si="52"/>
        <v>339.59099999999995</v>
      </c>
      <c r="T56" s="25">
        <f t="shared" si="52"/>
        <v>2185.2399999999998</v>
      </c>
      <c r="U56" s="25">
        <f t="shared" si="52"/>
        <v>0</v>
      </c>
      <c r="V56" s="25">
        <f t="shared" si="52"/>
        <v>0</v>
      </c>
      <c r="W56" s="25">
        <f t="shared" si="52"/>
        <v>339.59900000000005</v>
      </c>
      <c r="X56" s="25">
        <f t="shared" si="52"/>
        <v>0</v>
      </c>
      <c r="Y56" s="25">
        <f>SUM(Y51:Y55)</f>
        <v>2185.2399999999998</v>
      </c>
      <c r="Z56" s="25">
        <f>SUM(Z51:Z55)</f>
        <v>339.59099999999995</v>
      </c>
      <c r="AA56" s="25">
        <f t="shared" ref="AA56" si="54">SUM(AA51:AA55)</f>
        <v>0</v>
      </c>
      <c r="AB56" s="25">
        <f>SUM(AB51:AB55)</f>
        <v>2185.2399999999998</v>
      </c>
      <c r="AC56" s="25">
        <f>SUM(AC51:AC55)</f>
        <v>2185.2399999999998</v>
      </c>
      <c r="AD56" s="25">
        <f>SUM(AD51:AD55)</f>
        <v>2185.2399999999998</v>
      </c>
      <c r="AE56" s="25">
        <f>SUM(AE51:AE55)</f>
        <v>2524.8389999999999</v>
      </c>
      <c r="AF56" s="50">
        <f>SUM(AF51:AF55)</f>
        <v>2524.8310000000001</v>
      </c>
      <c r="AG56" s="50"/>
    </row>
    <row r="58" spans="1:33" x14ac:dyDescent="0.2">
      <c r="A58" s="7">
        <v>2</v>
      </c>
      <c r="B58" s="21" t="s">
        <v>67</v>
      </c>
      <c r="C58" s="7">
        <v>1</v>
      </c>
      <c r="D58" s="15" t="s">
        <v>16</v>
      </c>
      <c r="F58" s="24">
        <v>0</v>
      </c>
      <c r="G58" s="24">
        <v>0</v>
      </c>
      <c r="H58" s="24">
        <v>0</v>
      </c>
      <c r="I58" s="24">
        <v>0</v>
      </c>
      <c r="J58" s="29">
        <f>F58+G58+H58+I58</f>
        <v>0</v>
      </c>
      <c r="K58" s="24">
        <v>0</v>
      </c>
      <c r="L58" s="29">
        <f>K58+J58</f>
        <v>0</v>
      </c>
      <c r="M58" s="24">
        <v>0</v>
      </c>
      <c r="N58" s="24">
        <v>0</v>
      </c>
      <c r="O58" s="29">
        <f>M58+N58</f>
        <v>0</v>
      </c>
      <c r="P58" s="30">
        <v>0</v>
      </c>
      <c r="Q58" s="29">
        <f>P58+O58</f>
        <v>0</v>
      </c>
      <c r="R58" s="29">
        <f>MAX(L58-Q58,0)</f>
        <v>0</v>
      </c>
      <c r="S58" s="30">
        <v>0</v>
      </c>
      <c r="T58" s="24">
        <v>0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0</v>
      </c>
      <c r="AA58" s="36">
        <v>0</v>
      </c>
      <c r="AB58" s="36">
        <v>0</v>
      </c>
      <c r="AC58" s="29">
        <f>X58+Y58</f>
        <v>0</v>
      </c>
      <c r="AD58" s="29">
        <f>AA58+AB58</f>
        <v>0</v>
      </c>
      <c r="AE58" s="29">
        <f>W58+AC58</f>
        <v>0</v>
      </c>
      <c r="AF58" s="29">
        <f>Z58+AD58</f>
        <v>0</v>
      </c>
      <c r="AG58" s="29"/>
    </row>
    <row r="59" spans="1:33" x14ac:dyDescent="0.2">
      <c r="C59" s="7">
        <v>2</v>
      </c>
      <c r="D59" s="8" t="s">
        <v>17</v>
      </c>
      <c r="F59" s="24">
        <v>0</v>
      </c>
      <c r="G59" s="28">
        <v>587.69299999999998</v>
      </c>
      <c r="H59" s="24">
        <v>4303.24</v>
      </c>
      <c r="I59" s="24">
        <v>70.652405000000002</v>
      </c>
      <c r="J59" s="29">
        <f t="shared" ref="J59:J62" si="55">F59+G59+H59+I59</f>
        <v>4961.5854049999998</v>
      </c>
      <c r="K59" s="24">
        <v>289.02</v>
      </c>
      <c r="L59" s="29">
        <f>K59+J59</f>
        <v>5250.6054050000002</v>
      </c>
      <c r="M59" s="28">
        <v>3231.37</v>
      </c>
      <c r="N59" s="24">
        <v>0</v>
      </c>
      <c r="O59" s="29">
        <f t="shared" ref="O59:O62" si="56">M59+N59</f>
        <v>3231.37</v>
      </c>
      <c r="P59" s="30">
        <v>115.69</v>
      </c>
      <c r="Q59" s="29">
        <f>P59+O59</f>
        <v>3347.06</v>
      </c>
      <c r="R59" s="40">
        <f t="shared" ref="R59:R62" si="57">MAX(L59-Q59,0)</f>
        <v>1903.5454050000003</v>
      </c>
      <c r="S59" s="30">
        <v>38.698</v>
      </c>
      <c r="T59" s="24">
        <v>1728.55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  <c r="AB59" s="36">
        <v>0</v>
      </c>
      <c r="AC59" s="29">
        <f>X59+Y59</f>
        <v>0</v>
      </c>
      <c r="AD59" s="29">
        <f>AA59+AB59</f>
        <v>0</v>
      </c>
      <c r="AE59" s="29">
        <f>W59+AC59</f>
        <v>0</v>
      </c>
      <c r="AF59" s="29">
        <f t="shared" ref="AF59:AF62" si="58">Z59+AD59</f>
        <v>0</v>
      </c>
      <c r="AG59" s="29"/>
    </row>
    <row r="60" spans="1:33" x14ac:dyDescent="0.2">
      <c r="C60" s="7">
        <v>3</v>
      </c>
      <c r="D60" s="8" t="s">
        <v>18</v>
      </c>
      <c r="F60" s="24">
        <v>0</v>
      </c>
      <c r="G60" s="28">
        <v>513.84699999999998</v>
      </c>
      <c r="H60" s="24">
        <v>3379.72</v>
      </c>
      <c r="I60" s="24">
        <v>472.30182000000002</v>
      </c>
      <c r="J60" s="29">
        <f t="shared" si="55"/>
        <v>4365.8688199999997</v>
      </c>
      <c r="K60" s="24">
        <v>0</v>
      </c>
      <c r="L60" s="29">
        <f>K60+J60</f>
        <v>4365.8688199999997</v>
      </c>
      <c r="M60" s="28">
        <v>3184.36</v>
      </c>
      <c r="N60" s="24">
        <v>0</v>
      </c>
      <c r="O60" s="29">
        <f t="shared" si="56"/>
        <v>3184.36</v>
      </c>
      <c r="P60" s="30">
        <v>1253.3400000000001</v>
      </c>
      <c r="Q60" s="29">
        <f>P60+O60</f>
        <v>4437.7000000000007</v>
      </c>
      <c r="R60" s="40">
        <f t="shared" si="57"/>
        <v>0</v>
      </c>
      <c r="S60" s="30">
        <v>258.68799999999999</v>
      </c>
      <c r="T60" s="24">
        <v>0</v>
      </c>
      <c r="U60" s="45">
        <v>0</v>
      </c>
      <c r="V60" s="45">
        <v>0</v>
      </c>
      <c r="W60" s="45">
        <v>0</v>
      </c>
      <c r="X60" s="36">
        <v>0</v>
      </c>
      <c r="Y60" s="36">
        <v>0</v>
      </c>
      <c r="Z60" s="36">
        <v>0</v>
      </c>
      <c r="AA60" s="36">
        <v>0</v>
      </c>
      <c r="AB60" s="36">
        <v>0</v>
      </c>
      <c r="AC60" s="29">
        <f>X60+Y60</f>
        <v>0</v>
      </c>
      <c r="AD60" s="29">
        <f>AA60+AB60</f>
        <v>0</v>
      </c>
      <c r="AE60" s="29">
        <f>W60+AC60</f>
        <v>0</v>
      </c>
      <c r="AF60" s="29">
        <f t="shared" si="58"/>
        <v>0</v>
      </c>
      <c r="AG60" s="29"/>
    </row>
    <row r="61" spans="1:33" x14ac:dyDescent="0.2">
      <c r="C61" s="7">
        <v>4</v>
      </c>
      <c r="D61" s="7" t="s">
        <v>19</v>
      </c>
      <c r="F61" s="24">
        <v>0</v>
      </c>
      <c r="G61" s="28">
        <v>713.66200000000003</v>
      </c>
      <c r="H61" s="24">
        <v>4351.47</v>
      </c>
      <c r="I61" s="24">
        <v>77.05538</v>
      </c>
      <c r="J61" s="29">
        <f t="shared" si="55"/>
        <v>5142.1873800000003</v>
      </c>
      <c r="K61" s="24">
        <v>1238.49</v>
      </c>
      <c r="L61" s="29">
        <f>K61+J61</f>
        <v>6380.6773800000001</v>
      </c>
      <c r="M61" s="28">
        <v>3311.51</v>
      </c>
      <c r="N61" s="24">
        <v>0</v>
      </c>
      <c r="O61" s="29">
        <f t="shared" si="56"/>
        <v>3311.51</v>
      </c>
      <c r="P61" s="30">
        <v>2717.39</v>
      </c>
      <c r="Q61" s="29">
        <f>P61+O61</f>
        <v>6028.9</v>
      </c>
      <c r="R61" s="40">
        <f t="shared" si="57"/>
        <v>351.77738000000045</v>
      </c>
      <c r="S61" s="30">
        <v>42.204999999999998</v>
      </c>
      <c r="T61" s="24">
        <v>134.46</v>
      </c>
      <c r="U61" s="36">
        <v>0</v>
      </c>
      <c r="V61" s="36">
        <v>0</v>
      </c>
      <c r="W61" s="36">
        <v>0</v>
      </c>
      <c r="X61" s="36">
        <v>0</v>
      </c>
      <c r="Y61" s="36">
        <v>0</v>
      </c>
      <c r="Z61" s="36">
        <v>0</v>
      </c>
      <c r="AA61" s="36">
        <v>0</v>
      </c>
      <c r="AB61" s="36">
        <v>0</v>
      </c>
      <c r="AC61" s="29">
        <f>X61+Y61</f>
        <v>0</v>
      </c>
      <c r="AD61" s="29">
        <f>AA61+AB61</f>
        <v>0</v>
      </c>
      <c r="AE61" s="29">
        <f>W61+AC61</f>
        <v>0</v>
      </c>
      <c r="AF61" s="29">
        <f t="shared" si="58"/>
        <v>0</v>
      </c>
      <c r="AG61" s="29"/>
    </row>
    <row r="62" spans="1:33" x14ac:dyDescent="0.2">
      <c r="C62" s="7">
        <v>5</v>
      </c>
      <c r="D62" s="7" t="s">
        <v>20</v>
      </c>
      <c r="F62" s="24">
        <v>0</v>
      </c>
      <c r="G62" s="24">
        <v>417.25700000000001</v>
      </c>
      <c r="H62" s="24">
        <v>620.69000000000005</v>
      </c>
      <c r="I62" s="24">
        <v>0</v>
      </c>
      <c r="J62" s="29">
        <f t="shared" si="55"/>
        <v>1037.9470000000001</v>
      </c>
      <c r="K62" s="28">
        <v>2717.39</v>
      </c>
      <c r="L62" s="29">
        <f>K62+J62</f>
        <v>3755.337</v>
      </c>
      <c r="M62" s="28">
        <v>3122.9</v>
      </c>
      <c r="N62" s="24">
        <v>0</v>
      </c>
      <c r="O62" s="29">
        <f t="shared" si="56"/>
        <v>3122.9</v>
      </c>
      <c r="P62" s="30">
        <v>158.47999999999999</v>
      </c>
      <c r="Q62" s="29">
        <f>P62+O62</f>
        <v>3281.38</v>
      </c>
      <c r="R62" s="40">
        <f t="shared" si="57"/>
        <v>473.95699999999988</v>
      </c>
      <c r="S62" s="30">
        <v>0</v>
      </c>
      <c r="T62" s="24">
        <v>322.23</v>
      </c>
      <c r="U62" s="36">
        <v>0</v>
      </c>
      <c r="V62" s="36">
        <v>0</v>
      </c>
      <c r="W62" s="36">
        <v>0</v>
      </c>
      <c r="X62" s="36">
        <v>0</v>
      </c>
      <c r="Y62" s="36">
        <v>0</v>
      </c>
      <c r="Z62" s="36">
        <v>0</v>
      </c>
      <c r="AA62" s="36">
        <v>0</v>
      </c>
      <c r="AB62" s="36">
        <v>0</v>
      </c>
      <c r="AC62" s="29">
        <f>X62+Y62</f>
        <v>0</v>
      </c>
      <c r="AD62" s="29">
        <f>AA62+AB62</f>
        <v>0</v>
      </c>
      <c r="AE62" s="29">
        <f>W62+AC62</f>
        <v>0</v>
      </c>
      <c r="AF62" s="29">
        <f t="shared" si="58"/>
        <v>0</v>
      </c>
      <c r="AG62" s="29"/>
    </row>
    <row r="63" spans="1:33" x14ac:dyDescent="0.2">
      <c r="F63" s="25">
        <f t="shared" ref="F63:I63" si="59">SUM(F58:F62)</f>
        <v>0</v>
      </c>
      <c r="G63" s="25">
        <f t="shared" si="59"/>
        <v>2232.4589999999998</v>
      </c>
      <c r="H63" s="25">
        <f t="shared" si="59"/>
        <v>12655.12</v>
      </c>
      <c r="I63" s="25">
        <f t="shared" si="59"/>
        <v>620.00960500000008</v>
      </c>
      <c r="J63" s="25">
        <f>SUM(J58:J62)</f>
        <v>15507.588605000001</v>
      </c>
      <c r="K63" s="25">
        <f t="shared" ref="K63:L63" si="60">SUM(K58:K62)</f>
        <v>4244.8999999999996</v>
      </c>
      <c r="L63" s="25">
        <f t="shared" si="60"/>
        <v>19752.488604999999</v>
      </c>
      <c r="M63" s="25">
        <f>SUM(M58:M62)</f>
        <v>12850.14</v>
      </c>
      <c r="N63" s="25">
        <f t="shared" ref="N63:O63" si="61">SUM(N58:N62)</f>
        <v>0</v>
      </c>
      <c r="O63" s="25">
        <f t="shared" si="61"/>
        <v>12850.14</v>
      </c>
      <c r="P63" s="25">
        <f>SUM(P58:P62)</f>
        <v>4244.8999999999996</v>
      </c>
      <c r="Q63" s="25">
        <f t="shared" ref="Q63:X63" si="62">SUM(Q58:Q62)</f>
        <v>17095.04</v>
      </c>
      <c r="R63" s="25">
        <f t="shared" si="62"/>
        <v>2729.2797850000006</v>
      </c>
      <c r="S63" s="25">
        <f t="shared" si="62"/>
        <v>339.59099999999995</v>
      </c>
      <c r="T63" s="25">
        <f t="shared" si="62"/>
        <v>2185.2399999999998</v>
      </c>
      <c r="U63" s="25">
        <f t="shared" si="62"/>
        <v>0</v>
      </c>
      <c r="V63" s="25">
        <f t="shared" si="62"/>
        <v>0</v>
      </c>
      <c r="W63" s="25">
        <f t="shared" si="62"/>
        <v>0</v>
      </c>
      <c r="X63" s="25">
        <f t="shared" si="62"/>
        <v>0</v>
      </c>
      <c r="Y63" s="25">
        <f>SUM(Y58:Y62)</f>
        <v>0</v>
      </c>
      <c r="Z63" s="25">
        <f t="shared" ref="Z63:AA63" si="63">SUM(Z58:Z62)</f>
        <v>0</v>
      </c>
      <c r="AA63" s="25">
        <f t="shared" si="63"/>
        <v>0</v>
      </c>
      <c r="AB63" s="25">
        <f>SUM(AB58:AB62)</f>
        <v>0</v>
      </c>
      <c r="AC63" s="25">
        <f>SUM(AC58:AC62)</f>
        <v>0</v>
      </c>
      <c r="AD63" s="25">
        <f>SUM(AD58:AD62)</f>
        <v>0</v>
      </c>
      <c r="AE63" s="25">
        <f>SUM(AE58:AE62)</f>
        <v>0</v>
      </c>
      <c r="AF63" s="50">
        <f>SUM(AF58:AF62)</f>
        <v>0</v>
      </c>
      <c r="AG63" s="50"/>
    </row>
    <row r="65" spans="1:34" x14ac:dyDescent="0.2">
      <c r="A65" s="7">
        <v>2</v>
      </c>
      <c r="B65" s="21" t="s">
        <v>64</v>
      </c>
      <c r="C65" s="7">
        <v>1</v>
      </c>
      <c r="D65" s="15" t="s">
        <v>16</v>
      </c>
      <c r="F65" s="24">
        <v>0</v>
      </c>
      <c r="G65" s="24">
        <v>0</v>
      </c>
      <c r="H65" s="24">
        <v>0</v>
      </c>
      <c r="I65" s="24">
        <v>0</v>
      </c>
      <c r="J65" s="29">
        <f>F65+G65+H65+I65</f>
        <v>0</v>
      </c>
      <c r="K65" s="24">
        <v>0</v>
      </c>
      <c r="L65" s="29">
        <f>K65+J65</f>
        <v>0</v>
      </c>
      <c r="M65" s="24">
        <v>0</v>
      </c>
      <c r="N65" s="24">
        <v>0</v>
      </c>
      <c r="O65" s="29">
        <f>M65+N65</f>
        <v>0</v>
      </c>
      <c r="P65" s="30">
        <v>0</v>
      </c>
      <c r="Q65" s="29">
        <f>P65+O65</f>
        <v>0</v>
      </c>
      <c r="R65" s="30">
        <v>0</v>
      </c>
      <c r="S65" s="45">
        <v>0</v>
      </c>
      <c r="T65" s="36">
        <v>0</v>
      </c>
      <c r="U65" s="28">
        <v>0</v>
      </c>
      <c r="V65" s="28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9">
        <f>X65+Y65</f>
        <v>0</v>
      </c>
      <c r="AD65" s="29">
        <f>AA65+AB65</f>
        <v>0</v>
      </c>
      <c r="AE65" s="29">
        <f>W65+AC65</f>
        <v>0</v>
      </c>
      <c r="AF65" s="29">
        <f>Z65+AD65</f>
        <v>0</v>
      </c>
      <c r="AG65" s="29"/>
      <c r="AH65" s="29"/>
    </row>
    <row r="66" spans="1:34" x14ac:dyDescent="0.2">
      <c r="C66" s="7">
        <v>2</v>
      </c>
      <c r="D66" s="18" t="s">
        <v>17</v>
      </c>
      <c r="F66" s="24">
        <v>0</v>
      </c>
      <c r="G66" s="24">
        <v>0</v>
      </c>
      <c r="H66" s="24">
        <v>3368.2278000000001</v>
      </c>
      <c r="I66" s="24">
        <v>70.652405000000002</v>
      </c>
      <c r="J66" s="29">
        <f t="shared" ref="J66:J69" si="64">F66+G66+H66+I66</f>
        <v>3438.8802049999999</v>
      </c>
      <c r="K66" s="24">
        <v>195.93187</v>
      </c>
      <c r="L66" s="29">
        <f>K66+J66</f>
        <v>3634.8120749999998</v>
      </c>
      <c r="M66" s="24">
        <v>3231.37</v>
      </c>
      <c r="N66" s="24">
        <v>0</v>
      </c>
      <c r="O66" s="29">
        <f t="shared" ref="O66:O69" si="65">M66+N66</f>
        <v>3231.37</v>
      </c>
      <c r="P66" s="30">
        <v>0</v>
      </c>
      <c r="Q66" s="29">
        <f>P66+O66</f>
        <v>3231.37</v>
      </c>
      <c r="R66" s="30">
        <v>1864.8474000000001</v>
      </c>
      <c r="S66" s="42">
        <v>16.8491</v>
      </c>
      <c r="T66" s="36">
        <v>0</v>
      </c>
      <c r="U66" s="28">
        <v>935.01244999999994</v>
      </c>
      <c r="V66" s="28">
        <v>0</v>
      </c>
      <c r="W66" s="24">
        <v>0</v>
      </c>
      <c r="X66" s="24">
        <v>93.087906000000004</v>
      </c>
      <c r="Y66" s="24">
        <v>195.93208000000001</v>
      </c>
      <c r="Z66" s="31">
        <v>16.8491</v>
      </c>
      <c r="AA66" s="24">
        <v>0</v>
      </c>
      <c r="AB66" s="24">
        <v>0</v>
      </c>
      <c r="AC66" s="29">
        <f>X66+Y66</f>
        <v>289.01998600000002</v>
      </c>
      <c r="AD66" s="29">
        <f>AA66+AB66</f>
        <v>0</v>
      </c>
      <c r="AE66" s="29">
        <f>W66+AC66</f>
        <v>289.01998600000002</v>
      </c>
      <c r="AF66" s="29">
        <f t="shared" ref="AF66:AF69" si="66">Z66+AD66</f>
        <v>16.8491</v>
      </c>
      <c r="AG66" s="29"/>
      <c r="AH66" s="29"/>
    </row>
    <row r="67" spans="1:34" x14ac:dyDescent="0.2">
      <c r="C67" s="7">
        <v>3</v>
      </c>
      <c r="D67" s="13" t="s">
        <v>18</v>
      </c>
      <c r="F67" s="24">
        <v>0</v>
      </c>
      <c r="G67" s="24">
        <v>513.84699999999998</v>
      </c>
      <c r="H67" s="24">
        <v>3379.72</v>
      </c>
      <c r="I67" s="24">
        <v>472.30182000000002</v>
      </c>
      <c r="J67" s="29">
        <f t="shared" si="64"/>
        <v>4365.8688199999997</v>
      </c>
      <c r="K67" s="24">
        <v>0</v>
      </c>
      <c r="L67" s="29">
        <f>K67+J67</f>
        <v>4365.8688199999997</v>
      </c>
      <c r="M67" s="30">
        <v>2998.732</v>
      </c>
      <c r="N67" s="24">
        <v>0</v>
      </c>
      <c r="O67" s="29">
        <f t="shared" si="65"/>
        <v>2998.732</v>
      </c>
      <c r="P67" s="30">
        <v>1180.2782</v>
      </c>
      <c r="Q67" s="29">
        <f>P67+O67</f>
        <v>4179.0101999999997</v>
      </c>
      <c r="R67" s="30">
        <v>0</v>
      </c>
      <c r="S67" s="45">
        <v>0</v>
      </c>
      <c r="T67" s="36">
        <v>0</v>
      </c>
      <c r="U67" s="28">
        <v>0</v>
      </c>
      <c r="V67" s="28">
        <v>185.62817000000001</v>
      </c>
      <c r="W67" s="24">
        <v>73.061279999999996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9">
        <f>X67+Y67</f>
        <v>0</v>
      </c>
      <c r="AD67" s="29">
        <f>AA67+AB67</f>
        <v>0</v>
      </c>
      <c r="AE67" s="29">
        <f>W67+AC67</f>
        <v>73.061279999999996</v>
      </c>
      <c r="AF67" s="29">
        <f t="shared" si="66"/>
        <v>0</v>
      </c>
      <c r="AG67" s="29"/>
      <c r="AH67" s="29"/>
    </row>
    <row r="68" spans="1:34" x14ac:dyDescent="0.2">
      <c r="C68" s="7">
        <v>4</v>
      </c>
      <c r="D68" s="7" t="s">
        <v>19</v>
      </c>
      <c r="F68" s="24">
        <v>0</v>
      </c>
      <c r="G68" s="24">
        <v>579.20196999999996</v>
      </c>
      <c r="H68" s="24">
        <v>4351.47</v>
      </c>
      <c r="I68" s="24">
        <v>77.05538</v>
      </c>
      <c r="J68" s="29">
        <f t="shared" si="64"/>
        <v>5007.7273500000001</v>
      </c>
      <c r="K68" s="24">
        <v>1196.2854</v>
      </c>
      <c r="L68" s="29">
        <f>K68+J68</f>
        <v>6204.0127499999999</v>
      </c>
      <c r="M68" s="24">
        <v>3311.51</v>
      </c>
      <c r="N68" s="24">
        <v>0</v>
      </c>
      <c r="O68" s="29">
        <f t="shared" si="65"/>
        <v>3311.51</v>
      </c>
      <c r="P68" s="30">
        <v>2582.9299999999998</v>
      </c>
      <c r="Q68" s="29">
        <f>P68+O68</f>
        <v>5894.4400000000005</v>
      </c>
      <c r="R68" s="30">
        <v>309.57240000000002</v>
      </c>
      <c r="S68" s="42">
        <v>56.217199999999998</v>
      </c>
      <c r="T68" s="36">
        <v>0</v>
      </c>
      <c r="U68" s="28">
        <v>0</v>
      </c>
      <c r="V68" s="28">
        <v>0</v>
      </c>
      <c r="W68" s="24">
        <v>0</v>
      </c>
      <c r="X68" s="24">
        <v>42.204590000000003</v>
      </c>
      <c r="Y68" s="24">
        <v>0</v>
      </c>
      <c r="Z68" s="31">
        <v>56.217199999999998</v>
      </c>
      <c r="AA68" s="24">
        <v>0</v>
      </c>
      <c r="AB68" s="24">
        <v>0</v>
      </c>
      <c r="AC68" s="29">
        <f>X68+Y68</f>
        <v>42.204590000000003</v>
      </c>
      <c r="AD68" s="29">
        <f>AA68+AB68</f>
        <v>0</v>
      </c>
      <c r="AE68" s="29">
        <f>W68+AC68</f>
        <v>42.204590000000003</v>
      </c>
      <c r="AF68" s="29">
        <f t="shared" si="66"/>
        <v>56.217199999999998</v>
      </c>
      <c r="AG68" s="29"/>
      <c r="AH68" s="29"/>
    </row>
    <row r="69" spans="1:34" x14ac:dyDescent="0.2">
      <c r="C69" s="7">
        <v>5</v>
      </c>
      <c r="D69" s="7" t="s">
        <v>20</v>
      </c>
      <c r="F69" s="24">
        <v>0</v>
      </c>
      <c r="G69" s="24">
        <v>95.026979999999995</v>
      </c>
      <c r="H69" s="24">
        <v>620.69000000000005</v>
      </c>
      <c r="I69" s="24">
        <v>0</v>
      </c>
      <c r="J69" s="29">
        <f t="shared" si="64"/>
        <v>715.71698000000004</v>
      </c>
      <c r="K69" s="24">
        <v>2717.39</v>
      </c>
      <c r="L69" s="29">
        <f>K69+J69</f>
        <v>3433.10698</v>
      </c>
      <c r="M69" s="24">
        <v>3122.9</v>
      </c>
      <c r="N69" s="24">
        <v>0</v>
      </c>
      <c r="O69" s="29">
        <f t="shared" si="65"/>
        <v>3122.9</v>
      </c>
      <c r="P69" s="30">
        <v>0</v>
      </c>
      <c r="Q69" s="29">
        <f>P69+O69</f>
        <v>3122.9</v>
      </c>
      <c r="R69" s="30">
        <v>473.95699999999943</v>
      </c>
      <c r="S69" s="45">
        <v>0</v>
      </c>
      <c r="T69" s="36">
        <v>0</v>
      </c>
      <c r="U69" s="28">
        <v>0</v>
      </c>
      <c r="V69" s="28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9">
        <f>X69+Y69</f>
        <v>0</v>
      </c>
      <c r="AD69" s="29">
        <f>AA69+AB69</f>
        <v>0</v>
      </c>
      <c r="AE69" s="29">
        <f>W69+AC69</f>
        <v>0</v>
      </c>
      <c r="AF69" s="29">
        <f t="shared" si="66"/>
        <v>0</v>
      </c>
      <c r="AG69" s="29"/>
      <c r="AH69" s="29"/>
    </row>
    <row r="70" spans="1:34" x14ac:dyDescent="0.2">
      <c r="F70" s="25">
        <f t="shared" ref="F70:I70" si="67">SUM(F65:F69)</f>
        <v>0</v>
      </c>
      <c r="G70" s="25">
        <f t="shared" si="67"/>
        <v>1188.0759499999999</v>
      </c>
      <c r="H70" s="25">
        <f t="shared" si="67"/>
        <v>11720.1078</v>
      </c>
      <c r="I70" s="25">
        <f t="shared" si="67"/>
        <v>620.00960500000008</v>
      </c>
      <c r="J70" s="25">
        <f>SUM(J65:J69)</f>
        <v>13528.193354999998</v>
      </c>
      <c r="K70" s="25">
        <f t="shared" ref="K70:L70" si="68">SUM(K65:K69)</f>
        <v>4109.6072700000004</v>
      </c>
      <c r="L70" s="25">
        <f t="shared" si="68"/>
        <v>17637.800625</v>
      </c>
      <c r="M70" s="25">
        <f>SUM(M65:M69)</f>
        <v>12664.512000000001</v>
      </c>
      <c r="N70" s="25">
        <f t="shared" ref="N70:O70" si="69">SUM(N65:N69)</f>
        <v>0</v>
      </c>
      <c r="O70" s="25">
        <f t="shared" si="69"/>
        <v>12664.512000000001</v>
      </c>
      <c r="P70" s="25">
        <f>SUM(P65:P69)</f>
        <v>3763.2082</v>
      </c>
      <c r="Q70" s="25">
        <f t="shared" ref="Q70:AF70" si="70">SUM(Q65:Q69)</f>
        <v>16427.7202</v>
      </c>
      <c r="R70" s="25">
        <f t="shared" si="70"/>
        <v>2648.3767999999995</v>
      </c>
      <c r="S70" s="25">
        <f t="shared" si="70"/>
        <v>73.066299999999998</v>
      </c>
      <c r="T70" s="25">
        <f t="shared" si="70"/>
        <v>0</v>
      </c>
      <c r="U70" s="25">
        <f t="shared" si="70"/>
        <v>935.01244999999994</v>
      </c>
      <c r="V70" s="25">
        <f t="shared" si="70"/>
        <v>185.62817000000001</v>
      </c>
      <c r="W70" s="25">
        <f t="shared" si="70"/>
        <v>73.061279999999996</v>
      </c>
      <c r="X70" s="25">
        <f t="shared" si="70"/>
        <v>135.292496</v>
      </c>
      <c r="Y70" s="25">
        <f t="shared" si="70"/>
        <v>195.93208000000001</v>
      </c>
      <c r="Z70" s="25">
        <f t="shared" si="70"/>
        <v>73.066299999999998</v>
      </c>
      <c r="AA70" s="25">
        <f t="shared" si="70"/>
        <v>0</v>
      </c>
      <c r="AB70" s="25">
        <f t="shared" si="70"/>
        <v>0</v>
      </c>
      <c r="AC70" s="25">
        <f t="shared" si="70"/>
        <v>331.22457600000001</v>
      </c>
      <c r="AD70" s="25">
        <f t="shared" si="70"/>
        <v>0</v>
      </c>
      <c r="AE70" s="25">
        <f t="shared" si="70"/>
        <v>404.28585600000002</v>
      </c>
      <c r="AF70" s="50">
        <f t="shared" si="70"/>
        <v>73.066299999999998</v>
      </c>
      <c r="AG70" s="50"/>
      <c r="AH70" s="50"/>
    </row>
    <row r="72" spans="1:34" x14ac:dyDescent="0.2">
      <c r="A72" s="7">
        <v>2</v>
      </c>
      <c r="B72" s="21" t="s">
        <v>66</v>
      </c>
      <c r="C72" s="7">
        <v>1</v>
      </c>
      <c r="D72" s="15" t="s">
        <v>16</v>
      </c>
      <c r="F72" s="24">
        <v>0</v>
      </c>
      <c r="G72" s="24">
        <v>0</v>
      </c>
      <c r="H72" s="24">
        <v>0</v>
      </c>
      <c r="I72" s="24">
        <v>0</v>
      </c>
      <c r="J72" s="29">
        <f>F72+G72+H72+I72</f>
        <v>0</v>
      </c>
      <c r="K72" s="24">
        <v>0</v>
      </c>
      <c r="L72" s="29">
        <f>K72+J72</f>
        <v>0</v>
      </c>
      <c r="M72" s="24">
        <v>0</v>
      </c>
      <c r="N72" s="24">
        <v>0</v>
      </c>
      <c r="O72" s="29">
        <f>M72+N72</f>
        <v>0</v>
      </c>
      <c r="P72" s="30">
        <v>0</v>
      </c>
      <c r="Q72" s="29">
        <f>P72+O72</f>
        <v>0</v>
      </c>
      <c r="R72" s="30">
        <v>0</v>
      </c>
      <c r="S72" s="30">
        <v>0</v>
      </c>
      <c r="T72" s="24">
        <v>0</v>
      </c>
      <c r="U72" s="28">
        <v>0</v>
      </c>
      <c r="V72" s="28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9">
        <f>X72+Y72</f>
        <v>0</v>
      </c>
      <c r="AD72" s="29">
        <f>AA72+AB72</f>
        <v>0</v>
      </c>
      <c r="AE72" s="29">
        <f>W72+AC72</f>
        <v>0</v>
      </c>
      <c r="AF72" s="29">
        <f>Z72+AD72</f>
        <v>0</v>
      </c>
      <c r="AG72" s="29"/>
      <c r="AH72" s="29"/>
    </row>
    <row r="73" spans="1:34" x14ac:dyDescent="0.2">
      <c r="C73" s="7">
        <v>2</v>
      </c>
      <c r="D73" s="18" t="s">
        <v>17</v>
      </c>
      <c r="F73" s="24">
        <v>0</v>
      </c>
      <c r="G73" s="24">
        <v>0</v>
      </c>
      <c r="H73" s="24">
        <v>3368.2278000000001</v>
      </c>
      <c r="I73" s="24">
        <v>70.652405000000002</v>
      </c>
      <c r="J73" s="29">
        <f t="shared" ref="J73:J76" si="71">F73+G73+H73+I73</f>
        <v>3438.8802049999999</v>
      </c>
      <c r="K73" s="24">
        <v>195.93187</v>
      </c>
      <c r="L73" s="29">
        <f>K73+J73</f>
        <v>3634.8120749999998</v>
      </c>
      <c r="M73" s="24">
        <v>3231.37</v>
      </c>
      <c r="N73" s="24">
        <v>0</v>
      </c>
      <c r="O73" s="29">
        <f t="shared" ref="O73:O76" si="72">M73+N73</f>
        <v>3231.37</v>
      </c>
      <c r="P73" s="30">
        <v>0</v>
      </c>
      <c r="Q73" s="29">
        <f>P73+O73</f>
        <v>3231.37</v>
      </c>
      <c r="R73" s="30">
        <v>1864.8474000000001</v>
      </c>
      <c r="S73" s="30">
        <v>16.8491</v>
      </c>
      <c r="T73" s="24">
        <v>0</v>
      </c>
      <c r="U73" s="28">
        <v>935.01244999999994</v>
      </c>
      <c r="V73" s="28">
        <v>0</v>
      </c>
      <c r="W73" s="24">
        <v>0</v>
      </c>
      <c r="X73" s="24">
        <v>93.087906000000004</v>
      </c>
      <c r="Y73" s="24">
        <v>195.93208000000001</v>
      </c>
      <c r="Z73" s="24">
        <v>16.8491</v>
      </c>
      <c r="AA73" s="24">
        <v>0</v>
      </c>
      <c r="AB73" s="24">
        <v>0</v>
      </c>
      <c r="AC73" s="29">
        <f>X73+Y73</f>
        <v>289.01998600000002</v>
      </c>
      <c r="AD73" s="29">
        <f>AA73+AB73</f>
        <v>0</v>
      </c>
      <c r="AE73" s="29">
        <f>W73+AC73</f>
        <v>289.01998600000002</v>
      </c>
      <c r="AF73" s="29">
        <f t="shared" ref="AF73:AF76" si="73">Z73+AD73</f>
        <v>16.8491</v>
      </c>
      <c r="AG73" s="29"/>
      <c r="AH73" s="29"/>
    </row>
    <row r="74" spans="1:34" x14ac:dyDescent="0.2">
      <c r="C74" s="7">
        <v>3</v>
      </c>
      <c r="D74" s="13" t="s">
        <v>18</v>
      </c>
      <c r="F74" s="24">
        <v>0</v>
      </c>
      <c r="G74" s="24">
        <v>513.84699999999998</v>
      </c>
      <c r="H74" s="24">
        <v>3379.72</v>
      </c>
      <c r="I74" s="24">
        <v>472.30182000000002</v>
      </c>
      <c r="J74" s="29">
        <f t="shared" si="71"/>
        <v>4365.8688199999997</v>
      </c>
      <c r="K74" s="24">
        <v>0</v>
      </c>
      <c r="L74" s="29">
        <f>K74+J74</f>
        <v>4365.8688199999997</v>
      </c>
      <c r="M74" s="30">
        <v>2998.732</v>
      </c>
      <c r="N74" s="24">
        <v>0</v>
      </c>
      <c r="O74" s="29">
        <f t="shared" si="72"/>
        <v>2998.732</v>
      </c>
      <c r="P74" s="30">
        <v>1180.2782</v>
      </c>
      <c r="Q74" s="29">
        <f>P74+O74</f>
        <v>4179.0101999999997</v>
      </c>
      <c r="R74" s="30">
        <v>0</v>
      </c>
      <c r="S74" s="30">
        <v>0</v>
      </c>
      <c r="T74" s="47">
        <v>148.46325999999999</v>
      </c>
      <c r="U74" s="28">
        <v>0</v>
      </c>
      <c r="V74" s="28">
        <v>185.62817000000001</v>
      </c>
      <c r="W74" s="24">
        <v>73.061279999999996</v>
      </c>
      <c r="X74" s="24">
        <v>0</v>
      </c>
      <c r="Y74" s="24">
        <v>0</v>
      </c>
      <c r="Z74" s="24">
        <v>0</v>
      </c>
      <c r="AA74" s="47">
        <v>148.46325999999999</v>
      </c>
      <c r="AB74" s="24">
        <v>0</v>
      </c>
      <c r="AC74" s="29">
        <f>X74+Y74</f>
        <v>0</v>
      </c>
      <c r="AD74" s="29">
        <f>AA74+AB74</f>
        <v>148.46325999999999</v>
      </c>
      <c r="AE74" s="29">
        <f>W74+AC74</f>
        <v>73.061279999999996</v>
      </c>
      <c r="AF74" s="29">
        <f t="shared" si="73"/>
        <v>148.46325999999999</v>
      </c>
      <c r="AG74" s="29"/>
      <c r="AH74" s="29"/>
    </row>
    <row r="75" spans="1:34" x14ac:dyDescent="0.2">
      <c r="C75" s="7">
        <v>4</v>
      </c>
      <c r="D75" s="7" t="s">
        <v>19</v>
      </c>
      <c r="F75" s="24">
        <v>0</v>
      </c>
      <c r="G75" s="24">
        <v>579.20196999999996</v>
      </c>
      <c r="H75" s="24">
        <v>4351.47</v>
      </c>
      <c r="I75" s="24">
        <v>77.05538</v>
      </c>
      <c r="J75" s="29">
        <f t="shared" si="71"/>
        <v>5007.7273500000001</v>
      </c>
      <c r="K75" s="24">
        <v>1196.2854</v>
      </c>
      <c r="L75" s="29">
        <f>K75+J75</f>
        <v>6204.0127499999999</v>
      </c>
      <c r="M75" s="24">
        <v>3311.51</v>
      </c>
      <c r="N75" s="24">
        <v>0</v>
      </c>
      <c r="O75" s="29">
        <f t="shared" si="72"/>
        <v>3311.51</v>
      </c>
      <c r="P75" s="30">
        <v>2582.9299999999998</v>
      </c>
      <c r="Q75" s="29">
        <f>P75+O75</f>
        <v>5894.4400000000005</v>
      </c>
      <c r="R75" s="30">
        <v>309.57240000000002</v>
      </c>
      <c r="S75" s="30">
        <v>56.217199999999998</v>
      </c>
      <c r="T75" s="24">
        <v>0</v>
      </c>
      <c r="U75" s="28">
        <v>0</v>
      </c>
      <c r="V75" s="28">
        <v>0</v>
      </c>
      <c r="W75" s="24">
        <v>0</v>
      </c>
      <c r="X75" s="24">
        <v>42.204590000000003</v>
      </c>
      <c r="Y75" s="24">
        <v>0</v>
      </c>
      <c r="Z75" s="24">
        <v>56.217199999999998</v>
      </c>
      <c r="AA75" s="24">
        <v>0</v>
      </c>
      <c r="AB75" s="24">
        <v>0</v>
      </c>
      <c r="AC75" s="29">
        <f>X75+Y75</f>
        <v>42.204590000000003</v>
      </c>
      <c r="AD75" s="29">
        <f>AA75+AB75</f>
        <v>0</v>
      </c>
      <c r="AE75" s="29">
        <f>W75+AC75</f>
        <v>42.204590000000003</v>
      </c>
      <c r="AF75" s="29">
        <f t="shared" si="73"/>
        <v>56.217199999999998</v>
      </c>
      <c r="AG75" s="29"/>
      <c r="AH75" s="29"/>
    </row>
    <row r="76" spans="1:34" x14ac:dyDescent="0.2">
      <c r="C76" s="7">
        <v>5</v>
      </c>
      <c r="D76" s="7" t="s">
        <v>20</v>
      </c>
      <c r="F76" s="24">
        <v>0</v>
      </c>
      <c r="G76" s="24">
        <v>95.026979999999995</v>
      </c>
      <c r="H76" s="24">
        <v>620.69000000000005</v>
      </c>
      <c r="I76" s="24">
        <v>0</v>
      </c>
      <c r="J76" s="29">
        <f t="shared" si="71"/>
        <v>715.71698000000004</v>
      </c>
      <c r="K76" s="24">
        <v>2717.39</v>
      </c>
      <c r="L76" s="29">
        <f>K76+J76</f>
        <v>3433.10698</v>
      </c>
      <c r="M76" s="24">
        <v>3122.9</v>
      </c>
      <c r="N76" s="24">
        <v>0</v>
      </c>
      <c r="O76" s="29">
        <f t="shared" si="72"/>
        <v>3122.9</v>
      </c>
      <c r="P76" s="30">
        <v>0</v>
      </c>
      <c r="Q76" s="29">
        <f>P76+O76</f>
        <v>3122.9</v>
      </c>
      <c r="R76" s="30">
        <v>473.95699999999943</v>
      </c>
      <c r="S76" s="30">
        <v>0</v>
      </c>
      <c r="T76" s="24">
        <v>0</v>
      </c>
      <c r="U76" s="28">
        <v>0</v>
      </c>
      <c r="V76" s="28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9">
        <f>X76+Y76</f>
        <v>0</v>
      </c>
      <c r="AD76" s="29">
        <f>AA76+AB76</f>
        <v>0</v>
      </c>
      <c r="AE76" s="29">
        <f>W76+AC76</f>
        <v>0</v>
      </c>
      <c r="AF76" s="29">
        <f t="shared" si="73"/>
        <v>0</v>
      </c>
      <c r="AG76" s="29"/>
      <c r="AH76" s="29"/>
    </row>
    <row r="77" spans="1:34" x14ac:dyDescent="0.2">
      <c r="F77" s="25">
        <f t="shared" ref="F77:I77" si="74">SUM(F72:F76)</f>
        <v>0</v>
      </c>
      <c r="G77" s="25">
        <f t="shared" si="74"/>
        <v>1188.0759499999999</v>
      </c>
      <c r="H77" s="25">
        <f t="shared" si="74"/>
        <v>11720.1078</v>
      </c>
      <c r="I77" s="25">
        <f t="shared" si="74"/>
        <v>620.00960500000008</v>
      </c>
      <c r="J77" s="25">
        <f>SUM(J72:J76)</f>
        <v>13528.193354999998</v>
      </c>
      <c r="K77" s="25">
        <f t="shared" ref="K77:L77" si="75">SUM(K72:K76)</f>
        <v>4109.6072700000004</v>
      </c>
      <c r="L77" s="25">
        <f t="shared" si="75"/>
        <v>17637.800625</v>
      </c>
      <c r="M77" s="25">
        <f>SUM(M72:M76)</f>
        <v>12664.512000000001</v>
      </c>
      <c r="N77" s="25">
        <f t="shared" ref="N77:O77" si="76">SUM(N72:N76)</f>
        <v>0</v>
      </c>
      <c r="O77" s="25">
        <f t="shared" si="76"/>
        <v>12664.512000000001</v>
      </c>
      <c r="P77" s="25">
        <f>SUM(P72:P76)</f>
        <v>3763.2082</v>
      </c>
      <c r="Q77" s="25">
        <f t="shared" ref="Q77:AF77" si="77">SUM(Q72:Q76)</f>
        <v>16427.7202</v>
      </c>
      <c r="R77" s="25">
        <f t="shared" si="77"/>
        <v>2648.3767999999995</v>
      </c>
      <c r="S77" s="25">
        <f t="shared" si="77"/>
        <v>73.066299999999998</v>
      </c>
      <c r="T77" s="25">
        <f t="shared" si="77"/>
        <v>148.46325999999999</v>
      </c>
      <c r="U77" s="25">
        <f t="shared" si="77"/>
        <v>935.01244999999994</v>
      </c>
      <c r="V77" s="25">
        <f t="shared" si="77"/>
        <v>185.62817000000001</v>
      </c>
      <c r="W77" s="25">
        <f t="shared" si="77"/>
        <v>73.061279999999996</v>
      </c>
      <c r="X77" s="25">
        <f t="shared" si="77"/>
        <v>135.292496</v>
      </c>
      <c r="Y77" s="25">
        <f t="shared" si="77"/>
        <v>195.93208000000001</v>
      </c>
      <c r="Z77" s="25">
        <f t="shared" si="77"/>
        <v>73.066299999999998</v>
      </c>
      <c r="AA77" s="25">
        <f t="shared" si="77"/>
        <v>148.46325999999999</v>
      </c>
      <c r="AB77" s="25">
        <f t="shared" si="77"/>
        <v>0</v>
      </c>
      <c r="AC77" s="25">
        <f t="shared" si="77"/>
        <v>331.22457600000001</v>
      </c>
      <c r="AD77" s="25">
        <f t="shared" si="77"/>
        <v>148.46325999999999</v>
      </c>
      <c r="AE77" s="25">
        <f t="shared" si="77"/>
        <v>404.28585600000002</v>
      </c>
      <c r="AF77" s="25">
        <f t="shared" si="77"/>
        <v>221.52955999999998</v>
      </c>
      <c r="AG77" s="25"/>
      <c r="AH77" s="25"/>
    </row>
    <row r="79" spans="1:34" x14ac:dyDescent="0.2">
      <c r="A79" s="7">
        <v>2</v>
      </c>
      <c r="B79" s="21" t="s">
        <v>70</v>
      </c>
      <c r="C79" s="8">
        <v>1</v>
      </c>
      <c r="D79" s="15" t="s">
        <v>16</v>
      </c>
      <c r="F79" s="24">
        <v>0</v>
      </c>
      <c r="G79" s="24">
        <v>0</v>
      </c>
      <c r="H79" s="24">
        <v>0</v>
      </c>
      <c r="I79" s="24">
        <v>0</v>
      </c>
      <c r="J79" s="29">
        <f>F79+G79+H79+I79</f>
        <v>0</v>
      </c>
      <c r="K79" s="24">
        <v>0</v>
      </c>
      <c r="L79" s="29">
        <f>K79+J79</f>
        <v>0</v>
      </c>
      <c r="M79" s="24">
        <v>0</v>
      </c>
      <c r="N79" s="24">
        <v>0</v>
      </c>
      <c r="O79" s="29">
        <f>M79+N79</f>
        <v>0</v>
      </c>
      <c r="P79" s="30">
        <v>0</v>
      </c>
      <c r="Q79" s="29">
        <f>P79+O79</f>
        <v>0</v>
      </c>
      <c r="R79" s="30">
        <v>0</v>
      </c>
      <c r="S79" s="30">
        <v>0</v>
      </c>
      <c r="T79" s="30">
        <v>0</v>
      </c>
      <c r="U79" s="28">
        <v>0</v>
      </c>
      <c r="V79" s="28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9">
        <f>X79+Y79</f>
        <v>0</v>
      </c>
      <c r="AD79" s="29">
        <f>AA79+AB79</f>
        <v>0</v>
      </c>
      <c r="AE79" s="29">
        <f>W79+AC79</f>
        <v>0</v>
      </c>
      <c r="AF79" s="29">
        <f>Z79+AD79</f>
        <v>0</v>
      </c>
      <c r="AG79" s="29"/>
    </row>
    <row r="80" spans="1:34" x14ac:dyDescent="0.2">
      <c r="C80" s="8">
        <v>2</v>
      </c>
      <c r="D80" s="18" t="s">
        <v>17</v>
      </c>
      <c r="F80" s="24">
        <v>0</v>
      </c>
      <c r="G80" s="24">
        <v>0</v>
      </c>
      <c r="H80" s="24">
        <v>3368.2278000000001</v>
      </c>
      <c r="I80" s="24">
        <v>70.652405000000002</v>
      </c>
      <c r="J80" s="29">
        <f t="shared" ref="J80:J83" si="78">F80+G80+H80+I80</f>
        <v>3438.8802049999999</v>
      </c>
      <c r="K80" s="24">
        <v>195.93187</v>
      </c>
      <c r="L80" s="29">
        <f>K80+J80</f>
        <v>3634.8120749999998</v>
      </c>
      <c r="M80" s="24">
        <v>3231.37</v>
      </c>
      <c r="N80" s="24">
        <v>0</v>
      </c>
      <c r="O80" s="29">
        <f t="shared" ref="O80:O83" si="79">M80+N80</f>
        <v>3231.37</v>
      </c>
      <c r="P80" s="30">
        <v>0</v>
      </c>
      <c r="Q80" s="29">
        <f>P80+O80</f>
        <v>3231.37</v>
      </c>
      <c r="R80" s="30">
        <v>1864.8474000000001</v>
      </c>
      <c r="S80" s="30">
        <v>16.8491</v>
      </c>
      <c r="T80" s="30">
        <v>0</v>
      </c>
      <c r="U80" s="28">
        <v>935.01244999999994</v>
      </c>
      <c r="V80" s="28">
        <v>0</v>
      </c>
      <c r="W80" s="24">
        <v>0</v>
      </c>
      <c r="X80" s="24">
        <v>93.087906000000004</v>
      </c>
      <c r="Y80" s="24">
        <v>195.93208000000001</v>
      </c>
      <c r="Z80" s="24">
        <v>16.8491</v>
      </c>
      <c r="AA80" s="24">
        <v>0</v>
      </c>
      <c r="AB80" s="24">
        <v>0</v>
      </c>
      <c r="AC80" s="29">
        <f>X80+Y80</f>
        <v>289.01998600000002</v>
      </c>
      <c r="AD80" s="29">
        <f>AA80+AB80</f>
        <v>0</v>
      </c>
      <c r="AE80" s="29">
        <f>W80+AC80</f>
        <v>289.01998600000002</v>
      </c>
      <c r="AF80" s="29">
        <f t="shared" ref="AF80:AF83" si="80">Z80+AD80</f>
        <v>16.8491</v>
      </c>
      <c r="AG80" s="29"/>
    </row>
    <row r="81" spans="1:34" x14ac:dyDescent="0.2">
      <c r="C81" s="8">
        <v>3</v>
      </c>
      <c r="D81" s="13" t="s">
        <v>18</v>
      </c>
      <c r="F81" s="24">
        <v>0</v>
      </c>
      <c r="G81" s="24">
        <v>513.84699999999998</v>
      </c>
      <c r="H81" s="24">
        <v>3379.72</v>
      </c>
      <c r="I81" s="24">
        <v>472.30182000000002</v>
      </c>
      <c r="J81" s="29">
        <f t="shared" si="78"/>
        <v>4365.8688199999997</v>
      </c>
      <c r="K81" s="24">
        <v>0</v>
      </c>
      <c r="L81" s="29">
        <f>K81+J81</f>
        <v>4365.8688199999997</v>
      </c>
      <c r="M81" s="30">
        <v>2998.732</v>
      </c>
      <c r="N81" s="24">
        <v>0</v>
      </c>
      <c r="O81" s="29">
        <f t="shared" si="79"/>
        <v>2998.732</v>
      </c>
      <c r="P81" s="30">
        <v>1180.2782</v>
      </c>
      <c r="Q81" s="29">
        <f>P81+O81</f>
        <v>4179.0101999999997</v>
      </c>
      <c r="R81" s="30">
        <v>0</v>
      </c>
      <c r="S81" s="30">
        <v>0</v>
      </c>
      <c r="T81" s="43">
        <v>256.30599999999998</v>
      </c>
      <c r="U81" s="28">
        <v>0</v>
      </c>
      <c r="V81" s="28">
        <v>185.62817000000001</v>
      </c>
      <c r="W81" s="24">
        <v>73.061279999999996</v>
      </c>
      <c r="X81" s="24">
        <v>0</v>
      </c>
      <c r="Y81" s="24">
        <v>0</v>
      </c>
      <c r="Z81" s="24">
        <v>0</v>
      </c>
      <c r="AA81" s="24">
        <v>148.46325999999999</v>
      </c>
      <c r="AB81" s="33">
        <v>256.30603000000002</v>
      </c>
      <c r="AC81" s="29">
        <f>X81+Y81</f>
        <v>0</v>
      </c>
      <c r="AD81" s="29">
        <f>AA81+AB81</f>
        <v>404.76929000000001</v>
      </c>
      <c r="AE81" s="29">
        <f>W81+AC81</f>
        <v>73.061279999999996</v>
      </c>
      <c r="AF81" s="29">
        <f t="shared" si="80"/>
        <v>404.76929000000001</v>
      </c>
      <c r="AG81" s="29"/>
    </row>
    <row r="82" spans="1:34" x14ac:dyDescent="0.2">
      <c r="C82" s="8">
        <v>4</v>
      </c>
      <c r="D82" s="7" t="s">
        <v>19</v>
      </c>
      <c r="F82" s="24">
        <v>0</v>
      </c>
      <c r="G82" s="24">
        <v>579.20196999999996</v>
      </c>
      <c r="H82" s="24">
        <v>4351.47</v>
      </c>
      <c r="I82" s="24">
        <v>77.05538</v>
      </c>
      <c r="J82" s="29">
        <f t="shared" si="78"/>
        <v>5007.7273500000001</v>
      </c>
      <c r="K82" s="24">
        <v>1196.2854</v>
      </c>
      <c r="L82" s="29">
        <f>K82+J82</f>
        <v>6204.0127499999999</v>
      </c>
      <c r="M82" s="24">
        <v>3311.51</v>
      </c>
      <c r="N82" s="24">
        <v>0</v>
      </c>
      <c r="O82" s="29">
        <f t="shared" si="79"/>
        <v>3311.51</v>
      </c>
      <c r="P82" s="30">
        <v>2582.9299999999998</v>
      </c>
      <c r="Q82" s="29">
        <f>P82+O82</f>
        <v>5894.4400000000005</v>
      </c>
      <c r="R82" s="30">
        <v>309.57240000000002</v>
      </c>
      <c r="S82" s="30">
        <v>56.217199999999998</v>
      </c>
      <c r="T82" s="30">
        <v>0</v>
      </c>
      <c r="U82" s="28">
        <v>0</v>
      </c>
      <c r="V82" s="28">
        <v>0</v>
      </c>
      <c r="W82" s="24">
        <v>0</v>
      </c>
      <c r="X82" s="24">
        <v>42.204590000000003</v>
      </c>
      <c r="Y82" s="24">
        <v>0</v>
      </c>
      <c r="Z82" s="24">
        <v>56.217199999999998</v>
      </c>
      <c r="AA82" s="24">
        <v>0</v>
      </c>
      <c r="AB82" s="24">
        <v>0</v>
      </c>
      <c r="AC82" s="29">
        <f>X82+Y82</f>
        <v>42.204590000000003</v>
      </c>
      <c r="AD82" s="29">
        <f>AA82+AB82</f>
        <v>0</v>
      </c>
      <c r="AE82" s="29">
        <f>W82+AC82</f>
        <v>42.204590000000003</v>
      </c>
      <c r="AF82" s="29">
        <f t="shared" si="80"/>
        <v>56.217199999999998</v>
      </c>
      <c r="AG82" s="29"/>
    </row>
    <row r="83" spans="1:34" x14ac:dyDescent="0.2">
      <c r="C83" s="8">
        <v>5</v>
      </c>
      <c r="D83" s="7" t="s">
        <v>20</v>
      </c>
      <c r="F83" s="24">
        <v>0</v>
      </c>
      <c r="G83" s="24">
        <v>95.026979999999995</v>
      </c>
      <c r="H83" s="24">
        <v>620.69000000000005</v>
      </c>
      <c r="I83" s="24">
        <v>0</v>
      </c>
      <c r="J83" s="29">
        <f t="shared" si="78"/>
        <v>715.71698000000004</v>
      </c>
      <c r="K83" s="24">
        <v>2717.39</v>
      </c>
      <c r="L83" s="29">
        <f>K83+J83</f>
        <v>3433.10698</v>
      </c>
      <c r="M83" s="24">
        <v>3122.9</v>
      </c>
      <c r="N83" s="24">
        <v>0</v>
      </c>
      <c r="O83" s="29">
        <f t="shared" si="79"/>
        <v>3122.9</v>
      </c>
      <c r="P83" s="30">
        <v>0</v>
      </c>
      <c r="Q83" s="29">
        <f>P83+O83</f>
        <v>3122.9</v>
      </c>
      <c r="R83" s="30">
        <v>473.95699999999943</v>
      </c>
      <c r="S83" s="30">
        <v>0</v>
      </c>
      <c r="T83" s="30">
        <v>0</v>
      </c>
      <c r="U83" s="28">
        <v>0</v>
      </c>
      <c r="V83" s="28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9">
        <f>X83+Y83</f>
        <v>0</v>
      </c>
      <c r="AD83" s="29">
        <f>AA83+AB83</f>
        <v>0</v>
      </c>
      <c r="AE83" s="29">
        <f>W83+AC83</f>
        <v>0</v>
      </c>
      <c r="AF83" s="29">
        <f t="shared" si="80"/>
        <v>0</v>
      </c>
      <c r="AG83" s="29"/>
    </row>
    <row r="84" spans="1:34" x14ac:dyDescent="0.2">
      <c r="F84" s="25">
        <f t="shared" ref="F84:I84" si="81">SUM(F79:F83)</f>
        <v>0</v>
      </c>
      <c r="G84" s="25">
        <f t="shared" si="81"/>
        <v>1188.0759499999999</v>
      </c>
      <c r="H84" s="25">
        <f t="shared" si="81"/>
        <v>11720.1078</v>
      </c>
      <c r="I84" s="25">
        <f t="shared" si="81"/>
        <v>620.00960500000008</v>
      </c>
      <c r="J84" s="25">
        <f>SUM(J79:J83)</f>
        <v>13528.193354999998</v>
      </c>
      <c r="K84" s="25">
        <f t="shared" ref="K84:L84" si="82">SUM(K79:K83)</f>
        <v>4109.6072700000004</v>
      </c>
      <c r="L84" s="25">
        <f t="shared" si="82"/>
        <v>17637.800625</v>
      </c>
      <c r="M84" s="25">
        <f>SUM(M79:M83)</f>
        <v>12664.512000000001</v>
      </c>
      <c r="N84" s="25">
        <f t="shared" ref="N84:O84" si="83">SUM(N79:N83)</f>
        <v>0</v>
      </c>
      <c r="O84" s="25">
        <f t="shared" si="83"/>
        <v>12664.512000000001</v>
      </c>
      <c r="P84" s="25">
        <f>SUM(P79:P83)</f>
        <v>3763.2082</v>
      </c>
      <c r="Q84" s="25">
        <f t="shared" ref="Q84:AF84" si="84">SUM(Q79:Q83)</f>
        <v>16427.7202</v>
      </c>
      <c r="R84" s="25">
        <f t="shared" si="84"/>
        <v>2648.3767999999995</v>
      </c>
      <c r="S84" s="25">
        <f t="shared" si="84"/>
        <v>73.066299999999998</v>
      </c>
      <c r="T84" s="25">
        <f t="shared" si="84"/>
        <v>256.30599999999998</v>
      </c>
      <c r="U84" s="25">
        <f t="shared" si="84"/>
        <v>935.01244999999994</v>
      </c>
      <c r="V84" s="25">
        <f t="shared" si="84"/>
        <v>185.62817000000001</v>
      </c>
      <c r="W84" s="25">
        <f t="shared" si="84"/>
        <v>73.061279999999996</v>
      </c>
      <c r="X84" s="25">
        <f t="shared" si="84"/>
        <v>135.292496</v>
      </c>
      <c r="Y84" s="25">
        <f t="shared" si="84"/>
        <v>195.93208000000001</v>
      </c>
      <c r="Z84" s="25">
        <f t="shared" si="84"/>
        <v>73.066299999999998</v>
      </c>
      <c r="AA84" s="25">
        <f t="shared" si="84"/>
        <v>148.46325999999999</v>
      </c>
      <c r="AB84" s="25">
        <f t="shared" si="84"/>
        <v>256.30603000000002</v>
      </c>
      <c r="AC84" s="25">
        <f t="shared" si="84"/>
        <v>331.22457600000001</v>
      </c>
      <c r="AD84" s="25">
        <f t="shared" si="84"/>
        <v>404.76929000000001</v>
      </c>
      <c r="AE84" s="25">
        <f t="shared" si="84"/>
        <v>404.28585600000002</v>
      </c>
      <c r="AF84" s="25">
        <f t="shared" si="84"/>
        <v>477.83559000000002</v>
      </c>
      <c r="AG84" s="25"/>
    </row>
    <row r="85" spans="1:34" x14ac:dyDescent="0.2"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</row>
    <row r="86" spans="1:34" x14ac:dyDescent="0.2">
      <c r="A86" s="7">
        <v>2</v>
      </c>
      <c r="B86" s="21" t="s">
        <v>68</v>
      </c>
      <c r="C86" s="7">
        <v>1</v>
      </c>
      <c r="D86" s="15" t="s">
        <v>16</v>
      </c>
      <c r="F86" s="24">
        <v>0</v>
      </c>
      <c r="G86" s="24">
        <v>0</v>
      </c>
      <c r="H86" s="24">
        <v>0</v>
      </c>
      <c r="I86" s="24">
        <v>0</v>
      </c>
      <c r="J86" s="29">
        <f>F86+G86+H86+I86</f>
        <v>0</v>
      </c>
      <c r="K86" s="24">
        <v>0</v>
      </c>
      <c r="L86" s="29">
        <f>K86+J86</f>
        <v>0</v>
      </c>
      <c r="M86" s="24">
        <v>0</v>
      </c>
      <c r="N86" s="24">
        <v>0</v>
      </c>
      <c r="O86" s="29">
        <f>M86+N86</f>
        <v>0</v>
      </c>
      <c r="P86" s="30">
        <v>0</v>
      </c>
      <c r="Q86" s="29">
        <f>P86+O86</f>
        <v>0</v>
      </c>
      <c r="R86" s="30">
        <v>0</v>
      </c>
      <c r="S86" s="30">
        <v>0</v>
      </c>
      <c r="T86" s="24">
        <v>0</v>
      </c>
      <c r="U86" s="28">
        <v>0</v>
      </c>
      <c r="V86" s="28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9">
        <f>X86+Y86</f>
        <v>0</v>
      </c>
      <c r="AD86" s="29">
        <f>AA86+AB86</f>
        <v>0</v>
      </c>
      <c r="AE86" s="29">
        <f>W86+AC86</f>
        <v>0</v>
      </c>
      <c r="AF86" s="29">
        <f>Z86+AD86</f>
        <v>0</v>
      </c>
      <c r="AG86" s="29"/>
    </row>
    <row r="87" spans="1:34" x14ac:dyDescent="0.2">
      <c r="C87" s="7">
        <v>2</v>
      </c>
      <c r="D87" s="18" t="s">
        <v>17</v>
      </c>
      <c r="F87" s="24">
        <v>0</v>
      </c>
      <c r="G87" s="28">
        <v>587.69299999999998</v>
      </c>
      <c r="H87" s="24">
        <v>4303.24</v>
      </c>
      <c r="I87" s="24">
        <v>70.652405000000002</v>
      </c>
      <c r="J87" s="29">
        <f t="shared" ref="J87:J90" si="85">F87+G87+H87+I87</f>
        <v>4961.5854049999998</v>
      </c>
      <c r="K87" s="31">
        <v>250.32239999999999</v>
      </c>
      <c r="L87" s="29">
        <f>K87+J87</f>
        <v>5211.9078049999998</v>
      </c>
      <c r="M87" s="24">
        <v>3231.37</v>
      </c>
      <c r="N87" s="24">
        <v>0</v>
      </c>
      <c r="O87" s="29">
        <f t="shared" ref="O87:O90" si="86">M87+N87</f>
        <v>3231.37</v>
      </c>
      <c r="P87" s="30">
        <v>115.69</v>
      </c>
      <c r="Q87" s="29">
        <f>P87+O87</f>
        <v>3347.06</v>
      </c>
      <c r="R87" s="42">
        <v>1864.8474000000001</v>
      </c>
      <c r="S87" s="30">
        <v>38.698</v>
      </c>
      <c r="T87" s="24">
        <v>1728.55</v>
      </c>
      <c r="U87" s="28">
        <v>0</v>
      </c>
      <c r="V87" s="28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9">
        <f>X87+Y87</f>
        <v>0</v>
      </c>
      <c r="AD87" s="29">
        <f>AA87+AB87</f>
        <v>0</v>
      </c>
      <c r="AE87" s="29">
        <f>W87+AC87</f>
        <v>0</v>
      </c>
      <c r="AF87" s="29">
        <f t="shared" ref="AF87:AF90" si="87">Z87+AD87</f>
        <v>0</v>
      </c>
      <c r="AG87" s="29"/>
    </row>
    <row r="88" spans="1:34" x14ac:dyDescent="0.2">
      <c r="C88" s="7">
        <v>3</v>
      </c>
      <c r="D88" s="13" t="s">
        <v>18</v>
      </c>
      <c r="F88" s="24">
        <v>0</v>
      </c>
      <c r="G88" s="28">
        <v>513.84699999999998</v>
      </c>
      <c r="H88" s="24">
        <v>3379.72</v>
      </c>
      <c r="I88" s="24">
        <v>472.30182000000002</v>
      </c>
      <c r="J88" s="29">
        <f t="shared" si="85"/>
        <v>4365.8688199999997</v>
      </c>
      <c r="K88" s="24">
        <v>0</v>
      </c>
      <c r="L88" s="29">
        <f>K88+J88</f>
        <v>4365.8688199999997</v>
      </c>
      <c r="M88" s="31">
        <v>2998.732</v>
      </c>
      <c r="N88" s="24">
        <v>0</v>
      </c>
      <c r="O88" s="29">
        <f t="shared" si="86"/>
        <v>2998.732</v>
      </c>
      <c r="P88" s="42">
        <v>1180.2782</v>
      </c>
      <c r="Q88" s="29">
        <f>P88+O88</f>
        <v>4179.0101999999997</v>
      </c>
      <c r="R88" s="42">
        <v>0</v>
      </c>
      <c r="S88" s="30">
        <v>258.68799999999999</v>
      </c>
      <c r="T88" s="24">
        <v>0</v>
      </c>
      <c r="U88" s="28">
        <v>0</v>
      </c>
      <c r="V88" s="31">
        <v>185.62817000000001</v>
      </c>
      <c r="W88" s="31">
        <v>73.061279999999996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29">
        <f>X88+Y88</f>
        <v>0</v>
      </c>
      <c r="AD88" s="29">
        <f>AA88+AB88</f>
        <v>0</v>
      </c>
      <c r="AE88" s="29">
        <f>W88+AC88</f>
        <v>73.061279999999996</v>
      </c>
      <c r="AF88" s="29">
        <f t="shared" si="87"/>
        <v>0</v>
      </c>
      <c r="AG88" s="29"/>
    </row>
    <row r="89" spans="1:34" x14ac:dyDescent="0.2">
      <c r="C89" s="7">
        <v>4</v>
      </c>
      <c r="D89" s="7" t="s">
        <v>19</v>
      </c>
      <c r="F89" s="24">
        <v>0</v>
      </c>
      <c r="G89" s="28">
        <v>713.66200000000003</v>
      </c>
      <c r="H89" s="24">
        <v>4351.47</v>
      </c>
      <c r="I89" s="24">
        <v>77.05538</v>
      </c>
      <c r="J89" s="29">
        <f t="shared" si="85"/>
        <v>5142.1873800000003</v>
      </c>
      <c r="K89" s="31">
        <v>1196.2854</v>
      </c>
      <c r="L89" s="29">
        <f>K89+J89</f>
        <v>6338.4727800000001</v>
      </c>
      <c r="M89" s="24">
        <v>3311.51</v>
      </c>
      <c r="N89" s="24">
        <v>0</v>
      </c>
      <c r="O89" s="29">
        <f t="shared" si="86"/>
        <v>3311.51</v>
      </c>
      <c r="P89" s="30">
        <v>2717.39</v>
      </c>
      <c r="Q89" s="29">
        <f>P89+O89</f>
        <v>6028.9</v>
      </c>
      <c r="R89" s="42">
        <v>309.57240000000002</v>
      </c>
      <c r="S89" s="30">
        <v>42.204999999999998</v>
      </c>
      <c r="T89" s="24">
        <v>134.46</v>
      </c>
      <c r="U89" s="28">
        <v>0</v>
      </c>
      <c r="V89" s="28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29">
        <f>X89+Y89</f>
        <v>0</v>
      </c>
      <c r="AD89" s="29">
        <f>AA89+AB89</f>
        <v>0</v>
      </c>
      <c r="AE89" s="29">
        <f>W89+AC89</f>
        <v>0</v>
      </c>
      <c r="AF89" s="29">
        <f t="shared" si="87"/>
        <v>0</v>
      </c>
      <c r="AG89" s="29"/>
    </row>
    <row r="90" spans="1:34" x14ac:dyDescent="0.2">
      <c r="C90" s="7">
        <v>5</v>
      </c>
      <c r="D90" s="7" t="s">
        <v>20</v>
      </c>
      <c r="F90" s="24">
        <v>0</v>
      </c>
      <c r="G90" s="24">
        <v>417.25700000000001</v>
      </c>
      <c r="H90" s="24">
        <v>620.69000000000005</v>
      </c>
      <c r="I90" s="24">
        <v>0</v>
      </c>
      <c r="J90" s="29">
        <f t="shared" si="85"/>
        <v>1037.9470000000001</v>
      </c>
      <c r="K90" s="24">
        <v>2717.39</v>
      </c>
      <c r="L90" s="29">
        <f>K90+J90</f>
        <v>3755.337</v>
      </c>
      <c r="M90" s="24">
        <v>3122.9</v>
      </c>
      <c r="N90" s="24">
        <v>0</v>
      </c>
      <c r="O90" s="29">
        <f t="shared" si="86"/>
        <v>3122.9</v>
      </c>
      <c r="P90" s="30">
        <v>158.47999999999999</v>
      </c>
      <c r="Q90" s="29">
        <f>P90+O90</f>
        <v>3281.38</v>
      </c>
      <c r="R90" s="30">
        <v>473.95699999999943</v>
      </c>
      <c r="S90" s="30">
        <v>0</v>
      </c>
      <c r="T90" s="24">
        <v>322.23</v>
      </c>
      <c r="U90" s="28">
        <v>0</v>
      </c>
      <c r="V90" s="28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9">
        <f>X90+Y90</f>
        <v>0</v>
      </c>
      <c r="AD90" s="29">
        <f>AA90+AB90</f>
        <v>0</v>
      </c>
      <c r="AE90" s="29">
        <f>W90+AC90</f>
        <v>0</v>
      </c>
      <c r="AF90" s="29">
        <f t="shared" si="87"/>
        <v>0</v>
      </c>
      <c r="AG90" s="29"/>
    </row>
    <row r="91" spans="1:34" x14ac:dyDescent="0.2">
      <c r="F91" s="25">
        <f t="shared" ref="F91:I91" si="88">SUM(F86:F90)</f>
        <v>0</v>
      </c>
      <c r="G91" s="25">
        <f t="shared" si="88"/>
        <v>2232.4589999999998</v>
      </c>
      <c r="H91" s="25">
        <f t="shared" si="88"/>
        <v>12655.12</v>
      </c>
      <c r="I91" s="25">
        <f t="shared" si="88"/>
        <v>620.00960500000008</v>
      </c>
      <c r="J91" s="25">
        <f>SUM(J86:J90)</f>
        <v>15507.588605000001</v>
      </c>
      <c r="K91" s="25">
        <f t="shared" ref="K91:L91" si="89">SUM(K86:K90)</f>
        <v>4163.9978000000001</v>
      </c>
      <c r="L91" s="25">
        <f t="shared" si="89"/>
        <v>19671.586404999998</v>
      </c>
      <c r="M91" s="54">
        <f>SUM(M86:M90)</f>
        <v>12664.512000000001</v>
      </c>
      <c r="N91" s="25">
        <f t="shared" ref="N91:O91" si="90">SUM(N86:N90)</f>
        <v>0</v>
      </c>
      <c r="O91" s="25">
        <f t="shared" si="90"/>
        <v>12664.512000000001</v>
      </c>
      <c r="P91" s="25">
        <f>SUM(P86:P90)</f>
        <v>4171.8381999999992</v>
      </c>
      <c r="Q91" s="25">
        <f t="shared" ref="Q91:AF91" si="91">SUM(Q86:Q90)</f>
        <v>16836.350200000001</v>
      </c>
      <c r="R91" s="25">
        <f t="shared" si="91"/>
        <v>2648.3767999999995</v>
      </c>
      <c r="S91" s="25">
        <f t="shared" si="91"/>
        <v>339.59099999999995</v>
      </c>
      <c r="T91" s="25">
        <f t="shared" si="91"/>
        <v>2185.2399999999998</v>
      </c>
      <c r="U91" s="25">
        <f t="shared" si="91"/>
        <v>0</v>
      </c>
      <c r="V91" s="25">
        <f t="shared" si="91"/>
        <v>185.62817000000001</v>
      </c>
      <c r="W91" s="25">
        <f t="shared" si="91"/>
        <v>73.061279999999996</v>
      </c>
      <c r="X91" s="25">
        <f t="shared" si="91"/>
        <v>0</v>
      </c>
      <c r="Y91" s="25">
        <f t="shared" si="91"/>
        <v>0</v>
      </c>
      <c r="Z91" s="25">
        <f t="shared" si="91"/>
        <v>0</v>
      </c>
      <c r="AA91" s="25">
        <f t="shared" si="91"/>
        <v>0</v>
      </c>
      <c r="AB91" s="25">
        <f t="shared" si="91"/>
        <v>0</v>
      </c>
      <c r="AC91" s="25">
        <f t="shared" si="91"/>
        <v>0</v>
      </c>
      <c r="AD91" s="25">
        <f t="shared" si="91"/>
        <v>0</v>
      </c>
      <c r="AE91" s="25">
        <f t="shared" si="91"/>
        <v>73.061279999999996</v>
      </c>
      <c r="AF91" s="50">
        <f t="shared" si="91"/>
        <v>0</v>
      </c>
      <c r="AG91" s="50"/>
    </row>
    <row r="93" spans="1:34" x14ac:dyDescent="0.2">
      <c r="A93" s="7">
        <v>2</v>
      </c>
      <c r="B93" s="21" t="s">
        <v>69</v>
      </c>
      <c r="C93" s="7">
        <v>1</v>
      </c>
      <c r="D93" s="15" t="s">
        <v>16</v>
      </c>
      <c r="F93" s="24">
        <v>0</v>
      </c>
      <c r="G93" s="24">
        <v>0</v>
      </c>
      <c r="H93" s="24">
        <v>0</v>
      </c>
      <c r="I93" s="24">
        <v>0</v>
      </c>
      <c r="J93" s="29">
        <f>F93+G93+H93+I93</f>
        <v>0</v>
      </c>
      <c r="K93" s="24">
        <v>0</v>
      </c>
      <c r="L93" s="29">
        <f>K93+J93</f>
        <v>0</v>
      </c>
      <c r="M93" s="24">
        <v>0</v>
      </c>
      <c r="N93" s="24">
        <v>0</v>
      </c>
      <c r="O93" s="29">
        <f>M93+N93</f>
        <v>0</v>
      </c>
      <c r="P93" s="30">
        <v>0</v>
      </c>
      <c r="Q93" s="29">
        <f>P93+O93</f>
        <v>0</v>
      </c>
      <c r="R93" s="30">
        <v>0</v>
      </c>
      <c r="S93" s="30">
        <v>0</v>
      </c>
      <c r="T93" s="24">
        <v>0</v>
      </c>
      <c r="U93" s="28">
        <v>0</v>
      </c>
      <c r="V93" s="28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9">
        <f>X93+Y93</f>
        <v>0</v>
      </c>
      <c r="AD93" s="29">
        <f>AA93+AB93</f>
        <v>0</v>
      </c>
      <c r="AE93" s="29">
        <f>W93+AC93</f>
        <v>0</v>
      </c>
      <c r="AF93" s="29">
        <f>Z93+AD93</f>
        <v>0</v>
      </c>
      <c r="AG93" s="8"/>
      <c r="AH93" s="29"/>
    </row>
    <row r="94" spans="1:34" x14ac:dyDescent="0.2">
      <c r="C94" s="7">
        <v>2</v>
      </c>
      <c r="D94" s="18" t="s">
        <v>17</v>
      </c>
      <c r="F94" s="24">
        <v>0</v>
      </c>
      <c r="G94" s="46">
        <v>0</v>
      </c>
      <c r="H94" s="46">
        <v>3368.2278000000001</v>
      </c>
      <c r="I94" s="24">
        <v>70.652405000000002</v>
      </c>
      <c r="J94" s="29">
        <f t="shared" ref="J94:J97" si="92">F94+G94+H94+I94</f>
        <v>3438.8802049999999</v>
      </c>
      <c r="K94" s="46">
        <v>195.93187</v>
      </c>
      <c r="L94" s="29">
        <f>K94+J94</f>
        <v>3634.8120749999998</v>
      </c>
      <c r="M94" s="24">
        <v>3231.37</v>
      </c>
      <c r="N94" s="24">
        <v>0</v>
      </c>
      <c r="O94" s="29">
        <f t="shared" ref="O94:O97" si="93">M94+N94</f>
        <v>3231.37</v>
      </c>
      <c r="P94" s="46">
        <v>0</v>
      </c>
      <c r="Q94" s="29">
        <f>P94+O94</f>
        <v>3231.37</v>
      </c>
      <c r="R94" s="30">
        <v>1864.8474000000001</v>
      </c>
      <c r="S94" s="30">
        <v>38.698</v>
      </c>
      <c r="T94" s="24">
        <v>1728.55</v>
      </c>
      <c r="U94" s="46">
        <v>935.01244999999994</v>
      </c>
      <c r="V94" s="28">
        <v>0</v>
      </c>
      <c r="W94" s="24">
        <v>0</v>
      </c>
      <c r="X94" s="46">
        <v>93.087906000000004</v>
      </c>
      <c r="Y94" s="46">
        <v>195.93208000000001</v>
      </c>
      <c r="Z94" s="24">
        <v>0</v>
      </c>
      <c r="AA94" s="24">
        <v>0</v>
      </c>
      <c r="AB94" s="24">
        <v>0</v>
      </c>
      <c r="AC94" s="29">
        <f>X94+Y94</f>
        <v>289.01998600000002</v>
      </c>
      <c r="AD94" s="29">
        <f>AA94+AB94</f>
        <v>0</v>
      </c>
      <c r="AE94" s="29">
        <f>W94+AC94</f>
        <v>289.01998600000002</v>
      </c>
      <c r="AF94" s="29">
        <f t="shared" ref="AF94:AF97" si="94">Z94+AD94</f>
        <v>0</v>
      </c>
      <c r="AG94" s="8"/>
      <c r="AH94" s="29"/>
    </row>
    <row r="95" spans="1:34" x14ac:dyDescent="0.2">
      <c r="C95" s="7">
        <v>3</v>
      </c>
      <c r="D95" s="13" t="s">
        <v>18</v>
      </c>
      <c r="F95" s="24">
        <v>0</v>
      </c>
      <c r="G95" s="24">
        <v>513.84699999999998</v>
      </c>
      <c r="H95" s="24">
        <v>3379.72</v>
      </c>
      <c r="I95" s="24">
        <v>472.30182000000002</v>
      </c>
      <c r="J95" s="29">
        <f t="shared" si="92"/>
        <v>4365.8688199999997</v>
      </c>
      <c r="K95" s="24">
        <v>0</v>
      </c>
      <c r="L95" s="29">
        <f>K95+J95</f>
        <v>4365.8688199999997</v>
      </c>
      <c r="M95" s="30">
        <v>2998.732</v>
      </c>
      <c r="N95" s="24">
        <v>0</v>
      </c>
      <c r="O95" s="29">
        <f t="shared" si="93"/>
        <v>2998.732</v>
      </c>
      <c r="P95" s="30">
        <v>1180.2782</v>
      </c>
      <c r="Q95" s="29">
        <f>P95+O95</f>
        <v>4179.0101999999997</v>
      </c>
      <c r="R95" s="30">
        <v>0</v>
      </c>
      <c r="S95" s="30">
        <v>258.68799999999999</v>
      </c>
      <c r="T95" s="24">
        <v>0</v>
      </c>
      <c r="U95" s="28">
        <v>0</v>
      </c>
      <c r="V95" s="28">
        <v>185.62817000000001</v>
      </c>
      <c r="W95" s="24">
        <v>73.061279999999996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9">
        <f>X95+Y95</f>
        <v>0</v>
      </c>
      <c r="AD95" s="29">
        <f>AA95+AB95</f>
        <v>0</v>
      </c>
      <c r="AE95" s="29">
        <f>W95+AC95</f>
        <v>73.061279999999996</v>
      </c>
      <c r="AF95" s="29">
        <f t="shared" si="94"/>
        <v>0</v>
      </c>
      <c r="AG95" s="8"/>
      <c r="AH95" s="29"/>
    </row>
    <row r="96" spans="1:34" x14ac:dyDescent="0.2">
      <c r="C96" s="7">
        <v>4</v>
      </c>
      <c r="D96" s="7" t="s">
        <v>19</v>
      </c>
      <c r="F96" s="24">
        <v>0</v>
      </c>
      <c r="G96" s="46">
        <v>579.20196999999996</v>
      </c>
      <c r="H96" s="24">
        <v>4351.47</v>
      </c>
      <c r="I96" s="24">
        <v>77.05538</v>
      </c>
      <c r="J96" s="29">
        <f t="shared" si="92"/>
        <v>5007.7273500000001</v>
      </c>
      <c r="K96" s="24">
        <v>1196.2854</v>
      </c>
      <c r="L96" s="29">
        <f>K96+J96</f>
        <v>6204.0127499999999</v>
      </c>
      <c r="M96" s="24">
        <v>3311.51</v>
      </c>
      <c r="N96" s="24">
        <v>0</v>
      </c>
      <c r="O96" s="29">
        <f t="shared" si="93"/>
        <v>3311.51</v>
      </c>
      <c r="P96" s="47">
        <v>2582.9299999999998</v>
      </c>
      <c r="Q96" s="29">
        <f>P96+O96</f>
        <v>5894.4400000000005</v>
      </c>
      <c r="R96" s="30">
        <v>309.57240000000002</v>
      </c>
      <c r="S96" s="30">
        <v>42.204999999999998</v>
      </c>
      <c r="T96" s="24">
        <v>134.46</v>
      </c>
      <c r="U96" s="28">
        <v>0</v>
      </c>
      <c r="V96" s="28">
        <v>0</v>
      </c>
      <c r="W96" s="24">
        <v>0</v>
      </c>
      <c r="X96" s="46">
        <v>42.204590000000003</v>
      </c>
      <c r="Y96" s="24">
        <v>0</v>
      </c>
      <c r="Z96" s="24">
        <v>0</v>
      </c>
      <c r="AA96" s="24">
        <v>0</v>
      </c>
      <c r="AB96" s="24">
        <v>0</v>
      </c>
      <c r="AC96" s="29">
        <f>X96+Y96</f>
        <v>42.204590000000003</v>
      </c>
      <c r="AD96" s="29">
        <f>AA96+AB96</f>
        <v>0</v>
      </c>
      <c r="AE96" s="29">
        <f>W96+AC96</f>
        <v>42.204590000000003</v>
      </c>
      <c r="AF96" s="29">
        <f t="shared" si="94"/>
        <v>0</v>
      </c>
      <c r="AG96" s="8"/>
      <c r="AH96" s="29"/>
    </row>
    <row r="97" spans="1:34" x14ac:dyDescent="0.2">
      <c r="C97" s="7">
        <v>5</v>
      </c>
      <c r="D97" s="8" t="s">
        <v>20</v>
      </c>
      <c r="F97" s="24">
        <v>0</v>
      </c>
      <c r="G97" s="46">
        <v>95.026979999999995</v>
      </c>
      <c r="H97" s="24">
        <v>620.69000000000005</v>
      </c>
      <c r="I97" s="24">
        <v>0</v>
      </c>
      <c r="J97" s="29">
        <f t="shared" si="92"/>
        <v>715.71698000000004</v>
      </c>
      <c r="K97" s="24">
        <v>2717.39</v>
      </c>
      <c r="L97" s="29">
        <f>K97+J97</f>
        <v>3433.10698</v>
      </c>
      <c r="M97" s="24">
        <v>3122.9</v>
      </c>
      <c r="N97" s="24">
        <v>0</v>
      </c>
      <c r="O97" s="29">
        <f t="shared" si="93"/>
        <v>3122.9</v>
      </c>
      <c r="P97" s="47">
        <v>0</v>
      </c>
      <c r="Q97" s="29">
        <f>P97+O97</f>
        <v>3122.9</v>
      </c>
      <c r="R97" s="30">
        <v>473.95699999999943</v>
      </c>
      <c r="S97" s="30">
        <v>0</v>
      </c>
      <c r="T97" s="24">
        <v>322.23</v>
      </c>
      <c r="U97" s="28">
        <v>0</v>
      </c>
      <c r="V97" s="28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9">
        <f>X97+Y97</f>
        <v>0</v>
      </c>
      <c r="AD97" s="29">
        <f>AA97+AB97</f>
        <v>0</v>
      </c>
      <c r="AE97" s="29">
        <f>W97+AC97</f>
        <v>0</v>
      </c>
      <c r="AF97" s="29">
        <f t="shared" si="94"/>
        <v>0</v>
      </c>
      <c r="AG97" s="8"/>
      <c r="AH97" s="29"/>
    </row>
    <row r="98" spans="1:34" x14ac:dyDescent="0.2">
      <c r="F98" s="25">
        <f t="shared" ref="F98:I98" si="95">SUM(F93:F97)</f>
        <v>0</v>
      </c>
      <c r="G98" s="25">
        <f t="shared" si="95"/>
        <v>1188.0759499999999</v>
      </c>
      <c r="H98" s="25">
        <f t="shared" si="95"/>
        <v>11720.1078</v>
      </c>
      <c r="I98" s="25">
        <f t="shared" si="95"/>
        <v>620.00960500000008</v>
      </c>
      <c r="J98" s="25">
        <f>SUM(J93:J97)</f>
        <v>13528.193354999998</v>
      </c>
      <c r="K98" s="25">
        <f t="shared" ref="K98:L98" si="96">SUM(K93:K97)</f>
        <v>4109.6072700000004</v>
      </c>
      <c r="L98" s="25">
        <f t="shared" si="96"/>
        <v>17637.800625</v>
      </c>
      <c r="M98" s="25">
        <f>SUM(M93:M97)</f>
        <v>12664.512000000001</v>
      </c>
      <c r="N98" s="25">
        <f t="shared" ref="N98:O98" si="97">SUM(N93:N97)</f>
        <v>0</v>
      </c>
      <c r="O98" s="25">
        <f t="shared" si="97"/>
        <v>12664.512000000001</v>
      </c>
      <c r="P98" s="25">
        <f>SUM(P93:P97)</f>
        <v>3763.2082</v>
      </c>
      <c r="Q98" s="25">
        <f t="shared" ref="Q98:AF98" si="98">SUM(Q93:Q97)</f>
        <v>16427.7202</v>
      </c>
      <c r="R98" s="25">
        <f t="shared" si="98"/>
        <v>2648.3767999999995</v>
      </c>
      <c r="S98" s="25">
        <f t="shared" si="98"/>
        <v>339.59099999999995</v>
      </c>
      <c r="T98" s="25">
        <f t="shared" si="98"/>
        <v>2185.2399999999998</v>
      </c>
      <c r="U98" s="25">
        <f t="shared" si="98"/>
        <v>935.01244999999994</v>
      </c>
      <c r="V98" s="25">
        <f t="shared" si="98"/>
        <v>185.62817000000001</v>
      </c>
      <c r="W98" s="25">
        <f t="shared" si="98"/>
        <v>73.061279999999996</v>
      </c>
      <c r="X98" s="25">
        <f t="shared" si="98"/>
        <v>135.292496</v>
      </c>
      <c r="Y98" s="25">
        <f t="shared" si="98"/>
        <v>195.93208000000001</v>
      </c>
      <c r="Z98" s="25">
        <f t="shared" si="98"/>
        <v>0</v>
      </c>
      <c r="AA98" s="25">
        <f t="shared" si="98"/>
        <v>0</v>
      </c>
      <c r="AB98" s="25">
        <f t="shared" si="98"/>
        <v>0</v>
      </c>
      <c r="AC98" s="25">
        <f t="shared" si="98"/>
        <v>331.22457600000001</v>
      </c>
      <c r="AD98" s="25">
        <f t="shared" si="98"/>
        <v>0</v>
      </c>
      <c r="AE98" s="25">
        <f t="shared" si="98"/>
        <v>404.28585600000002</v>
      </c>
      <c r="AF98" s="50">
        <f t="shared" si="98"/>
        <v>0</v>
      </c>
      <c r="AG98" s="8"/>
      <c r="AH98" s="50"/>
    </row>
    <row r="100" spans="1:34" x14ac:dyDescent="0.2">
      <c r="A100" s="7">
        <v>2</v>
      </c>
      <c r="B100" s="21" t="s">
        <v>73</v>
      </c>
      <c r="C100" s="8">
        <v>1</v>
      </c>
      <c r="D100" s="15" t="s">
        <v>16</v>
      </c>
      <c r="F100" s="24">
        <v>0</v>
      </c>
      <c r="G100" s="24">
        <v>0</v>
      </c>
      <c r="H100" s="24">
        <v>0</v>
      </c>
      <c r="I100" s="24">
        <v>0</v>
      </c>
      <c r="J100" s="29">
        <f>F100+G100+H100+I100</f>
        <v>0</v>
      </c>
      <c r="K100" s="24">
        <v>0</v>
      </c>
      <c r="L100" s="29">
        <f>K100+J100</f>
        <v>0</v>
      </c>
      <c r="M100" s="24">
        <v>0</v>
      </c>
      <c r="N100" s="24">
        <v>0</v>
      </c>
      <c r="O100" s="29">
        <f>M100+N100</f>
        <v>0</v>
      </c>
      <c r="P100" s="30">
        <v>0</v>
      </c>
      <c r="Q100" s="29">
        <f>P100+O100</f>
        <v>0</v>
      </c>
      <c r="R100" s="40">
        <f>MAX(L100-Q100,0)</f>
        <v>0</v>
      </c>
      <c r="S100" s="30">
        <v>0</v>
      </c>
      <c r="T100" s="24">
        <v>0</v>
      </c>
      <c r="U100" s="28">
        <v>0</v>
      </c>
      <c r="V100" s="28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29">
        <f>X100+Y100</f>
        <v>0</v>
      </c>
      <c r="AD100" s="29">
        <f>AA100+AB100</f>
        <v>0</v>
      </c>
      <c r="AE100" s="29">
        <f>W100+AC100</f>
        <v>0</v>
      </c>
      <c r="AF100" s="29">
        <f>Z100+AD100</f>
        <v>0</v>
      </c>
      <c r="AG100" s="29"/>
    </row>
    <row r="101" spans="1:34" x14ac:dyDescent="0.2">
      <c r="C101" s="8">
        <v>2</v>
      </c>
      <c r="D101" s="18" t="s">
        <v>17</v>
      </c>
      <c r="F101" s="34">
        <v>0</v>
      </c>
      <c r="G101" s="34">
        <v>0</v>
      </c>
      <c r="H101" s="34">
        <v>0</v>
      </c>
      <c r="I101" s="34">
        <v>0</v>
      </c>
      <c r="J101" s="29">
        <f t="shared" ref="J101:J104" si="99">F101+G101+H101+I101</f>
        <v>0</v>
      </c>
      <c r="K101" s="34">
        <v>0</v>
      </c>
      <c r="L101" s="29">
        <f>K101+J101</f>
        <v>0</v>
      </c>
      <c r="M101" s="34">
        <v>0</v>
      </c>
      <c r="N101" s="34">
        <v>0</v>
      </c>
      <c r="O101" s="29">
        <f t="shared" ref="O101:O104" si="100">M101+N101</f>
        <v>0</v>
      </c>
      <c r="P101" s="44">
        <v>0</v>
      </c>
      <c r="Q101" s="29">
        <f>P101+O101</f>
        <v>0</v>
      </c>
      <c r="R101" s="40">
        <f t="shared" ref="R101:R104" si="101">MAX(L101-Q101,0)</f>
        <v>0</v>
      </c>
      <c r="S101" s="30">
        <v>16.8491</v>
      </c>
      <c r="T101" s="24">
        <v>0</v>
      </c>
      <c r="U101" s="28">
        <v>935.01244999999994</v>
      </c>
      <c r="V101" s="28">
        <v>0</v>
      </c>
      <c r="W101" s="24">
        <v>0</v>
      </c>
      <c r="X101" s="24">
        <v>93.087906000000004</v>
      </c>
      <c r="Y101" s="24">
        <v>195.93208000000001</v>
      </c>
      <c r="Z101" s="24">
        <v>16.8491</v>
      </c>
      <c r="AA101" s="24">
        <v>0</v>
      </c>
      <c r="AB101" s="24">
        <v>0</v>
      </c>
      <c r="AC101" s="29">
        <f>X101+Y101</f>
        <v>289.01998600000002</v>
      </c>
      <c r="AD101" s="29">
        <f>AA101+AB101</f>
        <v>0</v>
      </c>
      <c r="AE101" s="29">
        <f>W101+AC101</f>
        <v>289.01998600000002</v>
      </c>
      <c r="AF101" s="29">
        <f t="shared" ref="AF101:AF104" si="102">Z101+AD101</f>
        <v>16.8491</v>
      </c>
      <c r="AG101" s="29"/>
    </row>
    <row r="102" spans="1:34" x14ac:dyDescent="0.2">
      <c r="C102" s="8">
        <v>3</v>
      </c>
      <c r="D102" s="13" t="s">
        <v>18</v>
      </c>
      <c r="F102" s="34">
        <v>0</v>
      </c>
      <c r="G102" s="34">
        <v>0</v>
      </c>
      <c r="H102" s="34">
        <v>0</v>
      </c>
      <c r="I102" s="34">
        <v>0</v>
      </c>
      <c r="J102" s="29">
        <f t="shared" si="99"/>
        <v>0</v>
      </c>
      <c r="K102" s="34">
        <v>0</v>
      </c>
      <c r="L102" s="29">
        <f>K102+J102</f>
        <v>0</v>
      </c>
      <c r="M102" s="34">
        <v>0</v>
      </c>
      <c r="N102" s="34">
        <v>0</v>
      </c>
      <c r="O102" s="29">
        <f t="shared" si="100"/>
        <v>0</v>
      </c>
      <c r="P102" s="44">
        <v>0</v>
      </c>
      <c r="Q102" s="29">
        <f>P102+O102</f>
        <v>0</v>
      </c>
      <c r="R102" s="40">
        <f t="shared" si="101"/>
        <v>0</v>
      </c>
      <c r="S102" s="30">
        <v>0</v>
      </c>
      <c r="T102" s="24">
        <v>279.73899999999998</v>
      </c>
      <c r="U102" s="28">
        <v>0</v>
      </c>
      <c r="V102" s="28">
        <v>185.62817000000001</v>
      </c>
      <c r="W102" s="24">
        <v>73.061279999999996</v>
      </c>
      <c r="X102" s="24">
        <v>0</v>
      </c>
      <c r="Y102" s="24">
        <v>0</v>
      </c>
      <c r="Z102" s="24">
        <v>0</v>
      </c>
      <c r="AA102" s="24">
        <v>148.46325999999999</v>
      </c>
      <c r="AB102" s="24">
        <v>256.30603000000002</v>
      </c>
      <c r="AC102" s="29">
        <f>X102+Y102</f>
        <v>0</v>
      </c>
      <c r="AD102" s="29">
        <f>AA102+AB102</f>
        <v>404.76929000000001</v>
      </c>
      <c r="AE102" s="29">
        <f>W102+AC102</f>
        <v>73.061279999999996</v>
      </c>
      <c r="AF102" s="29">
        <f t="shared" si="102"/>
        <v>404.76929000000001</v>
      </c>
      <c r="AG102" s="29"/>
    </row>
    <row r="103" spans="1:34" x14ac:dyDescent="0.2">
      <c r="C103" s="8">
        <v>4</v>
      </c>
      <c r="D103" s="7" t="s">
        <v>19</v>
      </c>
      <c r="F103" s="24">
        <v>0</v>
      </c>
      <c r="G103" s="24">
        <v>579.20196999999996</v>
      </c>
      <c r="H103" s="24">
        <v>4351.47</v>
      </c>
      <c r="I103" s="34">
        <v>1100.8452</v>
      </c>
      <c r="J103" s="29">
        <f t="shared" si="99"/>
        <v>6031.5171700000001</v>
      </c>
      <c r="K103" s="34">
        <v>158.47999999999999</v>
      </c>
      <c r="L103" s="29">
        <f>K103+J103</f>
        <v>6189.9971699999996</v>
      </c>
      <c r="M103" s="24">
        <v>3311.51</v>
      </c>
      <c r="N103" s="24">
        <v>0</v>
      </c>
      <c r="O103" s="29">
        <f t="shared" si="100"/>
        <v>3311.51</v>
      </c>
      <c r="P103" s="30">
        <v>2717.39</v>
      </c>
      <c r="Q103" s="29">
        <f>P103+O103</f>
        <v>6028.9</v>
      </c>
      <c r="R103" s="40">
        <f t="shared" si="101"/>
        <v>161.09717000000001</v>
      </c>
      <c r="S103" s="30">
        <v>56.217199999999998</v>
      </c>
      <c r="T103" s="24">
        <v>0</v>
      </c>
      <c r="U103" s="28">
        <v>0</v>
      </c>
      <c r="V103" s="28">
        <v>0</v>
      </c>
      <c r="W103" s="24">
        <v>0</v>
      </c>
      <c r="X103" s="24">
        <v>42.204590000000003</v>
      </c>
      <c r="Y103" s="24">
        <v>0</v>
      </c>
      <c r="Z103" s="24">
        <v>56.217199999999998</v>
      </c>
      <c r="AA103" s="24">
        <v>0</v>
      </c>
      <c r="AB103" s="24">
        <v>0</v>
      </c>
      <c r="AC103" s="29">
        <f>X103+Y103</f>
        <v>42.204590000000003</v>
      </c>
      <c r="AD103" s="29">
        <f>AA103+AB103</f>
        <v>0</v>
      </c>
      <c r="AE103" s="29">
        <f>W103+AC103</f>
        <v>42.204590000000003</v>
      </c>
      <c r="AF103" s="29">
        <f t="shared" si="102"/>
        <v>56.217199999999998</v>
      </c>
      <c r="AG103" s="29"/>
    </row>
    <row r="104" spans="1:34" x14ac:dyDescent="0.2">
      <c r="C104" s="8">
        <v>5</v>
      </c>
      <c r="D104" s="7" t="s">
        <v>20</v>
      </c>
      <c r="F104" s="24">
        <v>0</v>
      </c>
      <c r="G104" s="24">
        <v>95.026979999999995</v>
      </c>
      <c r="H104" s="24">
        <v>620.69000000000005</v>
      </c>
      <c r="I104" s="24">
        <v>0</v>
      </c>
      <c r="J104" s="29">
        <f t="shared" si="99"/>
        <v>715.71698000000004</v>
      </c>
      <c r="K104" s="24">
        <v>2717.39</v>
      </c>
      <c r="L104" s="29">
        <f>K104+J104</f>
        <v>3433.10698</v>
      </c>
      <c r="M104" s="24">
        <v>3122.9</v>
      </c>
      <c r="N104" s="24">
        <v>0</v>
      </c>
      <c r="O104" s="29">
        <f t="shared" si="100"/>
        <v>3122.9</v>
      </c>
      <c r="P104" s="30">
        <v>158.47999999999999</v>
      </c>
      <c r="Q104" s="29">
        <f>P104+O104</f>
        <v>3281.38</v>
      </c>
      <c r="R104" s="40">
        <f t="shared" si="101"/>
        <v>151.72697999999991</v>
      </c>
      <c r="S104" s="30">
        <v>0</v>
      </c>
      <c r="T104" s="24">
        <v>0</v>
      </c>
      <c r="U104" s="28">
        <v>0</v>
      </c>
      <c r="V104" s="28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9">
        <f>X104+Y104</f>
        <v>0</v>
      </c>
      <c r="AD104" s="29">
        <f>AA104+AB104</f>
        <v>0</v>
      </c>
      <c r="AE104" s="29">
        <f>W104+AC104</f>
        <v>0</v>
      </c>
      <c r="AF104" s="29">
        <f t="shared" si="102"/>
        <v>0</v>
      </c>
      <c r="AG104" s="29"/>
    </row>
    <row r="105" spans="1:34" x14ac:dyDescent="0.2">
      <c r="F105" s="25">
        <f t="shared" ref="F105:I105" si="103">SUM(F100:F104)</f>
        <v>0</v>
      </c>
      <c r="G105" s="25">
        <f t="shared" si="103"/>
        <v>674.22894999999994</v>
      </c>
      <c r="H105" s="25">
        <f t="shared" si="103"/>
        <v>4972.16</v>
      </c>
      <c r="I105" s="25">
        <f t="shared" si="103"/>
        <v>1100.8452</v>
      </c>
      <c r="J105" s="25">
        <f>SUM(J100:J104)</f>
        <v>6747.2341500000002</v>
      </c>
      <c r="K105" s="25">
        <f t="shared" ref="K105:L105" si="104">SUM(K100:K104)</f>
        <v>2875.87</v>
      </c>
      <c r="L105" s="25">
        <f t="shared" si="104"/>
        <v>9623.1041499999992</v>
      </c>
      <c r="M105" s="25">
        <f>SUM(M100:M104)</f>
        <v>6434.41</v>
      </c>
      <c r="N105" s="25">
        <f t="shared" ref="N105:O105" si="105">SUM(N100:N104)</f>
        <v>0</v>
      </c>
      <c r="O105" s="25">
        <f t="shared" si="105"/>
        <v>6434.41</v>
      </c>
      <c r="P105" s="25">
        <f>SUM(P100:P104)</f>
        <v>2875.87</v>
      </c>
      <c r="Q105" s="25">
        <f t="shared" ref="Q105:AF105" si="106">SUM(Q100:Q104)</f>
        <v>9310.2799999999988</v>
      </c>
      <c r="R105" s="25">
        <f t="shared" si="106"/>
        <v>312.82414999999992</v>
      </c>
      <c r="S105" s="25">
        <f t="shared" si="106"/>
        <v>73.066299999999998</v>
      </c>
      <c r="T105" s="25">
        <f t="shared" si="106"/>
        <v>279.73899999999998</v>
      </c>
      <c r="U105" s="25">
        <f t="shared" si="106"/>
        <v>935.01244999999994</v>
      </c>
      <c r="V105" s="25">
        <f t="shared" si="106"/>
        <v>185.62817000000001</v>
      </c>
      <c r="W105" s="25">
        <f t="shared" si="106"/>
        <v>73.061279999999996</v>
      </c>
      <c r="X105" s="25">
        <f t="shared" si="106"/>
        <v>135.292496</v>
      </c>
      <c r="Y105" s="25">
        <f t="shared" si="106"/>
        <v>195.93208000000001</v>
      </c>
      <c r="Z105" s="25">
        <f t="shared" si="106"/>
        <v>73.066299999999998</v>
      </c>
      <c r="AA105" s="25">
        <f t="shared" si="106"/>
        <v>148.46325999999999</v>
      </c>
      <c r="AB105" s="25">
        <f t="shared" si="106"/>
        <v>256.30603000000002</v>
      </c>
      <c r="AC105" s="25">
        <f t="shared" si="106"/>
        <v>331.22457600000001</v>
      </c>
      <c r="AD105" s="25">
        <f t="shared" si="106"/>
        <v>404.76929000000001</v>
      </c>
      <c r="AE105" s="25">
        <f t="shared" si="106"/>
        <v>404.28585600000002</v>
      </c>
      <c r="AF105" s="25">
        <f t="shared" si="106"/>
        <v>477.83559000000002</v>
      </c>
      <c r="AG105" s="25"/>
    </row>
    <row r="106" spans="1:34" x14ac:dyDescent="0.2"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</row>
    <row r="107" spans="1:34" x14ac:dyDescent="0.2">
      <c r="A107" s="7">
        <v>3</v>
      </c>
      <c r="B107" s="21" t="s">
        <v>67</v>
      </c>
      <c r="C107" s="8">
        <v>1</v>
      </c>
      <c r="D107" s="15" t="s">
        <v>16</v>
      </c>
      <c r="F107" s="24">
        <v>0</v>
      </c>
      <c r="G107" s="24">
        <v>0</v>
      </c>
      <c r="H107" s="24">
        <v>0</v>
      </c>
      <c r="I107" s="24">
        <v>0</v>
      </c>
      <c r="J107" s="29">
        <f>F107+G107+H107+I107</f>
        <v>0</v>
      </c>
      <c r="K107" s="24">
        <v>0</v>
      </c>
      <c r="L107" s="29">
        <f>K107+J107</f>
        <v>0</v>
      </c>
      <c r="M107" s="24">
        <v>0</v>
      </c>
      <c r="N107" s="24">
        <v>0</v>
      </c>
      <c r="O107" s="29">
        <f>M107+N107</f>
        <v>0</v>
      </c>
      <c r="P107" s="30">
        <v>0</v>
      </c>
      <c r="Q107" s="29">
        <f>P107+O107</f>
        <v>0</v>
      </c>
      <c r="R107" s="30">
        <v>0</v>
      </c>
      <c r="S107" s="30">
        <v>0</v>
      </c>
      <c r="T107" s="24">
        <v>0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  <c r="AB107" s="36">
        <v>0</v>
      </c>
      <c r="AC107" s="29">
        <f>X107+Y107</f>
        <v>0</v>
      </c>
      <c r="AD107" s="29">
        <f>AA107+AB107</f>
        <v>0</v>
      </c>
      <c r="AE107" s="29">
        <f>W107+AC107</f>
        <v>0</v>
      </c>
      <c r="AF107" s="29">
        <f>Z107+AD107</f>
        <v>0</v>
      </c>
      <c r="AG107" s="29"/>
    </row>
    <row r="108" spans="1:34" x14ac:dyDescent="0.2">
      <c r="C108" s="8">
        <v>2</v>
      </c>
      <c r="D108" s="15" t="s">
        <v>17</v>
      </c>
      <c r="F108" s="24">
        <v>0</v>
      </c>
      <c r="G108" s="24">
        <v>0</v>
      </c>
      <c r="H108" s="24">
        <v>0</v>
      </c>
      <c r="I108" s="24">
        <v>0</v>
      </c>
      <c r="J108" s="29">
        <f t="shared" ref="J108:J111" si="107">F108+G108+H108+I108</f>
        <v>0</v>
      </c>
      <c r="K108" s="24">
        <v>0</v>
      </c>
      <c r="L108" s="29">
        <f>K108+J108</f>
        <v>0</v>
      </c>
      <c r="M108" s="24">
        <v>0</v>
      </c>
      <c r="N108" s="24">
        <v>0</v>
      </c>
      <c r="O108" s="29">
        <f t="shared" ref="O108:O111" si="108">M108+N108</f>
        <v>0</v>
      </c>
      <c r="P108" s="30">
        <v>0</v>
      </c>
      <c r="Q108" s="29">
        <f>P108+O108</f>
        <v>0</v>
      </c>
      <c r="R108" s="30">
        <v>0</v>
      </c>
      <c r="S108" s="30">
        <v>16.8491</v>
      </c>
      <c r="T108" s="24">
        <v>0</v>
      </c>
      <c r="U108" s="36">
        <v>0</v>
      </c>
      <c r="V108" s="36">
        <v>0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  <c r="AB108" s="36">
        <v>0</v>
      </c>
      <c r="AC108" s="29">
        <f>X108+Y108</f>
        <v>0</v>
      </c>
      <c r="AD108" s="29">
        <f>AA108+AB108</f>
        <v>0</v>
      </c>
      <c r="AE108" s="29">
        <f>W108+AC108</f>
        <v>0</v>
      </c>
      <c r="AF108" s="29">
        <f t="shared" ref="AF108:AF111" si="109">Z108+AD108</f>
        <v>0</v>
      </c>
      <c r="AG108" s="29"/>
    </row>
    <row r="109" spans="1:34" x14ac:dyDescent="0.2">
      <c r="C109" s="8">
        <v>3</v>
      </c>
      <c r="D109" s="15" t="s">
        <v>18</v>
      </c>
      <c r="F109" s="24">
        <v>0</v>
      </c>
      <c r="G109" s="24">
        <v>0</v>
      </c>
      <c r="H109" s="24">
        <v>0</v>
      </c>
      <c r="I109" s="24">
        <v>0</v>
      </c>
      <c r="J109" s="29">
        <f t="shared" si="107"/>
        <v>0</v>
      </c>
      <c r="K109" s="24">
        <v>0</v>
      </c>
      <c r="L109" s="29">
        <f>K109+J109</f>
        <v>0</v>
      </c>
      <c r="M109" s="24">
        <v>0</v>
      </c>
      <c r="N109" s="24">
        <v>0</v>
      </c>
      <c r="O109" s="29">
        <f t="shared" si="108"/>
        <v>0</v>
      </c>
      <c r="P109" s="30">
        <v>0</v>
      </c>
      <c r="Q109" s="29">
        <f>P109+O109</f>
        <v>0</v>
      </c>
      <c r="R109" s="30">
        <v>0</v>
      </c>
      <c r="S109" s="30">
        <v>0</v>
      </c>
      <c r="T109" s="24">
        <v>279.73899999999998</v>
      </c>
      <c r="U109" s="45">
        <v>0</v>
      </c>
      <c r="V109" s="45">
        <v>0</v>
      </c>
      <c r="W109" s="45">
        <v>0</v>
      </c>
      <c r="X109" s="36">
        <v>0</v>
      </c>
      <c r="Y109" s="36">
        <v>0</v>
      </c>
      <c r="Z109" s="36">
        <v>0</v>
      </c>
      <c r="AA109" s="36">
        <v>0</v>
      </c>
      <c r="AB109" s="36">
        <v>0</v>
      </c>
      <c r="AC109" s="29">
        <f>X109+Y109</f>
        <v>0</v>
      </c>
      <c r="AD109" s="29">
        <f>AA109+AB109</f>
        <v>0</v>
      </c>
      <c r="AE109" s="29">
        <f>W109+AC109</f>
        <v>0</v>
      </c>
      <c r="AF109" s="29">
        <f t="shared" si="109"/>
        <v>0</v>
      </c>
      <c r="AG109" s="29"/>
    </row>
    <row r="110" spans="1:34" x14ac:dyDescent="0.2">
      <c r="C110" s="8">
        <v>4</v>
      </c>
      <c r="D110" s="7" t="s">
        <v>19</v>
      </c>
      <c r="F110" s="24">
        <v>0</v>
      </c>
      <c r="G110" s="24">
        <v>579.20196999999996</v>
      </c>
      <c r="H110" s="24">
        <v>4351.47</v>
      </c>
      <c r="I110" s="24">
        <v>1100.8452</v>
      </c>
      <c r="J110" s="29">
        <f t="shared" si="107"/>
        <v>6031.5171700000001</v>
      </c>
      <c r="K110" s="24">
        <v>158.47999999999999</v>
      </c>
      <c r="L110" s="29">
        <f>K110+J110</f>
        <v>6189.9971699999996</v>
      </c>
      <c r="M110" s="24">
        <v>3311.51</v>
      </c>
      <c r="N110" s="24">
        <v>0</v>
      </c>
      <c r="O110" s="29">
        <f t="shared" si="108"/>
        <v>3311.51</v>
      </c>
      <c r="P110" s="30">
        <v>2717.39</v>
      </c>
      <c r="Q110" s="29">
        <f>P110+O110</f>
        <v>6028.9</v>
      </c>
      <c r="R110" s="30">
        <v>161.09717000000001</v>
      </c>
      <c r="S110" s="30">
        <v>56.217199999999998</v>
      </c>
      <c r="T110" s="24">
        <v>0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  <c r="AB110" s="36">
        <v>0</v>
      </c>
      <c r="AC110" s="29">
        <f>X110+Y110</f>
        <v>0</v>
      </c>
      <c r="AD110" s="29">
        <f>AA110+AB110</f>
        <v>0</v>
      </c>
      <c r="AE110" s="29">
        <f>W110+AC110</f>
        <v>0</v>
      </c>
      <c r="AF110" s="29">
        <f t="shared" si="109"/>
        <v>0</v>
      </c>
      <c r="AG110" s="29"/>
    </row>
    <row r="111" spans="1:34" x14ac:dyDescent="0.2">
      <c r="C111" s="8">
        <v>5</v>
      </c>
      <c r="D111" s="7" t="s">
        <v>20</v>
      </c>
      <c r="F111" s="24">
        <v>0</v>
      </c>
      <c r="G111" s="24">
        <v>95.026979999999995</v>
      </c>
      <c r="H111" s="24">
        <v>620.69000000000005</v>
      </c>
      <c r="I111" s="24">
        <v>0</v>
      </c>
      <c r="J111" s="29">
        <f t="shared" si="107"/>
        <v>715.71698000000004</v>
      </c>
      <c r="K111" s="24">
        <v>2717.39</v>
      </c>
      <c r="L111" s="29">
        <f>K111+J111</f>
        <v>3433.10698</v>
      </c>
      <c r="M111" s="24">
        <v>3122.9</v>
      </c>
      <c r="N111" s="24">
        <v>0</v>
      </c>
      <c r="O111" s="29">
        <f t="shared" si="108"/>
        <v>3122.9</v>
      </c>
      <c r="P111" s="30">
        <v>158.47999999999999</v>
      </c>
      <c r="Q111" s="29">
        <f>P111+O111</f>
        <v>3281.38</v>
      </c>
      <c r="R111" s="30">
        <v>151.71706</v>
      </c>
      <c r="S111" s="30">
        <v>0</v>
      </c>
      <c r="T111" s="24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  <c r="AB111" s="36">
        <v>0</v>
      </c>
      <c r="AC111" s="29">
        <f>X111+Y111</f>
        <v>0</v>
      </c>
      <c r="AD111" s="29">
        <f>AA111+AB111</f>
        <v>0</v>
      </c>
      <c r="AE111" s="29">
        <f>W111+AC111</f>
        <v>0</v>
      </c>
      <c r="AF111" s="29">
        <f t="shared" si="109"/>
        <v>0</v>
      </c>
      <c r="AG111" s="29"/>
    </row>
    <row r="112" spans="1:34" x14ac:dyDescent="0.2">
      <c r="C112" s="8"/>
      <c r="F112" s="25">
        <f t="shared" ref="F112:I112" si="110">SUM(F107:F111)</f>
        <v>0</v>
      </c>
      <c r="G112" s="25">
        <f t="shared" si="110"/>
        <v>674.22894999999994</v>
      </c>
      <c r="H112" s="25">
        <f t="shared" si="110"/>
        <v>4972.16</v>
      </c>
      <c r="I112" s="25">
        <f t="shared" si="110"/>
        <v>1100.8452</v>
      </c>
      <c r="J112" s="25">
        <f>SUM(J107:J111)</f>
        <v>6747.2341500000002</v>
      </c>
      <c r="K112" s="25">
        <f t="shared" ref="K112:L112" si="111">SUM(K107:K111)</f>
        <v>2875.87</v>
      </c>
      <c r="L112" s="25">
        <f t="shared" si="111"/>
        <v>9623.1041499999992</v>
      </c>
      <c r="M112" s="25">
        <f>SUM(M107:M111)</f>
        <v>6434.41</v>
      </c>
      <c r="N112" s="25">
        <f t="shared" ref="N112:O112" si="112">SUM(N107:N111)</f>
        <v>0</v>
      </c>
      <c r="O112" s="25">
        <f t="shared" si="112"/>
        <v>6434.41</v>
      </c>
      <c r="P112" s="25">
        <f>SUM(P107:P111)</f>
        <v>2875.87</v>
      </c>
      <c r="Q112" s="25">
        <f t="shared" ref="Q112:AF112" si="113">SUM(Q107:Q111)</f>
        <v>9310.2799999999988</v>
      </c>
      <c r="R112" s="25">
        <f t="shared" si="113"/>
        <v>312.81423000000001</v>
      </c>
      <c r="S112" s="25">
        <f t="shared" si="113"/>
        <v>73.066299999999998</v>
      </c>
      <c r="T112" s="25">
        <f t="shared" si="113"/>
        <v>279.73899999999998</v>
      </c>
      <c r="U112" s="25">
        <f t="shared" si="113"/>
        <v>0</v>
      </c>
      <c r="V112" s="25">
        <f t="shared" si="113"/>
        <v>0</v>
      </c>
      <c r="W112" s="25">
        <f t="shared" si="113"/>
        <v>0</v>
      </c>
      <c r="X112" s="25">
        <f t="shared" si="113"/>
        <v>0</v>
      </c>
      <c r="Y112" s="25">
        <f t="shared" si="113"/>
        <v>0</v>
      </c>
      <c r="Z112" s="25">
        <f t="shared" si="113"/>
        <v>0</v>
      </c>
      <c r="AA112" s="25">
        <f t="shared" si="113"/>
        <v>0</v>
      </c>
      <c r="AB112" s="25">
        <f t="shared" si="113"/>
        <v>0</v>
      </c>
      <c r="AC112" s="25">
        <f t="shared" si="113"/>
        <v>0</v>
      </c>
      <c r="AD112" s="25">
        <f t="shared" si="113"/>
        <v>0</v>
      </c>
      <c r="AE112" s="25">
        <f t="shared" si="113"/>
        <v>0</v>
      </c>
      <c r="AF112" s="25">
        <f t="shared" si="113"/>
        <v>0</v>
      </c>
      <c r="AG112" s="25"/>
    </row>
    <row r="113" spans="3:3" x14ac:dyDescent="0.2">
      <c r="C113" s="8"/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B7B7-D7CC-D245-B421-CF460D464352}">
  <dimension ref="A1:AS84"/>
  <sheetViews>
    <sheetView zoomScale="135" zoomScaleNormal="100" workbookViewId="0">
      <pane xSplit="3" ySplit="1" topLeftCell="D13" activePane="bottomRight" state="frozen"/>
      <selection pane="topRight" activeCell="C1" sqref="C1"/>
      <selection pane="bottomLeft" activeCell="A2" sqref="A2"/>
      <selection pane="bottomRight" activeCell="I18" sqref="I18"/>
    </sheetView>
  </sheetViews>
  <sheetFormatPr baseColWidth="10" defaultRowHeight="16" x14ac:dyDescent="0.2"/>
  <cols>
    <col min="1" max="1" width="2.85546875" style="6" customWidth="1"/>
    <col min="2" max="2" width="3" style="6" bestFit="1" customWidth="1"/>
    <col min="3" max="3" width="3.28515625" style="21" bestFit="1" customWidth="1"/>
    <col min="4" max="4" width="4.85546875" style="6" bestFit="1" customWidth="1"/>
    <col min="5" max="5" width="5.7109375" style="28" bestFit="1" customWidth="1"/>
    <col min="6" max="8" width="6.5703125" style="28" bestFit="1" customWidth="1"/>
    <col min="9" max="9" width="5.7109375" style="28" bestFit="1" customWidth="1"/>
    <col min="10" max="10" width="6.5703125" style="28" bestFit="1" customWidth="1"/>
    <col min="11" max="11" width="7.5703125" style="26" customWidth="1"/>
    <col min="12" max="12" width="6.5703125" style="28" bestFit="1" customWidth="1"/>
    <col min="13" max="14" width="5.7109375" style="28" bestFit="1" customWidth="1"/>
    <col min="15" max="17" width="6.5703125" style="28" bestFit="1" customWidth="1"/>
    <col min="18" max="18" width="7.5703125" style="26" customWidth="1"/>
    <col min="19" max="19" width="6.5703125" style="28" customWidth="1"/>
    <col min="20" max="20" width="4" style="28" bestFit="1" customWidth="1"/>
    <col min="21" max="21" width="4.85546875" style="28" bestFit="1" customWidth="1"/>
    <col min="22" max="23" width="4" style="28" bestFit="1" customWidth="1"/>
    <col min="24" max="24" width="5.7109375" style="28" bestFit="1" customWidth="1"/>
    <col min="25" max="25" width="7.5703125" style="26" customWidth="1"/>
    <col min="26" max="26" width="7.28515625" style="28" bestFit="1" customWidth="1"/>
    <col min="27" max="27" width="5.7109375" style="28" bestFit="1" customWidth="1"/>
    <col min="28" max="30" width="4" style="28" bestFit="1" customWidth="1"/>
    <col min="31" max="31" width="5.7109375" style="28" bestFit="1" customWidth="1"/>
    <col min="32" max="32" width="7.5703125" style="26" customWidth="1"/>
    <col min="33" max="33" width="6.7109375" style="28" customWidth="1"/>
    <col min="34" max="34" width="5.7109375" style="28" bestFit="1" customWidth="1"/>
    <col min="35" max="37" width="4" style="28" bestFit="1" customWidth="1"/>
    <col min="38" max="38" width="6.5703125" style="28" bestFit="1" customWidth="1"/>
    <col min="39" max="39" width="7.5703125" style="26" customWidth="1"/>
    <col min="40" max="40" width="6.5703125" style="28" bestFit="1" customWidth="1"/>
    <col min="41" max="41" width="5.7109375" style="28" bestFit="1" customWidth="1"/>
    <col min="42" max="44" width="4" style="28" bestFit="1" customWidth="1"/>
    <col min="45" max="45" width="6.5703125" style="28" bestFit="1" customWidth="1"/>
    <col min="46" max="16384" width="10.7109375" style="7"/>
  </cols>
  <sheetData>
    <row r="1" spans="1:45" s="16" customFormat="1" ht="51" x14ac:dyDescent="0.2">
      <c r="A1" s="17" t="s">
        <v>14</v>
      </c>
      <c r="B1" s="17" t="s">
        <v>42</v>
      </c>
      <c r="C1" s="48" t="s">
        <v>29</v>
      </c>
      <c r="D1" s="17"/>
      <c r="E1" s="22" t="s">
        <v>6</v>
      </c>
      <c r="F1" s="23"/>
      <c r="G1" s="23"/>
      <c r="H1" s="23"/>
      <c r="I1" s="23"/>
      <c r="J1" s="23"/>
      <c r="K1" s="22"/>
      <c r="L1" s="22" t="s">
        <v>1</v>
      </c>
      <c r="M1" s="23"/>
      <c r="N1" s="23"/>
      <c r="O1" s="23"/>
      <c r="P1" s="23"/>
      <c r="Q1" s="23"/>
      <c r="R1" s="22"/>
      <c r="S1" s="22" t="s">
        <v>33</v>
      </c>
      <c r="T1" s="23"/>
      <c r="U1" s="23"/>
      <c r="V1" s="23"/>
      <c r="W1" s="23"/>
      <c r="X1" s="23"/>
      <c r="Y1" s="22"/>
      <c r="Z1" s="23" t="s">
        <v>36</v>
      </c>
      <c r="AA1" s="23"/>
      <c r="AB1" s="23"/>
      <c r="AC1" s="23"/>
      <c r="AD1" s="23"/>
      <c r="AE1" s="23"/>
      <c r="AF1" s="22"/>
      <c r="AG1" s="23" t="s">
        <v>35</v>
      </c>
      <c r="AH1" s="23"/>
      <c r="AI1" s="23"/>
      <c r="AJ1" s="23"/>
      <c r="AK1" s="23"/>
      <c r="AL1" s="23"/>
      <c r="AM1" s="22"/>
      <c r="AN1" s="23" t="s">
        <v>37</v>
      </c>
      <c r="AO1" s="23"/>
      <c r="AP1" s="23"/>
      <c r="AQ1" s="23"/>
      <c r="AR1" s="23"/>
      <c r="AS1" s="23"/>
    </row>
    <row r="2" spans="1:45" x14ac:dyDescent="0.2">
      <c r="B2" s="6">
        <v>1</v>
      </c>
      <c r="C2" s="21">
        <v>0</v>
      </c>
      <c r="E2" s="24">
        <v>0</v>
      </c>
      <c r="F2" s="24">
        <v>1728.55</v>
      </c>
      <c r="G2" s="24">
        <v>0</v>
      </c>
      <c r="H2" s="24">
        <v>134.46</v>
      </c>
      <c r="I2" s="24">
        <v>322.23</v>
      </c>
      <c r="J2" s="25">
        <f>SUM(E2:I2)</f>
        <v>2185.2399999999998</v>
      </c>
      <c r="L2" s="24">
        <v>0</v>
      </c>
      <c r="M2" s="24">
        <v>109.35</v>
      </c>
      <c r="N2" s="27">
        <v>730.99</v>
      </c>
      <c r="O2" s="24">
        <v>119.26</v>
      </c>
      <c r="P2" s="24">
        <v>0</v>
      </c>
      <c r="Q2" s="25">
        <f>SUM(L2:P2)</f>
        <v>959.6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5">
        <f>SUM(S2:W2)</f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5">
        <f>SUM(Z2:AD2)</f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5">
        <f>SUM(AG2:AK2)</f>
        <v>0</v>
      </c>
      <c r="AN2" s="29">
        <f t="shared" ref="AN2:AR6" si="0">AG2+Z2</f>
        <v>0</v>
      </c>
      <c r="AO2" s="29">
        <f t="shared" si="0"/>
        <v>0</v>
      </c>
      <c r="AP2" s="29">
        <f t="shared" si="0"/>
        <v>0</v>
      </c>
      <c r="AQ2" s="29">
        <f t="shared" si="0"/>
        <v>0</v>
      </c>
      <c r="AR2" s="29">
        <f t="shared" si="0"/>
        <v>0</v>
      </c>
      <c r="AS2" s="25">
        <f>SUM(AN2:AR2)</f>
        <v>0</v>
      </c>
    </row>
    <row r="3" spans="1:45" x14ac:dyDescent="0.2">
      <c r="E3" s="24">
        <v>109.35</v>
      </c>
      <c r="F3" s="24">
        <v>0</v>
      </c>
      <c r="G3" s="24">
        <v>289.02</v>
      </c>
      <c r="H3" s="24">
        <v>0</v>
      </c>
      <c r="I3" s="24">
        <v>0</v>
      </c>
      <c r="J3" s="25">
        <f>SUM(E3:I3)</f>
        <v>398.37</v>
      </c>
      <c r="L3" s="24">
        <v>1728.55</v>
      </c>
      <c r="M3" s="24">
        <v>0</v>
      </c>
      <c r="N3" s="24">
        <v>0</v>
      </c>
      <c r="O3" s="24">
        <v>115.69</v>
      </c>
      <c r="P3" s="24">
        <v>0</v>
      </c>
      <c r="Q3" s="25">
        <f t="shared" ref="Q3:Q6" si="1">SUM(L3:P3)</f>
        <v>1844.24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5">
        <f t="shared" ref="X3:X6" si="2">SUM(S3:W3)</f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5">
        <f>SUM(Z3:AD3)</f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5">
        <f t="shared" ref="AL3:AL6" si="3">SUM(AG3:AK3)</f>
        <v>0</v>
      </c>
      <c r="AN3" s="29">
        <f t="shared" si="0"/>
        <v>0</v>
      </c>
      <c r="AO3" s="29">
        <f t="shared" si="0"/>
        <v>0</v>
      </c>
      <c r="AP3" s="29">
        <f t="shared" si="0"/>
        <v>0</v>
      </c>
      <c r="AQ3" s="29">
        <f t="shared" si="0"/>
        <v>0</v>
      </c>
      <c r="AR3" s="29">
        <f t="shared" si="0"/>
        <v>0</v>
      </c>
      <c r="AS3" s="25">
        <f t="shared" ref="AS3:AS6" si="4">SUM(AN3:AR3)</f>
        <v>0</v>
      </c>
    </row>
    <row r="4" spans="1:45" x14ac:dyDescent="0.2">
      <c r="E4" s="27">
        <v>730.99</v>
      </c>
      <c r="F4" s="24">
        <v>0</v>
      </c>
      <c r="G4" s="24">
        <v>0</v>
      </c>
      <c r="H4" s="24">
        <v>0</v>
      </c>
      <c r="I4" s="24">
        <v>0</v>
      </c>
      <c r="J4" s="25">
        <f>SUM(E4:I4)</f>
        <v>730.99</v>
      </c>
      <c r="L4" s="24">
        <v>0</v>
      </c>
      <c r="M4" s="24">
        <v>289.02</v>
      </c>
      <c r="N4" s="24">
        <v>0</v>
      </c>
      <c r="O4" s="24">
        <v>964.32</v>
      </c>
      <c r="P4" s="24">
        <v>0</v>
      </c>
      <c r="Q4" s="25">
        <f t="shared" si="1"/>
        <v>1253.3400000000001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5">
        <f t="shared" si="2"/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5">
        <f>SUM(Z4:AD4)</f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5">
        <f t="shared" si="3"/>
        <v>0</v>
      </c>
      <c r="AN4" s="29">
        <f t="shared" si="0"/>
        <v>0</v>
      </c>
      <c r="AO4" s="29">
        <f t="shared" si="0"/>
        <v>0</v>
      </c>
      <c r="AP4" s="29">
        <f t="shared" si="0"/>
        <v>0</v>
      </c>
      <c r="AQ4" s="29">
        <f t="shared" si="0"/>
        <v>0</v>
      </c>
      <c r="AR4" s="29">
        <f t="shared" si="0"/>
        <v>0</v>
      </c>
      <c r="AS4" s="25">
        <f t="shared" si="4"/>
        <v>0</v>
      </c>
    </row>
    <row r="5" spans="1:45" x14ac:dyDescent="0.2">
      <c r="E5" s="24">
        <v>119.26</v>
      </c>
      <c r="F5" s="24">
        <v>115.69</v>
      </c>
      <c r="G5" s="24">
        <v>964.32</v>
      </c>
      <c r="H5" s="24">
        <v>0</v>
      </c>
      <c r="I5" s="24">
        <v>158.47999999999999</v>
      </c>
      <c r="J5" s="25">
        <f>SUM(E5:I5)</f>
        <v>1357.75</v>
      </c>
      <c r="L5" s="24">
        <v>134.46</v>
      </c>
      <c r="M5" s="24">
        <v>0</v>
      </c>
      <c r="N5" s="24">
        <v>0</v>
      </c>
      <c r="O5" s="24">
        <v>0</v>
      </c>
      <c r="P5" s="24">
        <v>2717.39</v>
      </c>
      <c r="Q5" s="25">
        <f t="shared" si="1"/>
        <v>2851.85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5">
        <f t="shared" si="2"/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5">
        <f>SUM(Z5:AD5)</f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5">
        <f t="shared" si="3"/>
        <v>0</v>
      </c>
      <c r="AN5" s="29">
        <f t="shared" si="0"/>
        <v>0</v>
      </c>
      <c r="AO5" s="29">
        <f t="shared" si="0"/>
        <v>0</v>
      </c>
      <c r="AP5" s="29">
        <f t="shared" si="0"/>
        <v>0</v>
      </c>
      <c r="AQ5" s="29">
        <f t="shared" si="0"/>
        <v>0</v>
      </c>
      <c r="AR5" s="29">
        <f t="shared" si="0"/>
        <v>0</v>
      </c>
      <c r="AS5" s="25">
        <f t="shared" si="4"/>
        <v>0</v>
      </c>
    </row>
    <row r="6" spans="1:45" x14ac:dyDescent="0.2">
      <c r="E6" s="24">
        <v>0</v>
      </c>
      <c r="F6" s="24">
        <v>0</v>
      </c>
      <c r="G6" s="24">
        <v>0</v>
      </c>
      <c r="H6" s="24">
        <v>2717.39</v>
      </c>
      <c r="I6" s="24">
        <v>0</v>
      </c>
      <c r="J6" s="25">
        <f>SUM(E6:I6)</f>
        <v>2717.39</v>
      </c>
      <c r="L6" s="24">
        <v>322.23</v>
      </c>
      <c r="M6" s="24">
        <v>0</v>
      </c>
      <c r="N6" s="24">
        <v>0</v>
      </c>
      <c r="O6" s="24">
        <v>158.47999999999999</v>
      </c>
      <c r="P6" s="24">
        <v>0</v>
      </c>
      <c r="Q6" s="25">
        <f t="shared" si="1"/>
        <v>480.71000000000004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5">
        <f t="shared" si="2"/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5">
        <f>SUM(Z6:AD6)</f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5">
        <f t="shared" si="3"/>
        <v>0</v>
      </c>
      <c r="AN6" s="29">
        <f t="shared" si="0"/>
        <v>0</v>
      </c>
      <c r="AO6" s="29">
        <f t="shared" si="0"/>
        <v>0</v>
      </c>
      <c r="AP6" s="29">
        <f t="shared" si="0"/>
        <v>0</v>
      </c>
      <c r="AQ6" s="29">
        <f t="shared" si="0"/>
        <v>0</v>
      </c>
      <c r="AR6" s="29">
        <f t="shared" si="0"/>
        <v>0</v>
      </c>
      <c r="AS6" s="25">
        <f t="shared" si="4"/>
        <v>0</v>
      </c>
    </row>
    <row r="7" spans="1:45" s="9" customFormat="1" x14ac:dyDescent="0.2">
      <c r="A7" s="12"/>
      <c r="B7" s="12"/>
      <c r="C7" s="49"/>
      <c r="D7" s="12"/>
      <c r="E7" s="25">
        <f t="shared" ref="E7:J7" si="5">SUM(E2:E6)</f>
        <v>959.6</v>
      </c>
      <c r="F7" s="25">
        <f t="shared" si="5"/>
        <v>1844.24</v>
      </c>
      <c r="G7" s="25">
        <f t="shared" si="5"/>
        <v>1253.3400000000001</v>
      </c>
      <c r="H7" s="25">
        <f t="shared" si="5"/>
        <v>2851.85</v>
      </c>
      <c r="I7" s="25">
        <f t="shared" si="5"/>
        <v>480.71000000000004</v>
      </c>
      <c r="J7" s="25">
        <f t="shared" si="5"/>
        <v>7389.74</v>
      </c>
      <c r="K7" s="30"/>
      <c r="L7" s="25">
        <f t="shared" ref="L7:Q7" si="6">SUM(L2:L6)</f>
        <v>2185.2399999999998</v>
      </c>
      <c r="M7" s="25">
        <f t="shared" si="6"/>
        <v>398.37</v>
      </c>
      <c r="N7" s="25">
        <f t="shared" si="6"/>
        <v>730.99</v>
      </c>
      <c r="O7" s="25">
        <f t="shared" si="6"/>
        <v>1357.75</v>
      </c>
      <c r="P7" s="25">
        <f t="shared" si="6"/>
        <v>2717.39</v>
      </c>
      <c r="Q7" s="25">
        <f t="shared" si="6"/>
        <v>7389.7400000000007</v>
      </c>
      <c r="R7" s="30"/>
      <c r="S7" s="25">
        <f t="shared" ref="S7:X7" si="7">SUM(S2:S6)</f>
        <v>0</v>
      </c>
      <c r="T7" s="25">
        <f t="shared" si="7"/>
        <v>0</v>
      </c>
      <c r="U7" s="25">
        <f t="shared" si="7"/>
        <v>0</v>
      </c>
      <c r="V7" s="25">
        <f t="shared" si="7"/>
        <v>0</v>
      </c>
      <c r="W7" s="25">
        <f t="shared" si="7"/>
        <v>0</v>
      </c>
      <c r="X7" s="25">
        <f t="shared" si="7"/>
        <v>0</v>
      </c>
      <c r="Y7" s="30"/>
      <c r="Z7" s="25">
        <f t="shared" ref="Z7:AE7" si="8">SUM(Z2:Z6)</f>
        <v>0</v>
      </c>
      <c r="AA7" s="25">
        <f t="shared" si="8"/>
        <v>0</v>
      </c>
      <c r="AB7" s="25">
        <f t="shared" si="8"/>
        <v>0</v>
      </c>
      <c r="AC7" s="25">
        <f t="shared" si="8"/>
        <v>0</v>
      </c>
      <c r="AD7" s="25">
        <f t="shared" si="8"/>
        <v>0</v>
      </c>
      <c r="AE7" s="25">
        <f t="shared" si="8"/>
        <v>0</v>
      </c>
      <c r="AF7" s="30"/>
      <c r="AG7" s="25">
        <f t="shared" ref="AG7:AL7" si="9">SUM(AG2:AG6)</f>
        <v>0</v>
      </c>
      <c r="AH7" s="25">
        <f t="shared" si="9"/>
        <v>0</v>
      </c>
      <c r="AI7" s="25">
        <f t="shared" si="9"/>
        <v>0</v>
      </c>
      <c r="AJ7" s="25">
        <f t="shared" si="9"/>
        <v>0</v>
      </c>
      <c r="AK7" s="25">
        <f t="shared" si="9"/>
        <v>0</v>
      </c>
      <c r="AL7" s="25">
        <f t="shared" si="9"/>
        <v>0</v>
      </c>
      <c r="AM7" s="30"/>
      <c r="AN7" s="25">
        <f>SUM(AN2:AN6)</f>
        <v>0</v>
      </c>
      <c r="AO7" s="25">
        <f t="shared" ref="AO7:AS7" si="10">SUM(AO2:AO6)</f>
        <v>0</v>
      </c>
      <c r="AP7" s="25">
        <f t="shared" si="10"/>
        <v>0</v>
      </c>
      <c r="AQ7" s="25">
        <f t="shared" si="10"/>
        <v>0</v>
      </c>
      <c r="AR7" s="25">
        <f t="shared" si="10"/>
        <v>0</v>
      </c>
      <c r="AS7" s="25">
        <f t="shared" si="10"/>
        <v>0</v>
      </c>
    </row>
    <row r="8" spans="1:45" s="12" customFormat="1" x14ac:dyDescent="0.2">
      <c r="C8" s="49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</row>
    <row r="9" spans="1:45" x14ac:dyDescent="0.2">
      <c r="B9" s="6">
        <v>1</v>
      </c>
      <c r="C9" s="21" t="s">
        <v>64</v>
      </c>
      <c r="E9" s="24">
        <v>0</v>
      </c>
      <c r="F9" s="24">
        <v>1728.55</v>
      </c>
      <c r="G9" s="24">
        <v>0</v>
      </c>
      <c r="H9" s="24">
        <v>134.46</v>
      </c>
      <c r="I9" s="24">
        <v>322.23</v>
      </c>
      <c r="J9" s="25">
        <f>SUM(E9:I9)</f>
        <v>2185.2399999999998</v>
      </c>
      <c r="L9" s="24">
        <v>0</v>
      </c>
      <c r="M9" s="31">
        <v>70.652000000000001</v>
      </c>
      <c r="N9" s="32">
        <v>472.30200000000002</v>
      </c>
      <c r="O9" s="31">
        <v>77.055000000000007</v>
      </c>
      <c r="P9" s="24">
        <v>0</v>
      </c>
      <c r="Q9" s="25">
        <f>SUM(L9:P9)</f>
        <v>620.00900000000001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5">
        <f>SUM(S9:W9)</f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5">
        <f>SUM(Z9:AD9)</f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5">
        <f>SUM(AG9:AK9)</f>
        <v>0</v>
      </c>
      <c r="AN9" s="29">
        <f t="shared" ref="AN9:AR13" si="11">AG9+Z9</f>
        <v>0</v>
      </c>
      <c r="AO9" s="29">
        <f t="shared" si="11"/>
        <v>0</v>
      </c>
      <c r="AP9" s="29">
        <f t="shared" si="11"/>
        <v>0</v>
      </c>
      <c r="AQ9" s="29">
        <f t="shared" si="11"/>
        <v>0</v>
      </c>
      <c r="AR9" s="29">
        <f t="shared" si="11"/>
        <v>0</v>
      </c>
      <c r="AS9" s="25">
        <f>SUM(AN9:AR9)</f>
        <v>0</v>
      </c>
    </row>
    <row r="10" spans="1:45" x14ac:dyDescent="0.2">
      <c r="E10" s="31">
        <v>70.652000000000001</v>
      </c>
      <c r="F10" s="24">
        <v>0</v>
      </c>
      <c r="G10" s="24">
        <v>289.02</v>
      </c>
      <c r="H10" s="24">
        <v>0</v>
      </c>
      <c r="I10" s="24">
        <v>0</v>
      </c>
      <c r="J10" s="25">
        <f>SUM(E10:I10)</f>
        <v>359.67199999999997</v>
      </c>
      <c r="L10" s="24">
        <v>1728.55</v>
      </c>
      <c r="M10" s="24">
        <v>0</v>
      </c>
      <c r="N10" s="24">
        <v>0</v>
      </c>
      <c r="O10" s="24">
        <v>115.69</v>
      </c>
      <c r="P10" s="24">
        <v>0</v>
      </c>
      <c r="Q10" s="25">
        <f t="shared" ref="Q10:Q13" si="12">SUM(L10:P10)</f>
        <v>1844.24</v>
      </c>
      <c r="S10" s="31">
        <v>38.698</v>
      </c>
      <c r="T10" s="28">
        <v>0</v>
      </c>
      <c r="U10" s="28">
        <v>0</v>
      </c>
      <c r="V10" s="28">
        <v>0</v>
      </c>
      <c r="W10" s="28">
        <v>0</v>
      </c>
      <c r="X10" s="25">
        <f t="shared" ref="X10:X13" si="13">SUM(S10:W10)</f>
        <v>38.698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5">
        <f>SUM(Z10:AD10)</f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5">
        <f t="shared" ref="AL10:AL13" si="14">SUM(AG10:AK10)</f>
        <v>0</v>
      </c>
      <c r="AN10" s="29">
        <f t="shared" si="11"/>
        <v>0</v>
      </c>
      <c r="AO10" s="29">
        <f t="shared" si="11"/>
        <v>0</v>
      </c>
      <c r="AP10" s="29">
        <f t="shared" si="11"/>
        <v>0</v>
      </c>
      <c r="AQ10" s="29">
        <f t="shared" si="11"/>
        <v>0</v>
      </c>
      <c r="AR10" s="29">
        <f t="shared" si="11"/>
        <v>0</v>
      </c>
      <c r="AS10" s="25">
        <f t="shared" ref="AS10:AS13" si="15">SUM(AN10:AR10)</f>
        <v>0</v>
      </c>
    </row>
    <row r="11" spans="1:45" x14ac:dyDescent="0.2">
      <c r="E11" s="32">
        <v>472.30200000000002</v>
      </c>
      <c r="F11" s="24">
        <v>0</v>
      </c>
      <c r="G11" s="24">
        <v>0</v>
      </c>
      <c r="H11" s="24">
        <v>0</v>
      </c>
      <c r="I11" s="24">
        <v>0</v>
      </c>
      <c r="J11" s="25">
        <f>SUM(E11:I11)</f>
        <v>472.30200000000002</v>
      </c>
      <c r="L11" s="24">
        <v>0</v>
      </c>
      <c r="M11" s="24">
        <v>289.02</v>
      </c>
      <c r="N11" s="24">
        <v>0</v>
      </c>
      <c r="O11" s="24">
        <v>964.32</v>
      </c>
      <c r="P11" s="24">
        <v>0</v>
      </c>
      <c r="Q11" s="25">
        <f t="shared" si="12"/>
        <v>1253.3400000000001</v>
      </c>
      <c r="S11" s="31">
        <v>258.68799999999999</v>
      </c>
      <c r="T11" s="28">
        <v>0</v>
      </c>
      <c r="U11" s="28">
        <v>0</v>
      </c>
      <c r="V11" s="28">
        <v>0</v>
      </c>
      <c r="W11" s="28">
        <v>0</v>
      </c>
      <c r="X11" s="25">
        <f t="shared" si="13"/>
        <v>258.68799999999999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5">
        <f>SUM(Z11:AD11)</f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5">
        <f t="shared" si="14"/>
        <v>0</v>
      </c>
      <c r="AN11" s="29">
        <f t="shared" si="11"/>
        <v>0</v>
      </c>
      <c r="AO11" s="29">
        <f t="shared" si="11"/>
        <v>0</v>
      </c>
      <c r="AP11" s="29">
        <f t="shared" si="11"/>
        <v>0</v>
      </c>
      <c r="AQ11" s="29">
        <f t="shared" si="11"/>
        <v>0</v>
      </c>
      <c r="AR11" s="29">
        <f t="shared" si="11"/>
        <v>0</v>
      </c>
      <c r="AS11" s="25">
        <f t="shared" si="15"/>
        <v>0</v>
      </c>
    </row>
    <row r="12" spans="1:45" x14ac:dyDescent="0.2">
      <c r="E12" s="31">
        <v>77.055000000000007</v>
      </c>
      <c r="F12" s="24">
        <v>115.69</v>
      </c>
      <c r="G12" s="24">
        <v>964.32</v>
      </c>
      <c r="H12" s="24">
        <v>0</v>
      </c>
      <c r="I12" s="24">
        <v>158.47999999999999</v>
      </c>
      <c r="J12" s="25">
        <f>SUM(E12:I12)</f>
        <v>1315.5450000000001</v>
      </c>
      <c r="L12" s="24">
        <v>134.46</v>
      </c>
      <c r="M12" s="24">
        <v>0</v>
      </c>
      <c r="N12" s="24">
        <v>0</v>
      </c>
      <c r="O12" s="24">
        <v>0</v>
      </c>
      <c r="P12" s="24">
        <v>2717.39</v>
      </c>
      <c r="Q12" s="25">
        <f t="shared" si="12"/>
        <v>2851.85</v>
      </c>
      <c r="S12" s="31">
        <v>42.204999999999998</v>
      </c>
      <c r="T12" s="28">
        <v>0</v>
      </c>
      <c r="U12" s="28">
        <v>0</v>
      </c>
      <c r="V12" s="28">
        <v>0</v>
      </c>
      <c r="W12" s="28">
        <v>0</v>
      </c>
      <c r="X12" s="25">
        <f t="shared" si="13"/>
        <v>42.204999999999998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5">
        <f>SUM(Z12:AD12)</f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5">
        <f t="shared" si="14"/>
        <v>0</v>
      </c>
      <c r="AN12" s="29">
        <f t="shared" si="11"/>
        <v>0</v>
      </c>
      <c r="AO12" s="29">
        <f t="shared" si="11"/>
        <v>0</v>
      </c>
      <c r="AP12" s="29">
        <f t="shared" si="11"/>
        <v>0</v>
      </c>
      <c r="AQ12" s="29">
        <f t="shared" si="11"/>
        <v>0</v>
      </c>
      <c r="AR12" s="29">
        <f t="shared" si="11"/>
        <v>0</v>
      </c>
      <c r="AS12" s="25">
        <f t="shared" si="15"/>
        <v>0</v>
      </c>
    </row>
    <row r="13" spans="1:45" x14ac:dyDescent="0.2">
      <c r="E13" s="24">
        <v>0</v>
      </c>
      <c r="F13" s="24">
        <v>0</v>
      </c>
      <c r="G13" s="24">
        <v>0</v>
      </c>
      <c r="H13" s="24">
        <v>2717.39</v>
      </c>
      <c r="I13" s="24">
        <v>0</v>
      </c>
      <c r="J13" s="25">
        <f>SUM(E13:I13)</f>
        <v>2717.39</v>
      </c>
      <c r="L13" s="24">
        <v>322.23</v>
      </c>
      <c r="M13" s="24">
        <v>0</v>
      </c>
      <c r="N13" s="24">
        <v>0</v>
      </c>
      <c r="O13" s="24">
        <v>158.47999999999999</v>
      </c>
      <c r="P13" s="24">
        <v>0</v>
      </c>
      <c r="Q13" s="25">
        <f t="shared" si="12"/>
        <v>480.71000000000004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5">
        <f t="shared" si="13"/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5">
        <f>SUM(Z13:AD13)</f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5">
        <f t="shared" si="14"/>
        <v>0</v>
      </c>
      <c r="AN13" s="29">
        <f t="shared" si="11"/>
        <v>0</v>
      </c>
      <c r="AO13" s="29">
        <f t="shared" si="11"/>
        <v>0</v>
      </c>
      <c r="AP13" s="29">
        <f t="shared" si="11"/>
        <v>0</v>
      </c>
      <c r="AQ13" s="29">
        <f t="shared" si="11"/>
        <v>0</v>
      </c>
      <c r="AR13" s="29">
        <f t="shared" si="11"/>
        <v>0</v>
      </c>
      <c r="AS13" s="25">
        <f t="shared" si="15"/>
        <v>0</v>
      </c>
    </row>
    <row r="14" spans="1:45" s="9" customFormat="1" x14ac:dyDescent="0.2">
      <c r="A14" s="12"/>
      <c r="B14" s="12"/>
      <c r="C14" s="49"/>
      <c r="D14" s="12"/>
      <c r="E14" s="25">
        <f t="shared" ref="E14:J14" si="16">SUM(E9:E13)</f>
        <v>620.00900000000001</v>
      </c>
      <c r="F14" s="25">
        <f t="shared" si="16"/>
        <v>1844.24</v>
      </c>
      <c r="G14" s="25">
        <f t="shared" si="16"/>
        <v>1253.3400000000001</v>
      </c>
      <c r="H14" s="25">
        <f t="shared" si="16"/>
        <v>2851.85</v>
      </c>
      <c r="I14" s="25">
        <f t="shared" si="16"/>
        <v>480.71000000000004</v>
      </c>
      <c r="J14" s="25">
        <f t="shared" si="16"/>
        <v>7050.1489999999994</v>
      </c>
      <c r="K14" s="30"/>
      <c r="L14" s="25">
        <f t="shared" ref="L14:Q14" si="17">SUM(L9:L13)</f>
        <v>2185.2399999999998</v>
      </c>
      <c r="M14" s="25">
        <f t="shared" si="17"/>
        <v>359.67199999999997</v>
      </c>
      <c r="N14" s="25">
        <f t="shared" si="17"/>
        <v>472.30200000000002</v>
      </c>
      <c r="O14" s="25">
        <f t="shared" si="17"/>
        <v>1315.5450000000001</v>
      </c>
      <c r="P14" s="25">
        <f t="shared" si="17"/>
        <v>2717.39</v>
      </c>
      <c r="Q14" s="25">
        <f t="shared" si="17"/>
        <v>7050.1490000000003</v>
      </c>
      <c r="R14" s="30"/>
      <c r="S14" s="25">
        <f t="shared" ref="S14:X14" si="18">SUM(S9:S13)</f>
        <v>339.59099999999995</v>
      </c>
      <c r="T14" s="25">
        <f t="shared" si="18"/>
        <v>0</v>
      </c>
      <c r="U14" s="25">
        <f t="shared" si="18"/>
        <v>0</v>
      </c>
      <c r="V14" s="25">
        <f t="shared" si="18"/>
        <v>0</v>
      </c>
      <c r="W14" s="25">
        <f t="shared" si="18"/>
        <v>0</v>
      </c>
      <c r="X14" s="25">
        <f t="shared" si="18"/>
        <v>339.59099999999995</v>
      </c>
      <c r="Y14" s="30"/>
      <c r="Z14" s="25">
        <f t="shared" ref="Z14:AE14" si="19">SUM(Z9:Z13)</f>
        <v>0</v>
      </c>
      <c r="AA14" s="25">
        <f t="shared" si="19"/>
        <v>0</v>
      </c>
      <c r="AB14" s="25">
        <f t="shared" si="19"/>
        <v>0</v>
      </c>
      <c r="AC14" s="25">
        <f t="shared" si="19"/>
        <v>0</v>
      </c>
      <c r="AD14" s="25">
        <f t="shared" si="19"/>
        <v>0</v>
      </c>
      <c r="AE14" s="25">
        <f t="shared" si="19"/>
        <v>0</v>
      </c>
      <c r="AF14" s="30"/>
      <c r="AG14" s="25">
        <f t="shared" ref="AG14:AL14" si="20">SUM(AG9:AG13)</f>
        <v>0</v>
      </c>
      <c r="AH14" s="25">
        <f t="shared" si="20"/>
        <v>0</v>
      </c>
      <c r="AI14" s="25">
        <f t="shared" si="20"/>
        <v>0</v>
      </c>
      <c r="AJ14" s="25">
        <f t="shared" si="20"/>
        <v>0</v>
      </c>
      <c r="AK14" s="25">
        <f t="shared" si="20"/>
        <v>0</v>
      </c>
      <c r="AL14" s="25">
        <f t="shared" si="20"/>
        <v>0</v>
      </c>
      <c r="AM14" s="30"/>
      <c r="AN14" s="25">
        <f>SUM(AN9:AN13)</f>
        <v>0</v>
      </c>
      <c r="AO14" s="25">
        <f t="shared" ref="AO14:AS14" si="21">SUM(AO9:AO13)</f>
        <v>0</v>
      </c>
      <c r="AP14" s="25">
        <f t="shared" si="21"/>
        <v>0</v>
      </c>
      <c r="AQ14" s="25">
        <f t="shared" si="21"/>
        <v>0</v>
      </c>
      <c r="AR14" s="25">
        <f t="shared" si="21"/>
        <v>0</v>
      </c>
      <c r="AS14" s="25">
        <f t="shared" si="21"/>
        <v>0</v>
      </c>
    </row>
    <row r="15" spans="1:45" s="12" customFormat="1" x14ac:dyDescent="0.2">
      <c r="C15" s="49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</row>
    <row r="16" spans="1:45" x14ac:dyDescent="0.2">
      <c r="B16" s="6">
        <v>1</v>
      </c>
      <c r="C16" s="21" t="s">
        <v>66</v>
      </c>
      <c r="E16" s="24">
        <v>0</v>
      </c>
      <c r="F16" s="24">
        <v>1728.55</v>
      </c>
      <c r="G16" s="24">
        <v>0</v>
      </c>
      <c r="H16" s="24">
        <v>134.46</v>
      </c>
      <c r="I16" s="24">
        <v>322.23</v>
      </c>
      <c r="J16" s="25">
        <f>SUM(E16:I16)</f>
        <v>2185.2399999999998</v>
      </c>
      <c r="K16" s="30"/>
      <c r="L16" s="24">
        <v>0</v>
      </c>
      <c r="M16" s="24">
        <v>70.652000000000001</v>
      </c>
      <c r="N16" s="27">
        <v>472.30200000000002</v>
      </c>
      <c r="O16" s="24">
        <v>77.055000000000007</v>
      </c>
      <c r="P16" s="24">
        <v>0</v>
      </c>
      <c r="Q16" s="25">
        <f>SUM(L16:P16)</f>
        <v>620.00900000000001</v>
      </c>
      <c r="R16" s="30"/>
      <c r="S16" s="24">
        <v>0</v>
      </c>
      <c r="T16" s="28">
        <v>0</v>
      </c>
      <c r="U16" s="28">
        <v>0</v>
      </c>
      <c r="V16" s="28">
        <v>0</v>
      </c>
      <c r="W16" s="28">
        <v>0</v>
      </c>
      <c r="X16" s="25">
        <f>SUM(S16:W16)</f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5">
        <f>SUM(Z16:AD16)</f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5">
        <f>SUM(AG16:AK16)</f>
        <v>0</v>
      </c>
      <c r="AN16" s="29">
        <f t="shared" ref="AN16:AR20" si="22">AG16+Z16</f>
        <v>0</v>
      </c>
      <c r="AO16" s="29">
        <f t="shared" si="22"/>
        <v>0</v>
      </c>
      <c r="AP16" s="29">
        <f t="shared" si="22"/>
        <v>0</v>
      </c>
      <c r="AQ16" s="29">
        <f t="shared" si="22"/>
        <v>0</v>
      </c>
      <c r="AR16" s="29">
        <f t="shared" si="22"/>
        <v>0</v>
      </c>
      <c r="AS16" s="25">
        <f>SUM(AN16:AR16)</f>
        <v>0</v>
      </c>
    </row>
    <row r="17" spans="1:45" x14ac:dyDescent="0.2">
      <c r="E17" s="24">
        <v>70.652000000000001</v>
      </c>
      <c r="F17" s="24">
        <v>0</v>
      </c>
      <c r="G17" s="24">
        <v>289.02</v>
      </c>
      <c r="H17" s="24">
        <v>0</v>
      </c>
      <c r="I17" s="24">
        <v>0</v>
      </c>
      <c r="J17" s="25">
        <f>SUM(E17:I17)</f>
        <v>359.67199999999997</v>
      </c>
      <c r="K17" s="30"/>
      <c r="L17" s="24">
        <v>1728.55</v>
      </c>
      <c r="M17" s="24">
        <v>0</v>
      </c>
      <c r="N17" s="24">
        <v>0</v>
      </c>
      <c r="O17" s="24">
        <v>115.69</v>
      </c>
      <c r="P17" s="24">
        <v>0</v>
      </c>
      <c r="Q17" s="25">
        <f t="shared" ref="Q17:Q20" si="23">SUM(L17:P17)</f>
        <v>1844.24</v>
      </c>
      <c r="R17" s="30"/>
      <c r="S17" s="24">
        <v>38.698</v>
      </c>
      <c r="T17" s="28">
        <v>0</v>
      </c>
      <c r="U17" s="28">
        <v>0</v>
      </c>
      <c r="V17" s="28">
        <v>0</v>
      </c>
      <c r="W17" s="28">
        <v>0</v>
      </c>
      <c r="X17" s="25">
        <f t="shared" ref="X17:X20" si="24">SUM(S17:W17)</f>
        <v>38.698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5">
        <f>SUM(Z17:AD17)</f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5">
        <f t="shared" ref="AL17:AL20" si="25">SUM(AG17:AK17)</f>
        <v>0</v>
      </c>
      <c r="AN17" s="29">
        <f t="shared" si="22"/>
        <v>0</v>
      </c>
      <c r="AO17" s="29">
        <f t="shared" si="22"/>
        <v>0</v>
      </c>
      <c r="AP17" s="29">
        <f t="shared" si="22"/>
        <v>0</v>
      </c>
      <c r="AQ17" s="29">
        <f t="shared" si="22"/>
        <v>0</v>
      </c>
      <c r="AR17" s="29">
        <f t="shared" si="22"/>
        <v>0</v>
      </c>
      <c r="AS17" s="25">
        <f t="shared" ref="AS17:AS20" si="26">SUM(AN17:AR17)</f>
        <v>0</v>
      </c>
    </row>
    <row r="18" spans="1:45" x14ac:dyDescent="0.2">
      <c r="E18" s="27">
        <v>472.30200000000002</v>
      </c>
      <c r="F18" s="24">
        <v>0</v>
      </c>
      <c r="G18" s="24">
        <v>0</v>
      </c>
      <c r="H18" s="24">
        <v>0</v>
      </c>
      <c r="I18" s="24">
        <v>0</v>
      </c>
      <c r="J18" s="25">
        <f>SUM(E18:I18)</f>
        <v>472.30200000000002</v>
      </c>
      <c r="K18" s="30"/>
      <c r="L18" s="24">
        <v>0</v>
      </c>
      <c r="M18" s="24">
        <v>289.02</v>
      </c>
      <c r="N18" s="24">
        <v>0</v>
      </c>
      <c r="O18" s="24">
        <v>964.32</v>
      </c>
      <c r="P18" s="24">
        <v>0</v>
      </c>
      <c r="Q18" s="25">
        <f t="shared" si="23"/>
        <v>1253.3400000000001</v>
      </c>
      <c r="R18" s="30"/>
      <c r="S18" s="24">
        <v>258.68799999999999</v>
      </c>
      <c r="T18" s="28">
        <v>0</v>
      </c>
      <c r="U18" s="28">
        <v>0</v>
      </c>
      <c r="V18" s="28">
        <v>0</v>
      </c>
      <c r="W18" s="28">
        <v>0</v>
      </c>
      <c r="X18" s="25">
        <f t="shared" si="24"/>
        <v>258.68799999999999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5">
        <f>SUM(Z18:AD18)</f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5">
        <f t="shared" si="25"/>
        <v>0</v>
      </c>
      <c r="AN18" s="29">
        <f t="shared" si="22"/>
        <v>0</v>
      </c>
      <c r="AO18" s="29">
        <f t="shared" si="22"/>
        <v>0</v>
      </c>
      <c r="AP18" s="29">
        <f t="shared" si="22"/>
        <v>0</v>
      </c>
      <c r="AQ18" s="29">
        <f t="shared" si="22"/>
        <v>0</v>
      </c>
      <c r="AR18" s="29">
        <f t="shared" si="22"/>
        <v>0</v>
      </c>
      <c r="AS18" s="25">
        <f t="shared" si="26"/>
        <v>0</v>
      </c>
    </row>
    <row r="19" spans="1:45" x14ac:dyDescent="0.2">
      <c r="E19" s="24">
        <v>77.055000000000007</v>
      </c>
      <c r="F19" s="24">
        <v>115.69</v>
      </c>
      <c r="G19" s="24">
        <v>964.32</v>
      </c>
      <c r="H19" s="24">
        <v>0</v>
      </c>
      <c r="I19" s="24">
        <v>158.47999999999999</v>
      </c>
      <c r="J19" s="25">
        <f>SUM(E19:I19)</f>
        <v>1315.5450000000001</v>
      </c>
      <c r="K19" s="30"/>
      <c r="L19" s="24">
        <v>134.46</v>
      </c>
      <c r="M19" s="24">
        <v>0</v>
      </c>
      <c r="N19" s="24">
        <v>0</v>
      </c>
      <c r="O19" s="24">
        <v>0</v>
      </c>
      <c r="P19" s="24">
        <v>2717.39</v>
      </c>
      <c r="Q19" s="25">
        <f t="shared" si="23"/>
        <v>2851.85</v>
      </c>
      <c r="R19" s="30"/>
      <c r="S19" s="24">
        <v>42.204999999999998</v>
      </c>
      <c r="T19" s="28">
        <v>0</v>
      </c>
      <c r="U19" s="28">
        <v>0</v>
      </c>
      <c r="V19" s="28">
        <v>0</v>
      </c>
      <c r="W19" s="28">
        <v>0</v>
      </c>
      <c r="X19" s="25">
        <f t="shared" si="24"/>
        <v>42.204999999999998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5">
        <f>SUM(Z19:AD19)</f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5">
        <f t="shared" si="25"/>
        <v>0</v>
      </c>
      <c r="AN19" s="29">
        <f t="shared" si="22"/>
        <v>0</v>
      </c>
      <c r="AO19" s="29">
        <f t="shared" si="22"/>
        <v>0</v>
      </c>
      <c r="AP19" s="29">
        <f t="shared" si="22"/>
        <v>0</v>
      </c>
      <c r="AQ19" s="29">
        <f t="shared" si="22"/>
        <v>0</v>
      </c>
      <c r="AR19" s="29">
        <f t="shared" si="22"/>
        <v>0</v>
      </c>
      <c r="AS19" s="25">
        <f t="shared" si="26"/>
        <v>0</v>
      </c>
    </row>
    <row r="20" spans="1:45" x14ac:dyDescent="0.2">
      <c r="E20" s="24">
        <v>0</v>
      </c>
      <c r="F20" s="24">
        <v>0</v>
      </c>
      <c r="G20" s="24">
        <v>0</v>
      </c>
      <c r="H20" s="24">
        <v>2717.39</v>
      </c>
      <c r="I20" s="24">
        <v>0</v>
      </c>
      <c r="J20" s="25">
        <f>SUM(E20:I20)</f>
        <v>2717.39</v>
      </c>
      <c r="K20" s="30"/>
      <c r="L20" s="24">
        <v>322.23</v>
      </c>
      <c r="M20" s="24">
        <v>0</v>
      </c>
      <c r="N20" s="24">
        <v>0</v>
      </c>
      <c r="O20" s="24">
        <v>158.47999999999999</v>
      </c>
      <c r="P20" s="24">
        <v>0</v>
      </c>
      <c r="Q20" s="25">
        <f t="shared" si="23"/>
        <v>480.71000000000004</v>
      </c>
      <c r="R20" s="30"/>
      <c r="S20" s="24">
        <v>0</v>
      </c>
      <c r="T20" s="28">
        <v>0</v>
      </c>
      <c r="U20" s="28">
        <v>0</v>
      </c>
      <c r="V20" s="28">
        <v>0</v>
      </c>
      <c r="W20" s="28">
        <v>0</v>
      </c>
      <c r="X20" s="25">
        <f t="shared" si="24"/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5">
        <f>SUM(Z20:AD20)</f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5">
        <f t="shared" si="25"/>
        <v>0</v>
      </c>
      <c r="AN20" s="29">
        <f t="shared" si="22"/>
        <v>0</v>
      </c>
      <c r="AO20" s="29">
        <f t="shared" si="22"/>
        <v>0</v>
      </c>
      <c r="AP20" s="29">
        <f t="shared" si="22"/>
        <v>0</v>
      </c>
      <c r="AQ20" s="29">
        <f t="shared" si="22"/>
        <v>0</v>
      </c>
      <c r="AR20" s="29">
        <f t="shared" si="22"/>
        <v>0</v>
      </c>
      <c r="AS20" s="25">
        <f t="shared" si="26"/>
        <v>0</v>
      </c>
    </row>
    <row r="21" spans="1:45" s="9" customFormat="1" x14ac:dyDescent="0.2">
      <c r="A21" s="12"/>
      <c r="B21" s="12"/>
      <c r="C21" s="49"/>
      <c r="D21" s="12"/>
      <c r="E21" s="25">
        <f t="shared" ref="E21:J21" si="27">SUM(E16:E20)</f>
        <v>620.00900000000001</v>
      </c>
      <c r="F21" s="25">
        <f t="shared" si="27"/>
        <v>1844.24</v>
      </c>
      <c r="G21" s="25">
        <f t="shared" si="27"/>
        <v>1253.3400000000001</v>
      </c>
      <c r="H21" s="25">
        <f t="shared" si="27"/>
        <v>2851.85</v>
      </c>
      <c r="I21" s="25">
        <f t="shared" si="27"/>
        <v>480.71000000000004</v>
      </c>
      <c r="J21" s="25">
        <f t="shared" si="27"/>
        <v>7050.1489999999994</v>
      </c>
      <c r="K21" s="30"/>
      <c r="L21" s="25">
        <f t="shared" ref="L21:Q21" si="28">SUM(L16:L20)</f>
        <v>2185.2399999999998</v>
      </c>
      <c r="M21" s="25">
        <f t="shared" si="28"/>
        <v>359.67199999999997</v>
      </c>
      <c r="N21" s="25">
        <f t="shared" si="28"/>
        <v>472.30200000000002</v>
      </c>
      <c r="O21" s="25">
        <f t="shared" si="28"/>
        <v>1315.5450000000001</v>
      </c>
      <c r="P21" s="25">
        <f t="shared" si="28"/>
        <v>2717.39</v>
      </c>
      <c r="Q21" s="25">
        <f t="shared" si="28"/>
        <v>7050.1490000000003</v>
      </c>
      <c r="R21" s="30"/>
      <c r="S21" s="25">
        <f t="shared" ref="S21:X21" si="29">SUM(S16:S20)</f>
        <v>339.59099999999995</v>
      </c>
      <c r="T21" s="25">
        <f t="shared" si="29"/>
        <v>0</v>
      </c>
      <c r="U21" s="25">
        <f t="shared" si="29"/>
        <v>0</v>
      </c>
      <c r="V21" s="25">
        <f t="shared" si="29"/>
        <v>0</v>
      </c>
      <c r="W21" s="25">
        <f t="shared" si="29"/>
        <v>0</v>
      </c>
      <c r="X21" s="25">
        <f t="shared" si="29"/>
        <v>339.59099999999995</v>
      </c>
      <c r="Y21" s="30"/>
      <c r="Z21" s="25">
        <f t="shared" ref="Z21:AE21" si="30">SUM(Z16:Z20)</f>
        <v>0</v>
      </c>
      <c r="AA21" s="25">
        <f t="shared" si="30"/>
        <v>0</v>
      </c>
      <c r="AB21" s="25">
        <f t="shared" si="30"/>
        <v>0</v>
      </c>
      <c r="AC21" s="25">
        <f t="shared" si="30"/>
        <v>0</v>
      </c>
      <c r="AD21" s="25">
        <f t="shared" si="30"/>
        <v>0</v>
      </c>
      <c r="AE21" s="25">
        <f t="shared" si="30"/>
        <v>0</v>
      </c>
      <c r="AF21" s="30"/>
      <c r="AG21" s="25">
        <f t="shared" ref="AG21:AL21" si="31">SUM(AG16:AG20)</f>
        <v>0</v>
      </c>
      <c r="AH21" s="25">
        <f t="shared" si="31"/>
        <v>0</v>
      </c>
      <c r="AI21" s="25">
        <f t="shared" si="31"/>
        <v>0</v>
      </c>
      <c r="AJ21" s="25">
        <f t="shared" si="31"/>
        <v>0</v>
      </c>
      <c r="AK21" s="25">
        <f t="shared" si="31"/>
        <v>0</v>
      </c>
      <c r="AL21" s="25">
        <f t="shared" si="31"/>
        <v>0</v>
      </c>
      <c r="AM21" s="30"/>
      <c r="AN21" s="25">
        <f>SUM(AN16:AN20)</f>
        <v>0</v>
      </c>
      <c r="AO21" s="25">
        <f t="shared" ref="AO21:AS21" si="32">SUM(AO16:AO20)</f>
        <v>0</v>
      </c>
      <c r="AP21" s="25">
        <f t="shared" si="32"/>
        <v>0</v>
      </c>
      <c r="AQ21" s="25">
        <f t="shared" si="32"/>
        <v>0</v>
      </c>
      <c r="AR21" s="25">
        <f t="shared" si="32"/>
        <v>0</v>
      </c>
      <c r="AS21" s="25">
        <f t="shared" si="32"/>
        <v>0</v>
      </c>
    </row>
    <row r="22" spans="1:45" s="12" customFormat="1" x14ac:dyDescent="0.2">
      <c r="C22" s="4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</row>
    <row r="23" spans="1:45" x14ac:dyDescent="0.2">
      <c r="B23" s="6">
        <v>1</v>
      </c>
      <c r="C23" s="21" t="s">
        <v>70</v>
      </c>
      <c r="E23" s="24">
        <v>0</v>
      </c>
      <c r="F23" s="33">
        <v>0</v>
      </c>
      <c r="G23" s="24">
        <v>0</v>
      </c>
      <c r="H23" s="33">
        <v>0</v>
      </c>
      <c r="I23" s="33">
        <v>0</v>
      </c>
      <c r="J23" s="25">
        <f>SUM(E23:I23)</f>
        <v>0</v>
      </c>
      <c r="L23" s="24">
        <v>0</v>
      </c>
      <c r="M23" s="24">
        <v>70.652000000000001</v>
      </c>
      <c r="N23" s="27">
        <v>472.30200000000002</v>
      </c>
      <c r="O23" s="24">
        <v>77.055000000000007</v>
      </c>
      <c r="P23" s="24">
        <v>0</v>
      </c>
      <c r="Q23" s="25">
        <f>SUM(L23:P23)</f>
        <v>620.00900000000001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5">
        <f>SUM(S23:W23)</f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5">
        <f>SUM(Z23:AD23)</f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5">
        <f>SUM(AG23:AK23)</f>
        <v>0</v>
      </c>
      <c r="AN23" s="29">
        <f t="shared" ref="AN23:AR27" si="33">AG23+Z23</f>
        <v>0</v>
      </c>
      <c r="AO23" s="29">
        <f t="shared" si="33"/>
        <v>0</v>
      </c>
      <c r="AP23" s="29">
        <f t="shared" si="33"/>
        <v>0</v>
      </c>
      <c r="AQ23" s="29">
        <f t="shared" si="33"/>
        <v>0</v>
      </c>
      <c r="AR23" s="29">
        <f t="shared" si="33"/>
        <v>0</v>
      </c>
      <c r="AS23" s="25">
        <f>SUM(AN23:AR23)</f>
        <v>0</v>
      </c>
    </row>
    <row r="24" spans="1:45" x14ac:dyDescent="0.2">
      <c r="E24" s="24">
        <v>70.652000000000001</v>
      </c>
      <c r="F24" s="24">
        <v>0</v>
      </c>
      <c r="G24" s="24">
        <v>289.02</v>
      </c>
      <c r="H24" s="24">
        <v>0</v>
      </c>
      <c r="I24" s="24">
        <v>0</v>
      </c>
      <c r="J24" s="25">
        <f>SUM(E24:I24)</f>
        <v>359.67199999999997</v>
      </c>
      <c r="L24" s="33">
        <v>0</v>
      </c>
      <c r="M24" s="24">
        <v>0</v>
      </c>
      <c r="N24" s="24">
        <v>0</v>
      </c>
      <c r="O24" s="24">
        <v>115.69</v>
      </c>
      <c r="P24" s="24">
        <v>0</v>
      </c>
      <c r="Q24" s="25">
        <f t="shared" ref="Q24:Q27" si="34">SUM(L24:P24)</f>
        <v>115.69</v>
      </c>
      <c r="S24" s="24">
        <v>38.698</v>
      </c>
      <c r="T24" s="28">
        <v>0</v>
      </c>
      <c r="U24" s="28">
        <v>0</v>
      </c>
      <c r="V24" s="28">
        <v>0</v>
      </c>
      <c r="W24" s="28">
        <v>0</v>
      </c>
      <c r="X24" s="25">
        <f t="shared" ref="X24:X27" si="35">SUM(S24:W24)</f>
        <v>38.698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5">
        <f>SUM(Z24:AD24)</f>
        <v>0</v>
      </c>
      <c r="AG24" s="33">
        <v>1728.55</v>
      </c>
      <c r="AH24" s="28">
        <v>0</v>
      </c>
      <c r="AI24" s="28">
        <v>0</v>
      </c>
      <c r="AJ24" s="28">
        <v>0</v>
      </c>
      <c r="AK24" s="28">
        <v>0</v>
      </c>
      <c r="AL24" s="25">
        <f t="shared" ref="AL24:AL27" si="36">SUM(AG24:AK24)</f>
        <v>1728.55</v>
      </c>
      <c r="AN24" s="29">
        <f t="shared" si="33"/>
        <v>1728.55</v>
      </c>
      <c r="AO24" s="29">
        <f t="shared" si="33"/>
        <v>0</v>
      </c>
      <c r="AP24" s="29">
        <f t="shared" si="33"/>
        <v>0</v>
      </c>
      <c r="AQ24" s="29">
        <f t="shared" si="33"/>
        <v>0</v>
      </c>
      <c r="AR24" s="29">
        <f t="shared" si="33"/>
        <v>0</v>
      </c>
      <c r="AS24" s="25">
        <f t="shared" ref="AS24:AS27" si="37">SUM(AN24:AR24)</f>
        <v>1728.55</v>
      </c>
    </row>
    <row r="25" spans="1:45" x14ac:dyDescent="0.2">
      <c r="E25" s="27">
        <v>472.30200000000002</v>
      </c>
      <c r="F25" s="24">
        <v>0</v>
      </c>
      <c r="G25" s="24">
        <v>0</v>
      </c>
      <c r="H25" s="24">
        <v>0</v>
      </c>
      <c r="I25" s="24">
        <v>0</v>
      </c>
      <c r="J25" s="25">
        <f>SUM(E25:I25)</f>
        <v>472.30200000000002</v>
      </c>
      <c r="L25" s="24">
        <v>0</v>
      </c>
      <c r="M25" s="24">
        <v>289.02</v>
      </c>
      <c r="N25" s="24">
        <v>0</v>
      </c>
      <c r="O25" s="24">
        <v>964.32</v>
      </c>
      <c r="P25" s="24">
        <v>0</v>
      </c>
      <c r="Q25" s="25">
        <f t="shared" si="34"/>
        <v>1253.3400000000001</v>
      </c>
      <c r="S25" s="24">
        <v>258.68799999999999</v>
      </c>
      <c r="T25" s="28">
        <v>0</v>
      </c>
      <c r="U25" s="28">
        <v>0</v>
      </c>
      <c r="V25" s="28">
        <v>0</v>
      </c>
      <c r="W25" s="28">
        <v>0</v>
      </c>
      <c r="X25" s="25">
        <f t="shared" si="35"/>
        <v>258.68799999999999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5">
        <f>SUM(Z25:AD25)</f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5">
        <f t="shared" si="36"/>
        <v>0</v>
      </c>
      <c r="AN25" s="29">
        <f t="shared" si="33"/>
        <v>0</v>
      </c>
      <c r="AO25" s="29">
        <f t="shared" si="33"/>
        <v>0</v>
      </c>
      <c r="AP25" s="29">
        <f t="shared" si="33"/>
        <v>0</v>
      </c>
      <c r="AQ25" s="29">
        <f t="shared" si="33"/>
        <v>0</v>
      </c>
      <c r="AR25" s="29">
        <f t="shared" si="33"/>
        <v>0</v>
      </c>
      <c r="AS25" s="25">
        <f t="shared" si="37"/>
        <v>0</v>
      </c>
    </row>
    <row r="26" spans="1:45" x14ac:dyDescent="0.2">
      <c r="E26" s="24">
        <v>77.055000000000007</v>
      </c>
      <c r="F26" s="24">
        <v>115.69</v>
      </c>
      <c r="G26" s="24">
        <v>964.32</v>
      </c>
      <c r="H26" s="24">
        <v>0</v>
      </c>
      <c r="I26" s="24">
        <v>158.47999999999999</v>
      </c>
      <c r="J26" s="25">
        <f>SUM(E26:I26)</f>
        <v>1315.5450000000001</v>
      </c>
      <c r="L26" s="33">
        <v>0</v>
      </c>
      <c r="M26" s="24">
        <v>0</v>
      </c>
      <c r="N26" s="24">
        <v>0</v>
      </c>
      <c r="O26" s="24">
        <v>0</v>
      </c>
      <c r="P26" s="24">
        <v>2717.39</v>
      </c>
      <c r="Q26" s="25">
        <f t="shared" si="34"/>
        <v>2717.39</v>
      </c>
      <c r="S26" s="24">
        <v>42.204999999999998</v>
      </c>
      <c r="T26" s="28">
        <v>0</v>
      </c>
      <c r="U26" s="28">
        <v>0</v>
      </c>
      <c r="V26" s="28">
        <v>0</v>
      </c>
      <c r="W26" s="28">
        <v>0</v>
      </c>
      <c r="X26" s="25">
        <f t="shared" si="35"/>
        <v>42.204999999999998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5">
        <f>SUM(Z26:AD26)</f>
        <v>0</v>
      </c>
      <c r="AG26" s="33">
        <v>134.46</v>
      </c>
      <c r="AH26" s="28">
        <v>0</v>
      </c>
      <c r="AI26" s="28">
        <v>0</v>
      </c>
      <c r="AJ26" s="28">
        <v>0</v>
      </c>
      <c r="AK26" s="28">
        <v>0</v>
      </c>
      <c r="AL26" s="25">
        <f t="shared" si="36"/>
        <v>134.46</v>
      </c>
      <c r="AN26" s="29">
        <f t="shared" si="33"/>
        <v>134.46</v>
      </c>
      <c r="AO26" s="29">
        <f t="shared" si="33"/>
        <v>0</v>
      </c>
      <c r="AP26" s="29">
        <f t="shared" si="33"/>
        <v>0</v>
      </c>
      <c r="AQ26" s="29">
        <f t="shared" si="33"/>
        <v>0</v>
      </c>
      <c r="AR26" s="29">
        <f t="shared" si="33"/>
        <v>0</v>
      </c>
      <c r="AS26" s="25">
        <f t="shared" si="37"/>
        <v>134.46</v>
      </c>
    </row>
    <row r="27" spans="1:45" x14ac:dyDescent="0.2">
      <c r="E27" s="24">
        <v>0</v>
      </c>
      <c r="F27" s="24">
        <v>0</v>
      </c>
      <c r="G27" s="24">
        <v>0</v>
      </c>
      <c r="H27" s="24">
        <v>2717.39</v>
      </c>
      <c r="I27" s="24">
        <v>0</v>
      </c>
      <c r="J27" s="25">
        <f>SUM(E27:I27)</f>
        <v>2717.39</v>
      </c>
      <c r="L27" s="33">
        <v>0</v>
      </c>
      <c r="M27" s="24">
        <v>0</v>
      </c>
      <c r="N27" s="24">
        <v>0</v>
      </c>
      <c r="O27" s="24">
        <v>158.47999999999999</v>
      </c>
      <c r="P27" s="24">
        <v>0</v>
      </c>
      <c r="Q27" s="25">
        <f t="shared" si="34"/>
        <v>158.47999999999999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5">
        <f t="shared" si="35"/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5">
        <f>SUM(Z27:AD27)</f>
        <v>0</v>
      </c>
      <c r="AG27" s="33">
        <v>322.23</v>
      </c>
      <c r="AH27" s="28">
        <v>0</v>
      </c>
      <c r="AI27" s="28">
        <v>0</v>
      </c>
      <c r="AJ27" s="28">
        <v>0</v>
      </c>
      <c r="AK27" s="28">
        <v>0</v>
      </c>
      <c r="AL27" s="25">
        <f t="shared" si="36"/>
        <v>322.23</v>
      </c>
      <c r="AN27" s="29">
        <f t="shared" si="33"/>
        <v>322.23</v>
      </c>
      <c r="AO27" s="29">
        <f t="shared" si="33"/>
        <v>0</v>
      </c>
      <c r="AP27" s="29">
        <f t="shared" si="33"/>
        <v>0</v>
      </c>
      <c r="AQ27" s="29">
        <f t="shared" si="33"/>
        <v>0</v>
      </c>
      <c r="AR27" s="29">
        <f t="shared" si="33"/>
        <v>0</v>
      </c>
      <c r="AS27" s="25">
        <f t="shared" si="37"/>
        <v>322.23</v>
      </c>
    </row>
    <row r="28" spans="1:45" s="9" customFormat="1" x14ac:dyDescent="0.2">
      <c r="A28" s="12"/>
      <c r="B28" s="12"/>
      <c r="C28" s="49"/>
      <c r="D28" s="12"/>
      <c r="E28" s="25">
        <f t="shared" ref="E28:J28" si="38">SUM(E23:E27)</f>
        <v>620.00900000000001</v>
      </c>
      <c r="F28" s="25">
        <f t="shared" si="38"/>
        <v>115.69</v>
      </c>
      <c r="G28" s="25">
        <f t="shared" si="38"/>
        <v>1253.3400000000001</v>
      </c>
      <c r="H28" s="25">
        <f t="shared" si="38"/>
        <v>2717.39</v>
      </c>
      <c r="I28" s="25">
        <f t="shared" si="38"/>
        <v>158.47999999999999</v>
      </c>
      <c r="J28" s="25">
        <f t="shared" si="38"/>
        <v>4864.9089999999997</v>
      </c>
      <c r="K28" s="30"/>
      <c r="L28" s="25">
        <f t="shared" ref="L28:Q28" si="39">SUM(L23:L27)</f>
        <v>0</v>
      </c>
      <c r="M28" s="25">
        <f t="shared" si="39"/>
        <v>359.67199999999997</v>
      </c>
      <c r="N28" s="25">
        <f t="shared" si="39"/>
        <v>472.30200000000002</v>
      </c>
      <c r="O28" s="25">
        <f t="shared" si="39"/>
        <v>1315.5450000000001</v>
      </c>
      <c r="P28" s="25">
        <f t="shared" si="39"/>
        <v>2717.39</v>
      </c>
      <c r="Q28" s="25">
        <f t="shared" si="39"/>
        <v>4864.9089999999997</v>
      </c>
      <c r="R28" s="30"/>
      <c r="S28" s="25">
        <f t="shared" ref="S28:X28" si="40">SUM(S23:S27)</f>
        <v>339.59099999999995</v>
      </c>
      <c r="T28" s="25">
        <f t="shared" si="40"/>
        <v>0</v>
      </c>
      <c r="U28" s="25">
        <f t="shared" si="40"/>
        <v>0</v>
      </c>
      <c r="V28" s="25">
        <f t="shared" si="40"/>
        <v>0</v>
      </c>
      <c r="W28" s="25">
        <f t="shared" si="40"/>
        <v>0</v>
      </c>
      <c r="X28" s="25">
        <f t="shared" si="40"/>
        <v>339.59099999999995</v>
      </c>
      <c r="Y28" s="30"/>
      <c r="Z28" s="25">
        <f t="shared" ref="Z28:AE28" si="41">SUM(Z23:Z27)</f>
        <v>0</v>
      </c>
      <c r="AA28" s="25">
        <f t="shared" si="41"/>
        <v>0</v>
      </c>
      <c r="AB28" s="25">
        <f t="shared" si="41"/>
        <v>0</v>
      </c>
      <c r="AC28" s="25">
        <f t="shared" si="41"/>
        <v>0</v>
      </c>
      <c r="AD28" s="25">
        <f t="shared" si="41"/>
        <v>0</v>
      </c>
      <c r="AE28" s="25">
        <f t="shared" si="41"/>
        <v>0</v>
      </c>
      <c r="AF28" s="30"/>
      <c r="AG28" s="25">
        <f>SUM(AG23:AG27)</f>
        <v>2185.2399999999998</v>
      </c>
      <c r="AH28" s="25">
        <f t="shared" ref="AH28:AK28" si="42">SUM(AH23:AH27)</f>
        <v>0</v>
      </c>
      <c r="AI28" s="25">
        <f t="shared" si="42"/>
        <v>0</v>
      </c>
      <c r="AJ28" s="25">
        <f t="shared" si="42"/>
        <v>0</v>
      </c>
      <c r="AK28" s="25">
        <f t="shared" si="42"/>
        <v>0</v>
      </c>
      <c r="AL28" s="25">
        <f>SUM(AL23:AL27)</f>
        <v>2185.2399999999998</v>
      </c>
      <c r="AM28" s="30"/>
      <c r="AN28" s="25">
        <f>SUM(AN23:AN27)</f>
        <v>2185.2399999999998</v>
      </c>
      <c r="AO28" s="25">
        <f t="shared" ref="AO28:AS28" si="43">SUM(AO23:AO27)</f>
        <v>0</v>
      </c>
      <c r="AP28" s="25">
        <f t="shared" si="43"/>
        <v>0</v>
      </c>
      <c r="AQ28" s="25">
        <f t="shared" si="43"/>
        <v>0</v>
      </c>
      <c r="AR28" s="25">
        <f t="shared" si="43"/>
        <v>0</v>
      </c>
      <c r="AS28" s="25">
        <f t="shared" si="43"/>
        <v>2185.2399999999998</v>
      </c>
    </row>
    <row r="29" spans="1:45" s="12" customFormat="1" x14ac:dyDescent="0.2">
      <c r="C29" s="4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</row>
    <row r="30" spans="1:45" x14ac:dyDescent="0.2">
      <c r="B30" s="6">
        <v>1</v>
      </c>
      <c r="C30" s="21" t="s">
        <v>73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5">
        <f>SUM(E30:I30)</f>
        <v>0</v>
      </c>
      <c r="L30" s="24">
        <v>0</v>
      </c>
      <c r="M30" s="34">
        <v>0</v>
      </c>
      <c r="N30" s="35">
        <v>0</v>
      </c>
      <c r="O30" s="34">
        <v>0</v>
      </c>
      <c r="P30" s="24">
        <v>0</v>
      </c>
      <c r="Q30" s="25">
        <f>SUM(L30:P30)</f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5">
        <f>SUM(S30:W30)</f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5">
        <f>SUM(Z30:AD30)</f>
        <v>0</v>
      </c>
      <c r="AG30" s="24">
        <v>0</v>
      </c>
      <c r="AH30" s="28">
        <v>0</v>
      </c>
      <c r="AI30" s="28">
        <v>0</v>
      </c>
      <c r="AJ30" s="28">
        <v>0</v>
      </c>
      <c r="AK30" s="28">
        <v>0</v>
      </c>
      <c r="AL30" s="25">
        <f>SUM(AG30:AK30)</f>
        <v>0</v>
      </c>
      <c r="AN30" s="29">
        <f t="shared" ref="AN30:AR34" si="44">AG30+Z30</f>
        <v>0</v>
      </c>
      <c r="AO30" s="29">
        <f t="shared" si="44"/>
        <v>0</v>
      </c>
      <c r="AP30" s="29">
        <f t="shared" si="44"/>
        <v>0</v>
      </c>
      <c r="AQ30" s="29">
        <f t="shared" si="44"/>
        <v>0</v>
      </c>
      <c r="AR30" s="29">
        <f t="shared" si="44"/>
        <v>0</v>
      </c>
      <c r="AS30" s="25">
        <f>SUM(AN30:AR30)</f>
        <v>0</v>
      </c>
    </row>
    <row r="31" spans="1:45" x14ac:dyDescent="0.2">
      <c r="E31" s="34">
        <v>0</v>
      </c>
      <c r="F31" s="24">
        <v>0</v>
      </c>
      <c r="G31" s="24">
        <v>289.02</v>
      </c>
      <c r="H31" s="24">
        <v>0</v>
      </c>
      <c r="I31" s="24">
        <v>0</v>
      </c>
      <c r="J31" s="25">
        <f>SUM(E31:I31)</f>
        <v>289.02</v>
      </c>
      <c r="L31" s="24">
        <v>0</v>
      </c>
      <c r="M31" s="24">
        <v>0</v>
      </c>
      <c r="N31" s="24">
        <v>0</v>
      </c>
      <c r="O31" s="24">
        <v>115.69</v>
      </c>
      <c r="P31" s="24">
        <v>0</v>
      </c>
      <c r="Q31" s="25">
        <f t="shared" ref="Q31:Q34" si="45">SUM(L31:P31)</f>
        <v>115.69</v>
      </c>
      <c r="S31" s="24">
        <v>38.698</v>
      </c>
      <c r="T31" s="28">
        <v>0</v>
      </c>
      <c r="U31" s="28">
        <v>0</v>
      </c>
      <c r="V31" s="28">
        <v>0</v>
      </c>
      <c r="W31" s="28">
        <v>0</v>
      </c>
      <c r="X31" s="25">
        <f t="shared" ref="X31:X34" si="46">SUM(S31:W31)</f>
        <v>38.698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5">
        <f>SUM(Z31:AD31)</f>
        <v>0</v>
      </c>
      <c r="AG31" s="24">
        <v>1728.55</v>
      </c>
      <c r="AH31" s="28">
        <v>0</v>
      </c>
      <c r="AI31" s="28">
        <v>0</v>
      </c>
      <c r="AJ31" s="28">
        <v>0</v>
      </c>
      <c r="AK31" s="28">
        <v>0</v>
      </c>
      <c r="AL31" s="25">
        <f t="shared" ref="AL31:AL34" si="47">SUM(AG31:AK31)</f>
        <v>1728.55</v>
      </c>
      <c r="AN31" s="29">
        <f t="shared" si="44"/>
        <v>1728.55</v>
      </c>
      <c r="AO31" s="29">
        <f t="shared" si="44"/>
        <v>0</v>
      </c>
      <c r="AP31" s="29">
        <f t="shared" si="44"/>
        <v>0</v>
      </c>
      <c r="AQ31" s="29">
        <f t="shared" si="44"/>
        <v>0</v>
      </c>
      <c r="AR31" s="29">
        <f t="shared" si="44"/>
        <v>0</v>
      </c>
      <c r="AS31" s="25">
        <f t="shared" ref="AS31:AS34" si="48">SUM(AN31:AR31)</f>
        <v>1728.55</v>
      </c>
    </row>
    <row r="32" spans="1:45" x14ac:dyDescent="0.2">
      <c r="E32" s="35">
        <v>0</v>
      </c>
      <c r="F32" s="24">
        <v>0</v>
      </c>
      <c r="G32" s="24">
        <v>0</v>
      </c>
      <c r="H32" s="24">
        <v>0</v>
      </c>
      <c r="I32" s="24">
        <v>0</v>
      </c>
      <c r="J32" s="25">
        <f>SUM(E32:I32)</f>
        <v>0</v>
      </c>
      <c r="L32" s="24">
        <v>0</v>
      </c>
      <c r="M32" s="24">
        <v>289.02</v>
      </c>
      <c r="N32" s="24">
        <v>0</v>
      </c>
      <c r="O32" s="24">
        <v>964.32</v>
      </c>
      <c r="P32" s="24">
        <v>0</v>
      </c>
      <c r="Q32" s="25">
        <f t="shared" si="45"/>
        <v>1253.3400000000001</v>
      </c>
      <c r="S32" s="24">
        <v>258.68799999999999</v>
      </c>
      <c r="T32" s="28">
        <v>0</v>
      </c>
      <c r="U32" s="28">
        <v>0</v>
      </c>
      <c r="V32" s="28">
        <v>0</v>
      </c>
      <c r="W32" s="28">
        <v>0</v>
      </c>
      <c r="X32" s="25">
        <f t="shared" si="46"/>
        <v>258.68799999999999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5">
        <f>SUM(Z32:AD32)</f>
        <v>0</v>
      </c>
      <c r="AG32" s="24">
        <v>0</v>
      </c>
      <c r="AH32" s="28">
        <v>0</v>
      </c>
      <c r="AI32" s="28">
        <v>0</v>
      </c>
      <c r="AJ32" s="28">
        <v>0</v>
      </c>
      <c r="AK32" s="28">
        <v>0</v>
      </c>
      <c r="AL32" s="25">
        <f t="shared" si="47"/>
        <v>0</v>
      </c>
      <c r="AN32" s="29">
        <f t="shared" si="44"/>
        <v>0</v>
      </c>
      <c r="AO32" s="29">
        <f t="shared" si="44"/>
        <v>0</v>
      </c>
      <c r="AP32" s="29">
        <f t="shared" si="44"/>
        <v>0</v>
      </c>
      <c r="AQ32" s="29">
        <f t="shared" si="44"/>
        <v>0</v>
      </c>
      <c r="AR32" s="29">
        <f t="shared" si="44"/>
        <v>0</v>
      </c>
      <c r="AS32" s="25">
        <f t="shared" si="48"/>
        <v>0</v>
      </c>
    </row>
    <row r="33" spans="1:45" x14ac:dyDescent="0.2">
      <c r="E33" s="34">
        <v>0</v>
      </c>
      <c r="F33" s="24">
        <v>115.69</v>
      </c>
      <c r="G33" s="24">
        <v>964.32</v>
      </c>
      <c r="H33" s="24">
        <v>0</v>
      </c>
      <c r="I33" s="24">
        <v>158.47999999999999</v>
      </c>
      <c r="J33" s="25">
        <f>SUM(E33:I33)</f>
        <v>1238.49</v>
      </c>
      <c r="L33" s="24">
        <v>0</v>
      </c>
      <c r="M33" s="24">
        <v>0</v>
      </c>
      <c r="N33" s="24">
        <v>0</v>
      </c>
      <c r="O33" s="24">
        <v>0</v>
      </c>
      <c r="P33" s="24">
        <v>2717.39</v>
      </c>
      <c r="Q33" s="25">
        <f t="shared" si="45"/>
        <v>2717.39</v>
      </c>
      <c r="S33" s="24">
        <v>42.204999999999998</v>
      </c>
      <c r="T33" s="28">
        <v>0</v>
      </c>
      <c r="U33" s="28">
        <v>0</v>
      </c>
      <c r="V33" s="28">
        <v>0</v>
      </c>
      <c r="W33" s="28">
        <v>0</v>
      </c>
      <c r="X33" s="25">
        <f t="shared" si="46"/>
        <v>42.204999999999998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5">
        <f>SUM(Z33:AD33)</f>
        <v>0</v>
      </c>
      <c r="AG33" s="24">
        <v>134.46</v>
      </c>
      <c r="AH33" s="28">
        <v>0</v>
      </c>
      <c r="AI33" s="28">
        <v>0</v>
      </c>
      <c r="AJ33" s="28">
        <v>0</v>
      </c>
      <c r="AK33" s="28">
        <v>0</v>
      </c>
      <c r="AL33" s="25">
        <f t="shared" si="47"/>
        <v>134.46</v>
      </c>
      <c r="AN33" s="29">
        <f t="shared" si="44"/>
        <v>134.46</v>
      </c>
      <c r="AO33" s="29">
        <f t="shared" si="44"/>
        <v>0</v>
      </c>
      <c r="AP33" s="29">
        <f t="shared" si="44"/>
        <v>0</v>
      </c>
      <c r="AQ33" s="29">
        <f t="shared" si="44"/>
        <v>0</v>
      </c>
      <c r="AR33" s="29">
        <f t="shared" si="44"/>
        <v>0</v>
      </c>
      <c r="AS33" s="25">
        <f t="shared" si="48"/>
        <v>134.46</v>
      </c>
    </row>
    <row r="34" spans="1:45" x14ac:dyDescent="0.2">
      <c r="E34" s="24">
        <v>0</v>
      </c>
      <c r="F34" s="24">
        <v>0</v>
      </c>
      <c r="G34" s="24">
        <v>0</v>
      </c>
      <c r="H34" s="24">
        <v>2717.39</v>
      </c>
      <c r="I34" s="24">
        <v>0</v>
      </c>
      <c r="J34" s="25">
        <f>SUM(E34:I34)</f>
        <v>2717.39</v>
      </c>
      <c r="L34" s="24">
        <v>0</v>
      </c>
      <c r="M34" s="24">
        <v>0</v>
      </c>
      <c r="N34" s="24">
        <v>0</v>
      </c>
      <c r="O34" s="24">
        <v>158.47999999999999</v>
      </c>
      <c r="P34" s="24">
        <v>0</v>
      </c>
      <c r="Q34" s="25">
        <f t="shared" si="45"/>
        <v>158.47999999999999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5">
        <f t="shared" si="46"/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5">
        <f>SUM(Z34:AD34)</f>
        <v>0</v>
      </c>
      <c r="AG34" s="24">
        <v>322.23</v>
      </c>
      <c r="AH34" s="28">
        <v>0</v>
      </c>
      <c r="AI34" s="28">
        <v>0</v>
      </c>
      <c r="AJ34" s="28">
        <v>0</v>
      </c>
      <c r="AK34" s="28">
        <v>0</v>
      </c>
      <c r="AL34" s="25">
        <f t="shared" si="47"/>
        <v>322.23</v>
      </c>
      <c r="AN34" s="29">
        <f t="shared" si="44"/>
        <v>322.23</v>
      </c>
      <c r="AO34" s="29">
        <f t="shared" si="44"/>
        <v>0</v>
      </c>
      <c r="AP34" s="29">
        <f t="shared" si="44"/>
        <v>0</v>
      </c>
      <c r="AQ34" s="29">
        <f t="shared" si="44"/>
        <v>0</v>
      </c>
      <c r="AR34" s="29">
        <f t="shared" si="44"/>
        <v>0</v>
      </c>
      <c r="AS34" s="25">
        <f t="shared" si="48"/>
        <v>322.23</v>
      </c>
    </row>
    <row r="35" spans="1:45" s="9" customFormat="1" x14ac:dyDescent="0.2">
      <c r="A35" s="12"/>
      <c r="B35" s="12"/>
      <c r="C35" s="49"/>
      <c r="D35" s="12"/>
      <c r="E35" s="25">
        <f t="shared" ref="E35:J35" si="49">SUM(E30:E34)</f>
        <v>0</v>
      </c>
      <c r="F35" s="25">
        <f t="shared" si="49"/>
        <v>115.69</v>
      </c>
      <c r="G35" s="25">
        <f t="shared" si="49"/>
        <v>1253.3400000000001</v>
      </c>
      <c r="H35" s="25">
        <f t="shared" si="49"/>
        <v>2717.39</v>
      </c>
      <c r="I35" s="25">
        <f t="shared" si="49"/>
        <v>158.47999999999999</v>
      </c>
      <c r="J35" s="25">
        <f t="shared" si="49"/>
        <v>4244.8999999999996</v>
      </c>
      <c r="K35" s="30"/>
      <c r="L35" s="25">
        <f t="shared" ref="L35:Q35" si="50">SUM(L30:L34)</f>
        <v>0</v>
      </c>
      <c r="M35" s="25">
        <f t="shared" si="50"/>
        <v>289.02</v>
      </c>
      <c r="N35" s="25">
        <f t="shared" si="50"/>
        <v>0</v>
      </c>
      <c r="O35" s="25">
        <f t="shared" si="50"/>
        <v>1238.49</v>
      </c>
      <c r="P35" s="25">
        <f t="shared" si="50"/>
        <v>2717.39</v>
      </c>
      <c r="Q35" s="25">
        <f t="shared" si="50"/>
        <v>4244.8999999999996</v>
      </c>
      <c r="R35" s="30"/>
      <c r="S35" s="25">
        <f t="shared" ref="S35:X35" si="51">SUM(S30:S34)</f>
        <v>339.59099999999995</v>
      </c>
      <c r="T35" s="25">
        <f t="shared" si="51"/>
        <v>0</v>
      </c>
      <c r="U35" s="25">
        <f t="shared" si="51"/>
        <v>0</v>
      </c>
      <c r="V35" s="25">
        <f t="shared" si="51"/>
        <v>0</v>
      </c>
      <c r="W35" s="25">
        <f t="shared" si="51"/>
        <v>0</v>
      </c>
      <c r="X35" s="25">
        <f t="shared" si="51"/>
        <v>339.59099999999995</v>
      </c>
      <c r="Y35" s="30"/>
      <c r="Z35" s="25">
        <f t="shared" ref="Z35:AE35" si="52">SUM(Z30:Z34)</f>
        <v>0</v>
      </c>
      <c r="AA35" s="25">
        <f t="shared" si="52"/>
        <v>0</v>
      </c>
      <c r="AB35" s="25">
        <f t="shared" si="52"/>
        <v>0</v>
      </c>
      <c r="AC35" s="25">
        <f t="shared" si="52"/>
        <v>0</v>
      </c>
      <c r="AD35" s="25">
        <f t="shared" si="52"/>
        <v>0</v>
      </c>
      <c r="AE35" s="25">
        <f t="shared" si="52"/>
        <v>0</v>
      </c>
      <c r="AF35" s="30"/>
      <c r="AG35" s="25">
        <f>SUM(AG30:AG34)</f>
        <v>2185.2399999999998</v>
      </c>
      <c r="AH35" s="25">
        <f t="shared" ref="AH35:AK35" si="53">SUM(AH30:AH34)</f>
        <v>0</v>
      </c>
      <c r="AI35" s="25">
        <f t="shared" si="53"/>
        <v>0</v>
      </c>
      <c r="AJ35" s="25">
        <f t="shared" si="53"/>
        <v>0</v>
      </c>
      <c r="AK35" s="25">
        <f t="shared" si="53"/>
        <v>0</v>
      </c>
      <c r="AL35" s="25">
        <f>SUM(AL30:AL34)</f>
        <v>2185.2399999999998</v>
      </c>
      <c r="AM35" s="30"/>
      <c r="AN35" s="25">
        <f>SUM(AN30:AN34)</f>
        <v>2185.2399999999998</v>
      </c>
      <c r="AO35" s="25">
        <f t="shared" ref="AO35:AS35" si="54">SUM(AO30:AO34)</f>
        <v>0</v>
      </c>
      <c r="AP35" s="25">
        <f t="shared" si="54"/>
        <v>0</v>
      </c>
      <c r="AQ35" s="25">
        <f t="shared" si="54"/>
        <v>0</v>
      </c>
      <c r="AR35" s="25">
        <f t="shared" si="54"/>
        <v>0</v>
      </c>
      <c r="AS35" s="25">
        <f t="shared" si="54"/>
        <v>2185.2399999999998</v>
      </c>
    </row>
    <row r="36" spans="1:45" s="12" customFormat="1" x14ac:dyDescent="0.2">
      <c r="C36" s="4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</row>
    <row r="37" spans="1:45" x14ac:dyDescent="0.2">
      <c r="B37" s="6">
        <v>2</v>
      </c>
      <c r="C37" s="21" t="s">
        <v>67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5">
        <f>SUM(E37:I37)</f>
        <v>0</v>
      </c>
      <c r="L37" s="24">
        <v>0</v>
      </c>
      <c r="M37" s="36">
        <v>0</v>
      </c>
      <c r="N37" s="37">
        <v>0</v>
      </c>
      <c r="O37" s="36">
        <v>0</v>
      </c>
      <c r="P37" s="24">
        <v>0</v>
      </c>
      <c r="Q37" s="25">
        <f>SUM(L37:P37)</f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25">
        <f>SUM(S37:W37)</f>
        <v>0</v>
      </c>
      <c r="Z37" s="36">
        <v>0</v>
      </c>
      <c r="AA37" s="36">
        <v>0</v>
      </c>
      <c r="AB37" s="36">
        <v>0</v>
      </c>
      <c r="AC37" s="36">
        <v>0</v>
      </c>
      <c r="AD37" s="36">
        <v>0</v>
      </c>
      <c r="AE37" s="25">
        <f>SUM(Z37:AD37)</f>
        <v>0</v>
      </c>
      <c r="AG37" s="36">
        <v>0</v>
      </c>
      <c r="AH37" s="36">
        <v>0</v>
      </c>
      <c r="AI37" s="36">
        <v>0</v>
      </c>
      <c r="AJ37" s="36">
        <v>0</v>
      </c>
      <c r="AK37" s="36">
        <v>0</v>
      </c>
      <c r="AL37" s="25">
        <f>SUM(AG37:AK37)</f>
        <v>0</v>
      </c>
      <c r="AN37" s="29">
        <f t="shared" ref="AN37:AR41" si="55">AG37+Z37</f>
        <v>0</v>
      </c>
      <c r="AO37" s="29">
        <f t="shared" si="55"/>
        <v>0</v>
      </c>
      <c r="AP37" s="29">
        <f t="shared" si="55"/>
        <v>0</v>
      </c>
      <c r="AQ37" s="29">
        <f t="shared" si="55"/>
        <v>0</v>
      </c>
      <c r="AR37" s="29">
        <f t="shared" si="55"/>
        <v>0</v>
      </c>
      <c r="AS37" s="25">
        <f>SUM(AN37:AR37)</f>
        <v>0</v>
      </c>
    </row>
    <row r="38" spans="1:45" x14ac:dyDescent="0.2">
      <c r="E38" s="36">
        <v>0</v>
      </c>
      <c r="F38" s="24">
        <v>0</v>
      </c>
      <c r="G38" s="24">
        <v>289.02</v>
      </c>
      <c r="H38" s="24">
        <v>0</v>
      </c>
      <c r="I38" s="24">
        <v>0</v>
      </c>
      <c r="J38" s="25">
        <f>SUM(E38:I38)</f>
        <v>289.02</v>
      </c>
      <c r="L38" s="24">
        <v>0</v>
      </c>
      <c r="M38" s="24">
        <v>0</v>
      </c>
      <c r="N38" s="24">
        <v>0</v>
      </c>
      <c r="O38" s="24">
        <v>115.69</v>
      </c>
      <c r="P38" s="24">
        <v>0</v>
      </c>
      <c r="Q38" s="25">
        <f t="shared" ref="Q38:Q41" si="56">SUM(L38:P38)</f>
        <v>115.69</v>
      </c>
      <c r="S38" s="36">
        <v>0</v>
      </c>
      <c r="T38" s="36">
        <v>0</v>
      </c>
      <c r="U38" s="36">
        <v>0</v>
      </c>
      <c r="V38" s="36">
        <v>0</v>
      </c>
      <c r="W38" s="36">
        <v>0</v>
      </c>
      <c r="X38" s="25">
        <f t="shared" ref="X38:X41" si="57">SUM(S38:W38)</f>
        <v>0</v>
      </c>
      <c r="Z38" s="36">
        <v>0</v>
      </c>
      <c r="AA38" s="36">
        <v>0</v>
      </c>
      <c r="AB38" s="36">
        <v>0</v>
      </c>
      <c r="AC38" s="36">
        <v>0</v>
      </c>
      <c r="AD38" s="36">
        <v>0</v>
      </c>
      <c r="AE38" s="25">
        <f>SUM(Z38:AD38)</f>
        <v>0</v>
      </c>
      <c r="AG38" s="36">
        <v>0</v>
      </c>
      <c r="AH38" s="36">
        <v>0</v>
      </c>
      <c r="AI38" s="36">
        <v>0</v>
      </c>
      <c r="AJ38" s="36">
        <v>0</v>
      </c>
      <c r="AK38" s="36">
        <v>0</v>
      </c>
      <c r="AL38" s="25">
        <f t="shared" ref="AL38:AL41" si="58">SUM(AG38:AK38)</f>
        <v>0</v>
      </c>
      <c r="AN38" s="29">
        <f t="shared" si="55"/>
        <v>0</v>
      </c>
      <c r="AO38" s="29">
        <f t="shared" si="55"/>
        <v>0</v>
      </c>
      <c r="AP38" s="29">
        <f t="shared" si="55"/>
        <v>0</v>
      </c>
      <c r="AQ38" s="29">
        <f t="shared" si="55"/>
        <v>0</v>
      </c>
      <c r="AR38" s="29">
        <f t="shared" si="55"/>
        <v>0</v>
      </c>
      <c r="AS38" s="25">
        <f t="shared" ref="AS38:AS41" si="59">SUM(AN38:AR38)</f>
        <v>0</v>
      </c>
    </row>
    <row r="39" spans="1:45" x14ac:dyDescent="0.2">
      <c r="E39" s="37">
        <v>0</v>
      </c>
      <c r="F39" s="24">
        <v>0</v>
      </c>
      <c r="G39" s="24">
        <v>0</v>
      </c>
      <c r="H39" s="24">
        <v>0</v>
      </c>
      <c r="I39" s="24">
        <v>0</v>
      </c>
      <c r="J39" s="25">
        <f>SUM(E39:I39)</f>
        <v>0</v>
      </c>
      <c r="L39" s="24">
        <v>0</v>
      </c>
      <c r="M39" s="24">
        <v>289.02</v>
      </c>
      <c r="N39" s="24">
        <v>0</v>
      </c>
      <c r="O39" s="24">
        <v>964.32</v>
      </c>
      <c r="P39" s="24">
        <v>0</v>
      </c>
      <c r="Q39" s="25">
        <f t="shared" si="56"/>
        <v>1253.3400000000001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25">
        <f t="shared" si="57"/>
        <v>0</v>
      </c>
      <c r="Z39" s="36">
        <v>0</v>
      </c>
      <c r="AA39" s="36">
        <v>0</v>
      </c>
      <c r="AB39" s="36">
        <v>0</v>
      </c>
      <c r="AC39" s="36">
        <v>0</v>
      </c>
      <c r="AD39" s="36">
        <v>0</v>
      </c>
      <c r="AE39" s="25">
        <f>SUM(Z39:AD39)</f>
        <v>0</v>
      </c>
      <c r="AG39" s="36">
        <v>0</v>
      </c>
      <c r="AH39" s="36">
        <v>0</v>
      </c>
      <c r="AI39" s="36">
        <v>0</v>
      </c>
      <c r="AJ39" s="36">
        <v>0</v>
      </c>
      <c r="AK39" s="36">
        <v>0</v>
      </c>
      <c r="AL39" s="25">
        <f t="shared" si="58"/>
        <v>0</v>
      </c>
      <c r="AN39" s="29">
        <f t="shared" si="55"/>
        <v>0</v>
      </c>
      <c r="AO39" s="29">
        <f t="shared" si="55"/>
        <v>0</v>
      </c>
      <c r="AP39" s="29">
        <f t="shared" si="55"/>
        <v>0</v>
      </c>
      <c r="AQ39" s="29">
        <f t="shared" si="55"/>
        <v>0</v>
      </c>
      <c r="AR39" s="29">
        <f t="shared" si="55"/>
        <v>0</v>
      </c>
      <c r="AS39" s="25">
        <f t="shared" si="59"/>
        <v>0</v>
      </c>
    </row>
    <row r="40" spans="1:45" x14ac:dyDescent="0.2">
      <c r="E40" s="36">
        <v>0</v>
      </c>
      <c r="F40" s="24">
        <v>115.69</v>
      </c>
      <c r="G40" s="24">
        <v>964.32</v>
      </c>
      <c r="H40" s="24">
        <v>0</v>
      </c>
      <c r="I40" s="24">
        <v>158.47999999999999</v>
      </c>
      <c r="J40" s="25">
        <f>SUM(E40:I40)</f>
        <v>1238.49</v>
      </c>
      <c r="L40" s="24">
        <v>0</v>
      </c>
      <c r="M40" s="24">
        <v>0</v>
      </c>
      <c r="N40" s="24">
        <v>0</v>
      </c>
      <c r="O40" s="24">
        <v>0</v>
      </c>
      <c r="P40" s="24">
        <v>2717.39</v>
      </c>
      <c r="Q40" s="25">
        <f t="shared" si="56"/>
        <v>2717.39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25">
        <f t="shared" si="57"/>
        <v>0</v>
      </c>
      <c r="Z40" s="36">
        <v>0</v>
      </c>
      <c r="AA40" s="36">
        <v>0</v>
      </c>
      <c r="AB40" s="36">
        <v>0</v>
      </c>
      <c r="AC40" s="36">
        <v>0</v>
      </c>
      <c r="AD40" s="36">
        <v>0</v>
      </c>
      <c r="AE40" s="25">
        <f>SUM(Z40:AD40)</f>
        <v>0</v>
      </c>
      <c r="AG40" s="36">
        <v>0</v>
      </c>
      <c r="AH40" s="36">
        <v>0</v>
      </c>
      <c r="AI40" s="36">
        <v>0</v>
      </c>
      <c r="AJ40" s="36">
        <v>0</v>
      </c>
      <c r="AK40" s="36">
        <v>0</v>
      </c>
      <c r="AL40" s="25">
        <f t="shared" si="58"/>
        <v>0</v>
      </c>
      <c r="AN40" s="29">
        <f t="shared" si="55"/>
        <v>0</v>
      </c>
      <c r="AO40" s="29">
        <f t="shared" si="55"/>
        <v>0</v>
      </c>
      <c r="AP40" s="29">
        <f t="shared" si="55"/>
        <v>0</v>
      </c>
      <c r="AQ40" s="29">
        <f t="shared" si="55"/>
        <v>0</v>
      </c>
      <c r="AR40" s="29">
        <f t="shared" si="55"/>
        <v>0</v>
      </c>
      <c r="AS40" s="25">
        <f t="shared" si="59"/>
        <v>0</v>
      </c>
    </row>
    <row r="41" spans="1:45" x14ac:dyDescent="0.2">
      <c r="E41" s="24">
        <v>0</v>
      </c>
      <c r="F41" s="24">
        <v>0</v>
      </c>
      <c r="G41" s="24">
        <v>0</v>
      </c>
      <c r="H41" s="24">
        <v>2717.39</v>
      </c>
      <c r="I41" s="24">
        <v>0</v>
      </c>
      <c r="J41" s="25">
        <f>SUM(E41:I41)</f>
        <v>2717.39</v>
      </c>
      <c r="L41" s="24">
        <v>0</v>
      </c>
      <c r="M41" s="24">
        <v>0</v>
      </c>
      <c r="N41" s="24">
        <v>0</v>
      </c>
      <c r="O41" s="24">
        <v>158.47999999999999</v>
      </c>
      <c r="P41" s="24">
        <v>0</v>
      </c>
      <c r="Q41" s="25">
        <f t="shared" si="56"/>
        <v>158.47999999999999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25">
        <f t="shared" si="57"/>
        <v>0</v>
      </c>
      <c r="Z41" s="36">
        <v>0</v>
      </c>
      <c r="AA41" s="36">
        <v>0</v>
      </c>
      <c r="AB41" s="36">
        <v>0</v>
      </c>
      <c r="AC41" s="36">
        <v>0</v>
      </c>
      <c r="AD41" s="36">
        <v>0</v>
      </c>
      <c r="AE41" s="25">
        <f>SUM(Z41:AD41)</f>
        <v>0</v>
      </c>
      <c r="AG41" s="36">
        <v>0</v>
      </c>
      <c r="AH41" s="36">
        <v>0</v>
      </c>
      <c r="AI41" s="36">
        <v>0</v>
      </c>
      <c r="AJ41" s="36">
        <v>0</v>
      </c>
      <c r="AK41" s="36">
        <v>0</v>
      </c>
      <c r="AL41" s="25">
        <f t="shared" si="58"/>
        <v>0</v>
      </c>
      <c r="AN41" s="29">
        <f t="shared" si="55"/>
        <v>0</v>
      </c>
      <c r="AO41" s="29">
        <f t="shared" si="55"/>
        <v>0</v>
      </c>
      <c r="AP41" s="29">
        <f t="shared" si="55"/>
        <v>0</v>
      </c>
      <c r="AQ41" s="29">
        <f t="shared" si="55"/>
        <v>0</v>
      </c>
      <c r="AR41" s="29">
        <f t="shared" si="55"/>
        <v>0</v>
      </c>
      <c r="AS41" s="25">
        <f t="shared" si="59"/>
        <v>0</v>
      </c>
    </row>
    <row r="42" spans="1:45" s="9" customFormat="1" x14ac:dyDescent="0.2">
      <c r="A42" s="12"/>
      <c r="B42" s="12"/>
      <c r="C42" s="49"/>
      <c r="D42" s="12"/>
      <c r="E42" s="25">
        <f t="shared" ref="E42:J42" si="60">SUM(E37:E41)</f>
        <v>0</v>
      </c>
      <c r="F42" s="25">
        <f t="shared" si="60"/>
        <v>115.69</v>
      </c>
      <c r="G42" s="25">
        <f t="shared" si="60"/>
        <v>1253.3400000000001</v>
      </c>
      <c r="H42" s="25">
        <f t="shared" si="60"/>
        <v>2717.39</v>
      </c>
      <c r="I42" s="25">
        <f t="shared" si="60"/>
        <v>158.47999999999999</v>
      </c>
      <c r="J42" s="25">
        <f t="shared" si="60"/>
        <v>4244.8999999999996</v>
      </c>
      <c r="K42" s="30"/>
      <c r="L42" s="25">
        <f t="shared" ref="L42:Q42" si="61">SUM(L37:L41)</f>
        <v>0</v>
      </c>
      <c r="M42" s="25">
        <f t="shared" si="61"/>
        <v>289.02</v>
      </c>
      <c r="N42" s="25">
        <f t="shared" si="61"/>
        <v>0</v>
      </c>
      <c r="O42" s="25">
        <f t="shared" si="61"/>
        <v>1238.49</v>
      </c>
      <c r="P42" s="25">
        <f t="shared" si="61"/>
        <v>2717.39</v>
      </c>
      <c r="Q42" s="25">
        <f t="shared" si="61"/>
        <v>4244.8999999999996</v>
      </c>
      <c r="R42" s="30"/>
      <c r="S42" s="25">
        <f t="shared" ref="S42:X42" si="62">SUM(S37:S41)</f>
        <v>0</v>
      </c>
      <c r="T42" s="25">
        <f t="shared" si="62"/>
        <v>0</v>
      </c>
      <c r="U42" s="25">
        <f t="shared" si="62"/>
        <v>0</v>
      </c>
      <c r="V42" s="25">
        <f t="shared" si="62"/>
        <v>0</v>
      </c>
      <c r="W42" s="25">
        <f t="shared" si="62"/>
        <v>0</v>
      </c>
      <c r="X42" s="25">
        <f t="shared" si="62"/>
        <v>0</v>
      </c>
      <c r="Y42" s="30"/>
      <c r="Z42" s="25">
        <f t="shared" ref="Z42:AE42" si="63">SUM(Z37:Z41)</f>
        <v>0</v>
      </c>
      <c r="AA42" s="25">
        <f t="shared" si="63"/>
        <v>0</v>
      </c>
      <c r="AB42" s="25">
        <f t="shared" si="63"/>
        <v>0</v>
      </c>
      <c r="AC42" s="25">
        <f t="shared" si="63"/>
        <v>0</v>
      </c>
      <c r="AD42" s="25">
        <f t="shared" si="63"/>
        <v>0</v>
      </c>
      <c r="AE42" s="25">
        <f t="shared" si="63"/>
        <v>0</v>
      </c>
      <c r="AF42" s="30"/>
      <c r="AG42" s="25">
        <f>SUM(AG37:AG41)</f>
        <v>0</v>
      </c>
      <c r="AH42" s="25">
        <f t="shared" ref="AH42:AK42" si="64">SUM(AH37:AH41)</f>
        <v>0</v>
      </c>
      <c r="AI42" s="25">
        <f t="shared" si="64"/>
        <v>0</v>
      </c>
      <c r="AJ42" s="25">
        <f t="shared" si="64"/>
        <v>0</v>
      </c>
      <c r="AK42" s="25">
        <f t="shared" si="64"/>
        <v>0</v>
      </c>
      <c r="AL42" s="25">
        <f>SUM(AL37:AL41)</f>
        <v>0</v>
      </c>
      <c r="AM42" s="30"/>
      <c r="AN42" s="25">
        <f>SUM(AN37:AN41)</f>
        <v>0</v>
      </c>
      <c r="AO42" s="25">
        <f t="shared" ref="AO42:AS42" si="65">SUM(AO37:AO41)</f>
        <v>0</v>
      </c>
      <c r="AP42" s="25">
        <f t="shared" si="65"/>
        <v>0</v>
      </c>
      <c r="AQ42" s="25">
        <f t="shared" si="65"/>
        <v>0</v>
      </c>
      <c r="AR42" s="25">
        <f t="shared" si="65"/>
        <v>0</v>
      </c>
      <c r="AS42" s="25">
        <f t="shared" si="65"/>
        <v>0</v>
      </c>
    </row>
    <row r="44" spans="1:45" x14ac:dyDescent="0.2">
      <c r="B44" s="6">
        <v>2</v>
      </c>
      <c r="C44" s="49" t="s">
        <v>64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5">
        <f>SUM(E44:I44)</f>
        <v>0</v>
      </c>
      <c r="K44" s="30"/>
      <c r="L44" s="24">
        <v>0</v>
      </c>
      <c r="M44" s="24">
        <v>0</v>
      </c>
      <c r="N44" s="27">
        <v>0</v>
      </c>
      <c r="O44" s="24">
        <v>0</v>
      </c>
      <c r="P44" s="24">
        <v>0</v>
      </c>
      <c r="Q44" s="25">
        <f>SUM(L44:P44)</f>
        <v>0</v>
      </c>
      <c r="R44" s="30"/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5">
        <f>SUM(S44:W44)</f>
        <v>0</v>
      </c>
      <c r="Y44" s="30"/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5">
        <f>SUM(Z44:AD44)</f>
        <v>0</v>
      </c>
      <c r="AF44" s="30"/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5">
        <f>SUM(AG44:AK44)</f>
        <v>0</v>
      </c>
      <c r="AN44" s="29">
        <f t="shared" ref="AN44:AR48" si="66">AG44+Z44</f>
        <v>0</v>
      </c>
      <c r="AO44" s="29">
        <f t="shared" si="66"/>
        <v>0</v>
      </c>
      <c r="AP44" s="29">
        <f t="shared" si="66"/>
        <v>0</v>
      </c>
      <c r="AQ44" s="29">
        <f t="shared" si="66"/>
        <v>0</v>
      </c>
      <c r="AR44" s="29">
        <f t="shared" si="66"/>
        <v>0</v>
      </c>
      <c r="AS44" s="25">
        <f>SUM(AN44:AR44)</f>
        <v>0</v>
      </c>
    </row>
    <row r="45" spans="1:45" x14ac:dyDescent="0.2">
      <c r="C45" s="49"/>
      <c r="E45" s="24">
        <v>0</v>
      </c>
      <c r="F45" s="24">
        <v>0</v>
      </c>
      <c r="G45" s="31">
        <v>272.17099999999999</v>
      </c>
      <c r="H45" s="24">
        <v>0</v>
      </c>
      <c r="I45" s="24">
        <v>0</v>
      </c>
      <c r="J45" s="25">
        <f>SUM(E45:I45)</f>
        <v>272.17099999999999</v>
      </c>
      <c r="K45" s="30"/>
      <c r="L45" s="24">
        <v>0</v>
      </c>
      <c r="M45" s="24">
        <v>0</v>
      </c>
      <c r="N45" s="24">
        <v>0</v>
      </c>
      <c r="O45" s="24">
        <v>115.69</v>
      </c>
      <c r="P45" s="24">
        <v>0</v>
      </c>
      <c r="Q45" s="25">
        <f t="shared" ref="Q45:Q48" si="67">SUM(L45:P45)</f>
        <v>115.69</v>
      </c>
      <c r="R45" s="30"/>
      <c r="S45" s="24">
        <v>0</v>
      </c>
      <c r="T45" s="24">
        <v>0</v>
      </c>
      <c r="U45" s="31">
        <v>16.8491</v>
      </c>
      <c r="V45" s="24">
        <v>0</v>
      </c>
      <c r="W45" s="24">
        <v>0</v>
      </c>
      <c r="X45" s="25">
        <f t="shared" ref="X45:X48" si="68">SUM(S45:W45)</f>
        <v>16.8491</v>
      </c>
      <c r="Y45" s="30"/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5">
        <f>SUM(Z45:AD45)</f>
        <v>0</v>
      </c>
      <c r="AF45" s="30"/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5">
        <f t="shared" ref="AL45:AL48" si="69">SUM(AG45:AK45)</f>
        <v>0</v>
      </c>
      <c r="AN45" s="29">
        <f t="shared" si="66"/>
        <v>0</v>
      </c>
      <c r="AO45" s="29">
        <f t="shared" si="66"/>
        <v>0</v>
      </c>
      <c r="AP45" s="29">
        <f t="shared" si="66"/>
        <v>0</v>
      </c>
      <c r="AQ45" s="29">
        <f t="shared" si="66"/>
        <v>0</v>
      </c>
      <c r="AR45" s="29">
        <f t="shared" si="66"/>
        <v>0</v>
      </c>
      <c r="AS45" s="25">
        <f t="shared" ref="AS45:AS48" si="70">SUM(AN45:AR45)</f>
        <v>0</v>
      </c>
    </row>
    <row r="46" spans="1:45" x14ac:dyDescent="0.2">
      <c r="C46" s="49"/>
      <c r="E46" s="27">
        <v>0</v>
      </c>
      <c r="F46" s="24">
        <v>0</v>
      </c>
      <c r="G46" s="24">
        <v>0</v>
      </c>
      <c r="H46" s="24">
        <v>0</v>
      </c>
      <c r="I46" s="24">
        <v>0</v>
      </c>
      <c r="J46" s="25">
        <f>SUM(E46:I46)</f>
        <v>0</v>
      </c>
      <c r="K46" s="30"/>
      <c r="L46" s="24">
        <v>0</v>
      </c>
      <c r="M46" s="31">
        <v>272.17099999999999</v>
      </c>
      <c r="N46" s="24">
        <v>0</v>
      </c>
      <c r="O46" s="31">
        <v>908.10299999999995</v>
      </c>
      <c r="P46" s="24">
        <v>0</v>
      </c>
      <c r="Q46" s="25">
        <f t="shared" si="67"/>
        <v>1180.2739999999999</v>
      </c>
      <c r="R46" s="30"/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5">
        <f t="shared" si="68"/>
        <v>0</v>
      </c>
      <c r="Y46" s="30"/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5">
        <f>SUM(Z46:AD46)</f>
        <v>0</v>
      </c>
      <c r="AF46" s="30"/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5">
        <f t="shared" si="69"/>
        <v>0</v>
      </c>
      <c r="AN46" s="29">
        <f t="shared" si="66"/>
        <v>0</v>
      </c>
      <c r="AO46" s="29">
        <f t="shared" si="66"/>
        <v>0</v>
      </c>
      <c r="AP46" s="29">
        <f t="shared" si="66"/>
        <v>0</v>
      </c>
      <c r="AQ46" s="29">
        <f t="shared" si="66"/>
        <v>0</v>
      </c>
      <c r="AR46" s="29">
        <f t="shared" si="66"/>
        <v>0</v>
      </c>
      <c r="AS46" s="25">
        <f t="shared" si="70"/>
        <v>0</v>
      </c>
    </row>
    <row r="47" spans="1:45" x14ac:dyDescent="0.2">
      <c r="C47" s="49"/>
      <c r="E47" s="24">
        <v>0</v>
      </c>
      <c r="F47" s="24">
        <v>115.69</v>
      </c>
      <c r="G47" s="31">
        <v>908.10299999999995</v>
      </c>
      <c r="H47" s="24">
        <v>0</v>
      </c>
      <c r="I47" s="24">
        <v>158.47999999999999</v>
      </c>
      <c r="J47" s="25">
        <f>SUM(E47:I47)</f>
        <v>1182.2729999999999</v>
      </c>
      <c r="K47" s="30"/>
      <c r="L47" s="24">
        <v>0</v>
      </c>
      <c r="M47" s="24">
        <v>0</v>
      </c>
      <c r="N47" s="24">
        <v>0</v>
      </c>
      <c r="O47" s="24">
        <v>0</v>
      </c>
      <c r="P47" s="24">
        <v>2717.39</v>
      </c>
      <c r="Q47" s="25">
        <f t="shared" si="67"/>
        <v>2717.39</v>
      </c>
      <c r="R47" s="30"/>
      <c r="S47" s="24">
        <v>0</v>
      </c>
      <c r="T47" s="24">
        <v>0</v>
      </c>
      <c r="U47" s="31">
        <v>56.217199999999998</v>
      </c>
      <c r="V47" s="24">
        <v>0</v>
      </c>
      <c r="W47" s="24">
        <v>0</v>
      </c>
      <c r="X47" s="25">
        <f t="shared" si="68"/>
        <v>56.217199999999998</v>
      </c>
      <c r="Y47" s="30"/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5">
        <f>SUM(Z47:AD47)</f>
        <v>0</v>
      </c>
      <c r="AF47" s="30"/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5">
        <f t="shared" si="69"/>
        <v>0</v>
      </c>
      <c r="AN47" s="29">
        <f t="shared" si="66"/>
        <v>0</v>
      </c>
      <c r="AO47" s="29">
        <f t="shared" si="66"/>
        <v>0</v>
      </c>
      <c r="AP47" s="29">
        <f t="shared" si="66"/>
        <v>0</v>
      </c>
      <c r="AQ47" s="29">
        <f t="shared" si="66"/>
        <v>0</v>
      </c>
      <c r="AR47" s="29">
        <f t="shared" si="66"/>
        <v>0</v>
      </c>
      <c r="AS47" s="25">
        <f t="shared" si="70"/>
        <v>0</v>
      </c>
    </row>
    <row r="48" spans="1:45" x14ac:dyDescent="0.2">
      <c r="C48" s="49"/>
      <c r="E48" s="24">
        <v>0</v>
      </c>
      <c r="F48" s="24">
        <v>0</v>
      </c>
      <c r="G48" s="24">
        <v>0</v>
      </c>
      <c r="H48" s="24">
        <v>2717.39</v>
      </c>
      <c r="I48" s="24">
        <v>0</v>
      </c>
      <c r="J48" s="25">
        <f>SUM(E48:I48)</f>
        <v>2717.39</v>
      </c>
      <c r="K48" s="30"/>
      <c r="L48" s="24">
        <v>0</v>
      </c>
      <c r="M48" s="24">
        <v>0</v>
      </c>
      <c r="N48" s="24">
        <v>0</v>
      </c>
      <c r="O48" s="24">
        <v>158.47999999999999</v>
      </c>
      <c r="P48" s="24">
        <v>0</v>
      </c>
      <c r="Q48" s="25">
        <f t="shared" si="67"/>
        <v>158.47999999999999</v>
      </c>
      <c r="R48" s="30"/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5">
        <f t="shared" si="68"/>
        <v>0</v>
      </c>
      <c r="Y48" s="30"/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5">
        <f>SUM(Z48:AD48)</f>
        <v>0</v>
      </c>
      <c r="AF48" s="30"/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5">
        <f t="shared" si="69"/>
        <v>0</v>
      </c>
      <c r="AN48" s="29">
        <f t="shared" si="66"/>
        <v>0</v>
      </c>
      <c r="AO48" s="29">
        <f t="shared" si="66"/>
        <v>0</v>
      </c>
      <c r="AP48" s="29">
        <f t="shared" si="66"/>
        <v>0</v>
      </c>
      <c r="AQ48" s="29">
        <f t="shared" si="66"/>
        <v>0</v>
      </c>
      <c r="AR48" s="29">
        <f t="shared" si="66"/>
        <v>0</v>
      </c>
      <c r="AS48" s="25">
        <f t="shared" si="70"/>
        <v>0</v>
      </c>
    </row>
    <row r="49" spans="1:45" s="9" customFormat="1" x14ac:dyDescent="0.2">
      <c r="A49" s="12"/>
      <c r="B49" s="12"/>
      <c r="C49" s="49"/>
      <c r="D49" s="12"/>
      <c r="E49" s="25">
        <f t="shared" ref="E49:J49" si="71">SUM(E44:E48)</f>
        <v>0</v>
      </c>
      <c r="F49" s="25">
        <f t="shared" si="71"/>
        <v>115.69</v>
      </c>
      <c r="G49" s="25">
        <f t="shared" si="71"/>
        <v>1180.2739999999999</v>
      </c>
      <c r="H49" s="25">
        <f t="shared" si="71"/>
        <v>2717.39</v>
      </c>
      <c r="I49" s="25">
        <f t="shared" si="71"/>
        <v>158.47999999999999</v>
      </c>
      <c r="J49" s="25">
        <f t="shared" si="71"/>
        <v>4171.8339999999998</v>
      </c>
      <c r="K49" s="30"/>
      <c r="L49" s="25">
        <f t="shared" ref="L49:Q49" si="72">SUM(L44:L48)</f>
        <v>0</v>
      </c>
      <c r="M49" s="25">
        <f t="shared" si="72"/>
        <v>272.17099999999999</v>
      </c>
      <c r="N49" s="25">
        <f t="shared" si="72"/>
        <v>0</v>
      </c>
      <c r="O49" s="25">
        <f t="shared" si="72"/>
        <v>1182.2729999999999</v>
      </c>
      <c r="P49" s="25">
        <f t="shared" si="72"/>
        <v>2717.39</v>
      </c>
      <c r="Q49" s="25">
        <f t="shared" si="72"/>
        <v>4171.8339999999998</v>
      </c>
      <c r="R49" s="30"/>
      <c r="S49" s="25">
        <f t="shared" ref="S49:X49" si="73">SUM(S44:S48)</f>
        <v>0</v>
      </c>
      <c r="T49" s="25">
        <f t="shared" si="73"/>
        <v>0</v>
      </c>
      <c r="U49" s="25">
        <f t="shared" si="73"/>
        <v>73.066299999999998</v>
      </c>
      <c r="V49" s="25">
        <f t="shared" si="73"/>
        <v>0</v>
      </c>
      <c r="W49" s="25">
        <f t="shared" si="73"/>
        <v>0</v>
      </c>
      <c r="X49" s="25">
        <f t="shared" si="73"/>
        <v>73.066299999999998</v>
      </c>
      <c r="Y49" s="30"/>
      <c r="Z49" s="25">
        <f t="shared" ref="Z49:AE49" si="74">SUM(Z44:Z48)</f>
        <v>0</v>
      </c>
      <c r="AA49" s="25">
        <f t="shared" si="74"/>
        <v>0</v>
      </c>
      <c r="AB49" s="25">
        <f t="shared" si="74"/>
        <v>0</v>
      </c>
      <c r="AC49" s="25">
        <f t="shared" si="74"/>
        <v>0</v>
      </c>
      <c r="AD49" s="25">
        <f t="shared" si="74"/>
        <v>0</v>
      </c>
      <c r="AE49" s="25">
        <f t="shared" si="74"/>
        <v>0</v>
      </c>
      <c r="AF49" s="30"/>
      <c r="AG49" s="25">
        <f>SUM(AG44:AG48)</f>
        <v>0</v>
      </c>
      <c r="AH49" s="25">
        <f t="shared" ref="AH49:AK49" si="75">SUM(AH44:AH48)</f>
        <v>0</v>
      </c>
      <c r="AI49" s="25">
        <f t="shared" si="75"/>
        <v>0</v>
      </c>
      <c r="AJ49" s="25">
        <f t="shared" si="75"/>
        <v>0</v>
      </c>
      <c r="AK49" s="25">
        <f t="shared" si="75"/>
        <v>0</v>
      </c>
      <c r="AL49" s="25">
        <f>SUM(AL44:AL48)</f>
        <v>0</v>
      </c>
      <c r="AM49" s="30"/>
      <c r="AN49" s="25">
        <f>SUM(AN44:AN48)</f>
        <v>0</v>
      </c>
      <c r="AO49" s="25">
        <f t="shared" ref="AO49:AS49" si="76">SUM(AO44:AO48)</f>
        <v>0</v>
      </c>
      <c r="AP49" s="25">
        <f t="shared" si="76"/>
        <v>0</v>
      </c>
      <c r="AQ49" s="25">
        <f t="shared" si="76"/>
        <v>0</v>
      </c>
      <c r="AR49" s="25">
        <f t="shared" si="76"/>
        <v>0</v>
      </c>
      <c r="AS49" s="25">
        <f t="shared" si="76"/>
        <v>0</v>
      </c>
    </row>
    <row r="50" spans="1:45" x14ac:dyDescent="0.2">
      <c r="C50" s="49"/>
    </row>
    <row r="51" spans="1:45" x14ac:dyDescent="0.2">
      <c r="B51" s="6">
        <v>2</v>
      </c>
      <c r="C51" s="49" t="s">
        <v>66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5">
        <f>SUM(E51:I51)</f>
        <v>0</v>
      </c>
      <c r="K51" s="30"/>
      <c r="L51" s="24">
        <v>0</v>
      </c>
      <c r="M51" s="24">
        <v>0</v>
      </c>
      <c r="N51" s="27">
        <v>0</v>
      </c>
      <c r="O51" s="24">
        <v>0</v>
      </c>
      <c r="P51" s="24">
        <v>0</v>
      </c>
      <c r="Q51" s="25">
        <f>SUM(L51:P51)</f>
        <v>0</v>
      </c>
      <c r="R51" s="30"/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5">
        <f>SUM(S51:W51)</f>
        <v>0</v>
      </c>
      <c r="Y51" s="30"/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5">
        <f>SUM(Z51:AD51)</f>
        <v>0</v>
      </c>
      <c r="AF51" s="30"/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5">
        <f>SUM(AG51:AK51)</f>
        <v>0</v>
      </c>
      <c r="AN51" s="29">
        <f t="shared" ref="AN51:AR55" si="77">AG51+Z51</f>
        <v>0</v>
      </c>
      <c r="AO51" s="29">
        <f t="shared" si="77"/>
        <v>0</v>
      </c>
      <c r="AP51" s="29">
        <f t="shared" si="77"/>
        <v>0</v>
      </c>
      <c r="AQ51" s="29">
        <f t="shared" si="77"/>
        <v>0</v>
      </c>
      <c r="AR51" s="29">
        <f t="shared" si="77"/>
        <v>0</v>
      </c>
      <c r="AS51" s="25">
        <f>SUM(AN51:AR51)</f>
        <v>0</v>
      </c>
    </row>
    <row r="52" spans="1:45" x14ac:dyDescent="0.2">
      <c r="C52" s="49"/>
      <c r="E52" s="24">
        <v>0</v>
      </c>
      <c r="F52" s="24">
        <v>0</v>
      </c>
      <c r="G52" s="46">
        <v>184.51</v>
      </c>
      <c r="H52" s="24">
        <v>0</v>
      </c>
      <c r="I52" s="24">
        <v>0</v>
      </c>
      <c r="J52" s="25">
        <f>SUM(E52:I52)</f>
        <v>184.51</v>
      </c>
      <c r="K52" s="30"/>
      <c r="L52" s="24">
        <v>0</v>
      </c>
      <c r="M52" s="24">
        <v>0</v>
      </c>
      <c r="N52" s="24">
        <v>0</v>
      </c>
      <c r="O52" s="24">
        <v>115.69</v>
      </c>
      <c r="P52" s="24">
        <v>0</v>
      </c>
      <c r="Q52" s="25">
        <f t="shared" ref="Q52:Q55" si="78">SUM(L52:P52)</f>
        <v>115.69</v>
      </c>
      <c r="R52" s="30"/>
      <c r="S52" s="24">
        <v>0</v>
      </c>
      <c r="T52" s="24">
        <v>0</v>
      </c>
      <c r="U52" s="24">
        <v>16.8491</v>
      </c>
      <c r="V52" s="24">
        <v>0</v>
      </c>
      <c r="W52" s="24">
        <v>0</v>
      </c>
      <c r="X52" s="25">
        <f t="shared" ref="X52:X55" si="79">SUM(S52:W52)</f>
        <v>16.8491</v>
      </c>
      <c r="Y52" s="30"/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5">
        <f>SUM(Z52:AD52)</f>
        <v>0</v>
      </c>
      <c r="AF52" s="30"/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5">
        <f t="shared" ref="AL52:AL55" si="80">SUM(AG52:AK52)</f>
        <v>0</v>
      </c>
      <c r="AN52" s="29">
        <f t="shared" si="77"/>
        <v>0</v>
      </c>
      <c r="AO52" s="29">
        <f t="shared" si="77"/>
        <v>0</v>
      </c>
      <c r="AP52" s="29">
        <f t="shared" si="77"/>
        <v>0</v>
      </c>
      <c r="AQ52" s="29">
        <f t="shared" si="77"/>
        <v>0</v>
      </c>
      <c r="AR52" s="29">
        <f t="shared" si="77"/>
        <v>0</v>
      </c>
      <c r="AS52" s="25">
        <f t="shared" ref="AS52:AS55" si="81">SUM(AN52:AR52)</f>
        <v>0</v>
      </c>
    </row>
    <row r="53" spans="1:45" x14ac:dyDescent="0.2">
      <c r="C53" s="49"/>
      <c r="E53" s="27">
        <v>0</v>
      </c>
      <c r="F53" s="24">
        <v>0</v>
      </c>
      <c r="G53" s="24">
        <v>0</v>
      </c>
      <c r="H53" s="24">
        <v>0</v>
      </c>
      <c r="I53" s="24">
        <v>0</v>
      </c>
      <c r="J53" s="25">
        <f>SUM(E53:I53)</f>
        <v>0</v>
      </c>
      <c r="K53" s="30"/>
      <c r="L53" s="24">
        <v>0</v>
      </c>
      <c r="M53" s="46">
        <v>184.51</v>
      </c>
      <c r="N53" s="24">
        <v>0</v>
      </c>
      <c r="O53" s="24">
        <v>908.10299999999995</v>
      </c>
      <c r="P53" s="24">
        <v>0</v>
      </c>
      <c r="Q53" s="25">
        <f t="shared" si="78"/>
        <v>1092.6129999999998</v>
      </c>
      <c r="R53" s="30"/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5">
        <f t="shared" si="79"/>
        <v>0</v>
      </c>
      <c r="Y53" s="30"/>
      <c r="Z53" s="24">
        <v>0</v>
      </c>
      <c r="AA53" s="47">
        <v>148.46299999999999</v>
      </c>
      <c r="AB53" s="24">
        <v>0</v>
      </c>
      <c r="AC53" s="24">
        <v>0</v>
      </c>
      <c r="AD53" s="24">
        <v>0</v>
      </c>
      <c r="AE53" s="25">
        <f>SUM(Z53:AD53)</f>
        <v>148.46299999999999</v>
      </c>
      <c r="AF53" s="30"/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5">
        <f t="shared" si="80"/>
        <v>0</v>
      </c>
      <c r="AN53" s="29">
        <f t="shared" si="77"/>
        <v>0</v>
      </c>
      <c r="AO53" s="29">
        <f t="shared" si="77"/>
        <v>148.46299999999999</v>
      </c>
      <c r="AP53" s="29">
        <f t="shared" si="77"/>
        <v>0</v>
      </c>
      <c r="AQ53" s="29">
        <f t="shared" si="77"/>
        <v>0</v>
      </c>
      <c r="AR53" s="29">
        <f t="shared" si="77"/>
        <v>0</v>
      </c>
      <c r="AS53" s="25">
        <f t="shared" si="81"/>
        <v>148.46299999999999</v>
      </c>
    </row>
    <row r="54" spans="1:45" x14ac:dyDescent="0.2">
      <c r="C54" s="49"/>
      <c r="E54" s="24">
        <v>0</v>
      </c>
      <c r="F54" s="24">
        <v>115.69</v>
      </c>
      <c r="G54" s="24">
        <v>908.10299999999995</v>
      </c>
      <c r="H54" s="24">
        <v>0</v>
      </c>
      <c r="I54" s="24">
        <v>158.47999999999999</v>
      </c>
      <c r="J54" s="25">
        <f>SUM(E54:I54)</f>
        <v>1182.2729999999999</v>
      </c>
      <c r="K54" s="30"/>
      <c r="L54" s="24">
        <v>0</v>
      </c>
      <c r="M54" s="24">
        <v>0</v>
      </c>
      <c r="N54" s="24">
        <v>0</v>
      </c>
      <c r="O54" s="24">
        <v>0</v>
      </c>
      <c r="P54" s="24">
        <v>2717.39</v>
      </c>
      <c r="Q54" s="25">
        <f t="shared" si="78"/>
        <v>2717.39</v>
      </c>
      <c r="R54" s="30"/>
      <c r="S54" s="24">
        <v>0</v>
      </c>
      <c r="T54" s="24">
        <v>0</v>
      </c>
      <c r="U54" s="24">
        <v>56.217199999999998</v>
      </c>
      <c r="V54" s="24">
        <v>0</v>
      </c>
      <c r="W54" s="24">
        <v>0</v>
      </c>
      <c r="X54" s="25">
        <f t="shared" si="79"/>
        <v>56.217199999999998</v>
      </c>
      <c r="Y54" s="30"/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5">
        <f>SUM(Z54:AD54)</f>
        <v>0</v>
      </c>
      <c r="AF54" s="30"/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5">
        <f t="shared" si="80"/>
        <v>0</v>
      </c>
      <c r="AN54" s="29">
        <f t="shared" si="77"/>
        <v>0</v>
      </c>
      <c r="AO54" s="29">
        <f t="shared" si="77"/>
        <v>0</v>
      </c>
      <c r="AP54" s="29">
        <f t="shared" si="77"/>
        <v>0</v>
      </c>
      <c r="AQ54" s="29">
        <f t="shared" si="77"/>
        <v>0</v>
      </c>
      <c r="AR54" s="29">
        <f t="shared" si="77"/>
        <v>0</v>
      </c>
      <c r="AS54" s="25">
        <f t="shared" si="81"/>
        <v>0</v>
      </c>
    </row>
    <row r="55" spans="1:45" x14ac:dyDescent="0.2">
      <c r="C55" s="49"/>
      <c r="E55" s="24">
        <v>0</v>
      </c>
      <c r="F55" s="24">
        <v>0</v>
      </c>
      <c r="G55" s="24">
        <v>0</v>
      </c>
      <c r="H55" s="24">
        <v>2717.39</v>
      </c>
      <c r="I55" s="24">
        <v>0</v>
      </c>
      <c r="J55" s="25">
        <f>SUM(E55:I55)</f>
        <v>2717.39</v>
      </c>
      <c r="K55" s="30"/>
      <c r="L55" s="24">
        <v>0</v>
      </c>
      <c r="M55" s="24">
        <v>0</v>
      </c>
      <c r="N55" s="24">
        <v>0</v>
      </c>
      <c r="O55" s="24">
        <v>158.47999999999999</v>
      </c>
      <c r="P55" s="24">
        <v>0</v>
      </c>
      <c r="Q55" s="25">
        <f t="shared" si="78"/>
        <v>158.47999999999999</v>
      </c>
      <c r="R55" s="30"/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5">
        <f t="shared" si="79"/>
        <v>0</v>
      </c>
      <c r="Y55" s="30"/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5">
        <f>SUM(Z55:AD55)</f>
        <v>0</v>
      </c>
      <c r="AF55" s="30"/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5">
        <f t="shared" si="80"/>
        <v>0</v>
      </c>
      <c r="AN55" s="29">
        <f t="shared" si="77"/>
        <v>0</v>
      </c>
      <c r="AO55" s="29">
        <f t="shared" si="77"/>
        <v>0</v>
      </c>
      <c r="AP55" s="29">
        <f t="shared" si="77"/>
        <v>0</v>
      </c>
      <c r="AQ55" s="29">
        <f t="shared" si="77"/>
        <v>0</v>
      </c>
      <c r="AR55" s="29">
        <f t="shared" si="77"/>
        <v>0</v>
      </c>
      <c r="AS55" s="25">
        <f t="shared" si="81"/>
        <v>0</v>
      </c>
    </row>
    <row r="56" spans="1:45" s="9" customFormat="1" x14ac:dyDescent="0.2">
      <c r="A56" s="12"/>
      <c r="B56" s="12"/>
      <c r="C56" s="49"/>
      <c r="D56" s="12"/>
      <c r="E56" s="25">
        <f t="shared" ref="E56:J56" si="82">SUM(E51:E55)</f>
        <v>0</v>
      </c>
      <c r="F56" s="25">
        <f t="shared" si="82"/>
        <v>115.69</v>
      </c>
      <c r="G56" s="25">
        <f t="shared" si="82"/>
        <v>1092.6129999999998</v>
      </c>
      <c r="H56" s="25">
        <f t="shared" si="82"/>
        <v>2717.39</v>
      </c>
      <c r="I56" s="25">
        <f t="shared" si="82"/>
        <v>158.47999999999999</v>
      </c>
      <c r="J56" s="25">
        <f t="shared" si="82"/>
        <v>4084.1729999999998</v>
      </c>
      <c r="K56" s="30"/>
      <c r="L56" s="25">
        <f t="shared" ref="L56:Q56" si="83">SUM(L51:L55)</f>
        <v>0</v>
      </c>
      <c r="M56" s="25">
        <f t="shared" si="83"/>
        <v>184.51</v>
      </c>
      <c r="N56" s="25">
        <f t="shared" si="83"/>
        <v>0</v>
      </c>
      <c r="O56" s="25">
        <f t="shared" si="83"/>
        <v>1182.2729999999999</v>
      </c>
      <c r="P56" s="25">
        <f t="shared" si="83"/>
        <v>2717.39</v>
      </c>
      <c r="Q56" s="25">
        <f t="shared" si="83"/>
        <v>4084.1729999999998</v>
      </c>
      <c r="R56" s="30"/>
      <c r="S56" s="25">
        <f t="shared" ref="S56:X56" si="84">SUM(S51:S55)</f>
        <v>0</v>
      </c>
      <c r="T56" s="25">
        <f t="shared" si="84"/>
        <v>0</v>
      </c>
      <c r="U56" s="25">
        <f t="shared" si="84"/>
        <v>73.066299999999998</v>
      </c>
      <c r="V56" s="25">
        <f t="shared" si="84"/>
        <v>0</v>
      </c>
      <c r="W56" s="25">
        <f t="shared" si="84"/>
        <v>0</v>
      </c>
      <c r="X56" s="25">
        <f t="shared" si="84"/>
        <v>73.066299999999998</v>
      </c>
      <c r="Y56" s="30"/>
      <c r="Z56" s="25">
        <f t="shared" ref="Z56:AE56" si="85">SUM(Z51:Z55)</f>
        <v>0</v>
      </c>
      <c r="AA56" s="25">
        <f t="shared" si="85"/>
        <v>148.46299999999999</v>
      </c>
      <c r="AB56" s="25">
        <f t="shared" si="85"/>
        <v>0</v>
      </c>
      <c r="AC56" s="25">
        <f t="shared" si="85"/>
        <v>0</v>
      </c>
      <c r="AD56" s="25">
        <f t="shared" si="85"/>
        <v>0</v>
      </c>
      <c r="AE56" s="25">
        <f t="shared" si="85"/>
        <v>148.46299999999999</v>
      </c>
      <c r="AF56" s="30"/>
      <c r="AG56" s="25">
        <f>SUM(AG51:AG55)</f>
        <v>0</v>
      </c>
      <c r="AH56" s="25">
        <f t="shared" ref="AH56:AK56" si="86">SUM(AH51:AH55)</f>
        <v>0</v>
      </c>
      <c r="AI56" s="25">
        <f t="shared" si="86"/>
        <v>0</v>
      </c>
      <c r="AJ56" s="25">
        <f t="shared" si="86"/>
        <v>0</v>
      </c>
      <c r="AK56" s="25">
        <f t="shared" si="86"/>
        <v>0</v>
      </c>
      <c r="AL56" s="25">
        <f>SUM(AL51:AL55)</f>
        <v>0</v>
      </c>
      <c r="AM56" s="30"/>
      <c r="AN56" s="25">
        <f>SUM(AN51:AN55)</f>
        <v>0</v>
      </c>
      <c r="AO56" s="25">
        <f t="shared" ref="AO56:AS56" si="87">SUM(AO51:AO55)</f>
        <v>148.46299999999999</v>
      </c>
      <c r="AP56" s="25">
        <f t="shared" si="87"/>
        <v>0</v>
      </c>
      <c r="AQ56" s="25">
        <f t="shared" si="87"/>
        <v>0</v>
      </c>
      <c r="AR56" s="25">
        <f t="shared" si="87"/>
        <v>0</v>
      </c>
      <c r="AS56" s="25">
        <f t="shared" si="87"/>
        <v>148.46299999999999</v>
      </c>
    </row>
    <row r="58" spans="1:45" x14ac:dyDescent="0.2">
      <c r="B58" s="6">
        <v>2</v>
      </c>
      <c r="C58" s="49" t="s">
        <v>70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5">
        <f>SUM(E58:I58)</f>
        <v>0</v>
      </c>
      <c r="K58" s="30"/>
      <c r="L58" s="24">
        <v>0</v>
      </c>
      <c r="M58" s="24">
        <v>0</v>
      </c>
      <c r="N58" s="27">
        <v>0</v>
      </c>
      <c r="O58" s="24">
        <v>0</v>
      </c>
      <c r="P58" s="24">
        <v>0</v>
      </c>
      <c r="Q58" s="25">
        <f>SUM(L58:P58)</f>
        <v>0</v>
      </c>
      <c r="R58" s="30"/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5">
        <f>SUM(S58:W58)</f>
        <v>0</v>
      </c>
      <c r="Y58" s="30"/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5">
        <f>SUM(Z58:AD58)</f>
        <v>0</v>
      </c>
      <c r="AF58" s="30"/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5">
        <f>SUM(AG58:AK58)</f>
        <v>0</v>
      </c>
      <c r="AN58" s="29">
        <f t="shared" ref="AN58:AR62" si="88">AG58+Z58</f>
        <v>0</v>
      </c>
      <c r="AO58" s="29">
        <f t="shared" si="88"/>
        <v>0</v>
      </c>
      <c r="AP58" s="29">
        <f t="shared" si="88"/>
        <v>0</v>
      </c>
      <c r="AQ58" s="29">
        <f t="shared" si="88"/>
        <v>0</v>
      </c>
      <c r="AR58" s="29">
        <f t="shared" si="88"/>
        <v>0</v>
      </c>
      <c r="AS58" s="25">
        <f>SUM(AN58:AR58)</f>
        <v>0</v>
      </c>
    </row>
    <row r="59" spans="1:45" x14ac:dyDescent="0.2">
      <c r="C59" s="49"/>
      <c r="E59" s="24">
        <v>0</v>
      </c>
      <c r="F59" s="24">
        <v>0</v>
      </c>
      <c r="G59" s="33">
        <v>0</v>
      </c>
      <c r="H59" s="24">
        <v>0</v>
      </c>
      <c r="I59" s="24">
        <v>0</v>
      </c>
      <c r="J59" s="25">
        <f>SUM(E59:I59)</f>
        <v>0</v>
      </c>
      <c r="K59" s="30"/>
      <c r="L59" s="24">
        <v>0</v>
      </c>
      <c r="M59" s="24">
        <v>0</v>
      </c>
      <c r="N59" s="24">
        <v>0</v>
      </c>
      <c r="O59" s="24">
        <v>115.69</v>
      </c>
      <c r="P59" s="24">
        <v>0</v>
      </c>
      <c r="Q59" s="25">
        <f t="shared" ref="Q59:Q62" si="89">SUM(L59:P59)</f>
        <v>115.69</v>
      </c>
      <c r="R59" s="30"/>
      <c r="S59" s="24">
        <v>0</v>
      </c>
      <c r="T59" s="24">
        <v>0</v>
      </c>
      <c r="U59" s="24">
        <v>16.8491</v>
      </c>
      <c r="V59" s="24">
        <v>0</v>
      </c>
      <c r="W59" s="24">
        <v>0</v>
      </c>
      <c r="X59" s="25">
        <f t="shared" ref="X59:X62" si="90">SUM(S59:W59)</f>
        <v>16.8491</v>
      </c>
      <c r="Y59" s="30"/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5">
        <f>SUM(Z59:AD59)</f>
        <v>0</v>
      </c>
      <c r="AF59" s="30"/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5">
        <f t="shared" ref="AL59:AL62" si="91">SUM(AG59:AK59)</f>
        <v>0</v>
      </c>
      <c r="AN59" s="29">
        <f t="shared" si="88"/>
        <v>0</v>
      </c>
      <c r="AO59" s="29">
        <f t="shared" si="88"/>
        <v>0</v>
      </c>
      <c r="AP59" s="29">
        <f t="shared" si="88"/>
        <v>0</v>
      </c>
      <c r="AQ59" s="29">
        <f t="shared" si="88"/>
        <v>0</v>
      </c>
      <c r="AR59" s="29">
        <f t="shared" si="88"/>
        <v>0</v>
      </c>
      <c r="AS59" s="25">
        <f t="shared" ref="AS59:AS62" si="92">SUM(AN59:AR59)</f>
        <v>0</v>
      </c>
    </row>
    <row r="60" spans="1:45" x14ac:dyDescent="0.2">
      <c r="C60" s="49"/>
      <c r="E60" s="27">
        <v>0</v>
      </c>
      <c r="F60" s="24">
        <v>0</v>
      </c>
      <c r="G60" s="24">
        <v>0</v>
      </c>
      <c r="H60" s="24">
        <v>0</v>
      </c>
      <c r="I60" s="24">
        <v>0</v>
      </c>
      <c r="J60" s="25">
        <f>SUM(E60:I60)</f>
        <v>0</v>
      </c>
      <c r="K60" s="30"/>
      <c r="L60" s="24">
        <v>0</v>
      </c>
      <c r="M60" s="33">
        <v>0</v>
      </c>
      <c r="N60" s="24">
        <v>0</v>
      </c>
      <c r="O60" s="24">
        <v>908.10299999999995</v>
      </c>
      <c r="P60" s="24">
        <v>0</v>
      </c>
      <c r="Q60" s="25">
        <f t="shared" si="89"/>
        <v>908.10299999999995</v>
      </c>
      <c r="R60" s="30"/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5">
        <f t="shared" si="90"/>
        <v>0</v>
      </c>
      <c r="Y60" s="30"/>
      <c r="Z60" s="24">
        <v>0</v>
      </c>
      <c r="AA60" s="24">
        <v>148.46299999999999</v>
      </c>
      <c r="AB60" s="24">
        <v>0</v>
      </c>
      <c r="AC60" s="24">
        <v>0</v>
      </c>
      <c r="AD60" s="24">
        <v>0</v>
      </c>
      <c r="AE60" s="25">
        <f>SUM(Z60:AD60)</f>
        <v>148.46299999999999</v>
      </c>
      <c r="AF60" s="30"/>
      <c r="AG60" s="24">
        <v>0</v>
      </c>
      <c r="AH60" s="33">
        <v>184.51</v>
      </c>
      <c r="AI60" s="24">
        <v>0</v>
      </c>
      <c r="AJ60" s="24">
        <v>0</v>
      </c>
      <c r="AK60" s="24">
        <v>0</v>
      </c>
      <c r="AL60" s="25">
        <f t="shared" si="91"/>
        <v>184.51</v>
      </c>
      <c r="AN60" s="29">
        <f t="shared" si="88"/>
        <v>0</v>
      </c>
      <c r="AO60" s="29">
        <f t="shared" si="88"/>
        <v>332.97299999999996</v>
      </c>
      <c r="AP60" s="29">
        <f t="shared" si="88"/>
        <v>0</v>
      </c>
      <c r="AQ60" s="29">
        <f t="shared" si="88"/>
        <v>0</v>
      </c>
      <c r="AR60" s="29">
        <f t="shared" si="88"/>
        <v>0</v>
      </c>
      <c r="AS60" s="25">
        <f t="shared" si="92"/>
        <v>332.97299999999996</v>
      </c>
    </row>
    <row r="61" spans="1:45" x14ac:dyDescent="0.2">
      <c r="C61" s="49"/>
      <c r="E61" s="24">
        <v>0</v>
      </c>
      <c r="F61" s="24">
        <v>115.69</v>
      </c>
      <c r="G61" s="24">
        <v>908.10299999999995</v>
      </c>
      <c r="H61" s="24">
        <v>0</v>
      </c>
      <c r="I61" s="24">
        <v>158.47999999999999</v>
      </c>
      <c r="J61" s="25">
        <f>SUM(E61:I61)</f>
        <v>1182.2729999999999</v>
      </c>
      <c r="K61" s="30"/>
      <c r="L61" s="24">
        <v>0</v>
      </c>
      <c r="M61" s="24">
        <v>0</v>
      </c>
      <c r="N61" s="24">
        <v>0</v>
      </c>
      <c r="O61" s="24">
        <v>0</v>
      </c>
      <c r="P61" s="24">
        <v>2717.39</v>
      </c>
      <c r="Q61" s="25">
        <f t="shared" si="89"/>
        <v>2717.39</v>
      </c>
      <c r="R61" s="30"/>
      <c r="S61" s="24">
        <v>0</v>
      </c>
      <c r="T61" s="24">
        <v>0</v>
      </c>
      <c r="U61" s="24">
        <v>56.217199999999998</v>
      </c>
      <c r="V61" s="24">
        <v>0</v>
      </c>
      <c r="W61" s="24">
        <v>0</v>
      </c>
      <c r="X61" s="25">
        <f t="shared" si="90"/>
        <v>56.217199999999998</v>
      </c>
      <c r="Y61" s="30"/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5">
        <f>SUM(Z61:AD61)</f>
        <v>0</v>
      </c>
      <c r="AF61" s="30"/>
      <c r="AG61" s="24">
        <v>0</v>
      </c>
      <c r="AH61" s="24">
        <v>0</v>
      </c>
      <c r="AI61" s="24">
        <v>0</v>
      </c>
      <c r="AJ61" s="24">
        <v>0</v>
      </c>
      <c r="AK61" s="24">
        <v>0</v>
      </c>
      <c r="AL61" s="25">
        <f t="shared" si="91"/>
        <v>0</v>
      </c>
      <c r="AN61" s="29">
        <f t="shared" si="88"/>
        <v>0</v>
      </c>
      <c r="AO61" s="29">
        <f t="shared" si="88"/>
        <v>0</v>
      </c>
      <c r="AP61" s="29">
        <f t="shared" si="88"/>
        <v>0</v>
      </c>
      <c r="AQ61" s="29">
        <f t="shared" si="88"/>
        <v>0</v>
      </c>
      <c r="AR61" s="29">
        <f t="shared" si="88"/>
        <v>0</v>
      </c>
      <c r="AS61" s="25">
        <f t="shared" si="92"/>
        <v>0</v>
      </c>
    </row>
    <row r="62" spans="1:45" x14ac:dyDescent="0.2">
      <c r="C62" s="49"/>
      <c r="E62" s="24">
        <v>0</v>
      </c>
      <c r="F62" s="24">
        <v>0</v>
      </c>
      <c r="G62" s="24">
        <v>0</v>
      </c>
      <c r="H62" s="24">
        <v>2717.39</v>
      </c>
      <c r="I62" s="24">
        <v>0</v>
      </c>
      <c r="J62" s="25">
        <f>SUM(E62:I62)</f>
        <v>2717.39</v>
      </c>
      <c r="K62" s="30"/>
      <c r="L62" s="24">
        <v>0</v>
      </c>
      <c r="M62" s="24">
        <v>0</v>
      </c>
      <c r="N62" s="24">
        <v>0</v>
      </c>
      <c r="O62" s="24">
        <v>158.47999999999999</v>
      </c>
      <c r="P62" s="24">
        <v>0</v>
      </c>
      <c r="Q62" s="25">
        <f t="shared" si="89"/>
        <v>158.47999999999999</v>
      </c>
      <c r="R62" s="30"/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5">
        <f t="shared" si="90"/>
        <v>0</v>
      </c>
      <c r="Y62" s="30"/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5">
        <f>SUM(Z62:AD62)</f>
        <v>0</v>
      </c>
      <c r="AF62" s="30"/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5">
        <f t="shared" si="91"/>
        <v>0</v>
      </c>
      <c r="AN62" s="29">
        <f t="shared" si="88"/>
        <v>0</v>
      </c>
      <c r="AO62" s="29">
        <f t="shared" si="88"/>
        <v>0</v>
      </c>
      <c r="AP62" s="29">
        <f t="shared" si="88"/>
        <v>0</v>
      </c>
      <c r="AQ62" s="29">
        <f t="shared" si="88"/>
        <v>0</v>
      </c>
      <c r="AR62" s="29">
        <f t="shared" si="88"/>
        <v>0</v>
      </c>
      <c r="AS62" s="25">
        <f t="shared" si="92"/>
        <v>0</v>
      </c>
    </row>
    <row r="63" spans="1:45" s="9" customFormat="1" x14ac:dyDescent="0.2">
      <c r="A63" s="12"/>
      <c r="B63" s="12"/>
      <c r="C63" s="49"/>
      <c r="D63" s="12"/>
      <c r="E63" s="25">
        <f t="shared" ref="E63:J63" si="93">SUM(E58:E62)</f>
        <v>0</v>
      </c>
      <c r="F63" s="25">
        <f t="shared" si="93"/>
        <v>115.69</v>
      </c>
      <c r="G63" s="25">
        <f t="shared" si="93"/>
        <v>908.10299999999995</v>
      </c>
      <c r="H63" s="25">
        <f t="shared" si="93"/>
        <v>2717.39</v>
      </c>
      <c r="I63" s="25">
        <f t="shared" si="93"/>
        <v>158.47999999999999</v>
      </c>
      <c r="J63" s="25">
        <f t="shared" si="93"/>
        <v>3899.6629999999996</v>
      </c>
      <c r="K63" s="30"/>
      <c r="L63" s="25">
        <f t="shared" ref="L63:Q63" si="94">SUM(L58:L62)</f>
        <v>0</v>
      </c>
      <c r="M63" s="25">
        <f t="shared" si="94"/>
        <v>0</v>
      </c>
      <c r="N63" s="25">
        <f t="shared" si="94"/>
        <v>0</v>
      </c>
      <c r="O63" s="25">
        <f t="shared" si="94"/>
        <v>1182.2729999999999</v>
      </c>
      <c r="P63" s="25">
        <f t="shared" si="94"/>
        <v>2717.39</v>
      </c>
      <c r="Q63" s="25">
        <f t="shared" si="94"/>
        <v>3899.663</v>
      </c>
      <c r="R63" s="30"/>
      <c r="S63" s="25">
        <f t="shared" ref="S63:X63" si="95">SUM(S58:S62)</f>
        <v>0</v>
      </c>
      <c r="T63" s="25">
        <f t="shared" si="95"/>
        <v>0</v>
      </c>
      <c r="U63" s="25">
        <f t="shared" si="95"/>
        <v>73.066299999999998</v>
      </c>
      <c r="V63" s="25">
        <f t="shared" si="95"/>
        <v>0</v>
      </c>
      <c r="W63" s="25">
        <f t="shared" si="95"/>
        <v>0</v>
      </c>
      <c r="X63" s="25">
        <f t="shared" si="95"/>
        <v>73.066299999999998</v>
      </c>
      <c r="Y63" s="30"/>
      <c r="Z63" s="25">
        <f t="shared" ref="Z63:AE63" si="96">SUM(Z58:Z62)</f>
        <v>0</v>
      </c>
      <c r="AA63" s="25">
        <f t="shared" si="96"/>
        <v>148.46299999999999</v>
      </c>
      <c r="AB63" s="25">
        <f t="shared" si="96"/>
        <v>0</v>
      </c>
      <c r="AC63" s="25">
        <f t="shared" si="96"/>
        <v>0</v>
      </c>
      <c r="AD63" s="25">
        <f t="shared" si="96"/>
        <v>0</v>
      </c>
      <c r="AE63" s="25">
        <f t="shared" si="96"/>
        <v>148.46299999999999</v>
      </c>
      <c r="AF63" s="30"/>
      <c r="AG63" s="25">
        <f>SUM(AG58:AG62)</f>
        <v>0</v>
      </c>
      <c r="AH63" s="25">
        <f t="shared" ref="AH63:AK63" si="97">SUM(AH58:AH62)</f>
        <v>184.51</v>
      </c>
      <c r="AI63" s="25">
        <f t="shared" si="97"/>
        <v>0</v>
      </c>
      <c r="AJ63" s="25">
        <f t="shared" si="97"/>
        <v>0</v>
      </c>
      <c r="AK63" s="25">
        <f t="shared" si="97"/>
        <v>0</v>
      </c>
      <c r="AL63" s="25">
        <f>SUM(AL58:AL62)</f>
        <v>184.51</v>
      </c>
      <c r="AM63" s="30"/>
      <c r="AN63" s="25">
        <f>SUM(AN58:AN62)</f>
        <v>0</v>
      </c>
      <c r="AO63" s="25">
        <f t="shared" ref="AO63:AS63" si="98">SUM(AO58:AO62)</f>
        <v>332.97299999999996</v>
      </c>
      <c r="AP63" s="25">
        <f t="shared" si="98"/>
        <v>0</v>
      </c>
      <c r="AQ63" s="25">
        <f t="shared" si="98"/>
        <v>0</v>
      </c>
      <c r="AR63" s="25">
        <f t="shared" si="98"/>
        <v>0</v>
      </c>
      <c r="AS63" s="25">
        <f t="shared" si="98"/>
        <v>332.97299999999996</v>
      </c>
    </row>
    <row r="65" spans="1:45" x14ac:dyDescent="0.2">
      <c r="B65" s="6">
        <v>2</v>
      </c>
      <c r="C65" s="49" t="s">
        <v>73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5">
        <f>SUM(E65:I65)</f>
        <v>0</v>
      </c>
      <c r="K65" s="30"/>
      <c r="L65" s="24">
        <v>0</v>
      </c>
      <c r="M65" s="24">
        <v>0</v>
      </c>
      <c r="N65" s="27">
        <v>0</v>
      </c>
      <c r="O65" s="24">
        <v>0</v>
      </c>
      <c r="P65" s="24">
        <v>0</v>
      </c>
      <c r="Q65" s="25">
        <f>SUM(L65:P65)</f>
        <v>0</v>
      </c>
      <c r="R65" s="30"/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5">
        <f>SUM(S65:W65)</f>
        <v>0</v>
      </c>
      <c r="Y65" s="30"/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5">
        <f>SUM(Z65:AD65)</f>
        <v>0</v>
      </c>
      <c r="AF65" s="30"/>
      <c r="AG65" s="24">
        <v>0</v>
      </c>
      <c r="AH65" s="24">
        <v>0</v>
      </c>
      <c r="AI65" s="24">
        <v>0</v>
      </c>
      <c r="AJ65" s="24">
        <v>0</v>
      </c>
      <c r="AK65" s="24">
        <v>0</v>
      </c>
      <c r="AL65" s="25">
        <f>SUM(AG65:AK65)</f>
        <v>0</v>
      </c>
      <c r="AN65" s="29">
        <f t="shared" ref="AN65:AR69" si="99">AG65+Z65</f>
        <v>0</v>
      </c>
      <c r="AO65" s="29">
        <f t="shared" si="99"/>
        <v>0</v>
      </c>
      <c r="AP65" s="29">
        <f t="shared" si="99"/>
        <v>0</v>
      </c>
      <c r="AQ65" s="29">
        <f t="shared" si="99"/>
        <v>0</v>
      </c>
      <c r="AR65" s="29">
        <f t="shared" si="99"/>
        <v>0</v>
      </c>
      <c r="AS65" s="25">
        <f>SUM(AN65:AR65)</f>
        <v>0</v>
      </c>
    </row>
    <row r="66" spans="1:45" x14ac:dyDescent="0.2">
      <c r="C66" s="49"/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5">
        <f>SUM(E66:I66)</f>
        <v>0</v>
      </c>
      <c r="K66" s="30"/>
      <c r="L66" s="24">
        <v>0</v>
      </c>
      <c r="M66" s="24">
        <v>0</v>
      </c>
      <c r="N66" s="24">
        <v>0</v>
      </c>
      <c r="O66" s="34">
        <v>0</v>
      </c>
      <c r="P66" s="24">
        <v>0</v>
      </c>
      <c r="Q66" s="25">
        <f t="shared" ref="Q66:Q69" si="100">SUM(L66:P66)</f>
        <v>0</v>
      </c>
      <c r="R66" s="30"/>
      <c r="S66" s="24">
        <v>0</v>
      </c>
      <c r="T66" s="24">
        <v>0</v>
      </c>
      <c r="U66" s="24">
        <v>16.8491</v>
      </c>
      <c r="V66" s="24">
        <v>0</v>
      </c>
      <c r="W66" s="24">
        <v>0</v>
      </c>
      <c r="X66" s="25">
        <f t="shared" ref="X66:X69" si="101">SUM(S66:W66)</f>
        <v>16.8491</v>
      </c>
      <c r="Y66" s="30"/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5">
        <f>SUM(Z66:AD66)</f>
        <v>0</v>
      </c>
      <c r="AF66" s="30"/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5">
        <f t="shared" ref="AL66:AL69" si="102">SUM(AG66:AK66)</f>
        <v>0</v>
      </c>
      <c r="AN66" s="29">
        <f t="shared" si="99"/>
        <v>0</v>
      </c>
      <c r="AO66" s="29">
        <f t="shared" si="99"/>
        <v>0</v>
      </c>
      <c r="AP66" s="29">
        <f t="shared" si="99"/>
        <v>0</v>
      </c>
      <c r="AQ66" s="29">
        <f t="shared" si="99"/>
        <v>0</v>
      </c>
      <c r="AR66" s="29">
        <f t="shared" si="99"/>
        <v>0</v>
      </c>
      <c r="AS66" s="25">
        <f t="shared" ref="AS66:AS69" si="103">SUM(AN66:AR66)</f>
        <v>0</v>
      </c>
    </row>
    <row r="67" spans="1:45" x14ac:dyDescent="0.2">
      <c r="C67" s="49"/>
      <c r="E67" s="27">
        <v>0</v>
      </c>
      <c r="F67" s="24">
        <v>0</v>
      </c>
      <c r="G67" s="24">
        <v>0</v>
      </c>
      <c r="H67" s="24">
        <v>0</v>
      </c>
      <c r="I67" s="24">
        <v>0</v>
      </c>
      <c r="J67" s="25">
        <f>SUM(E67:I67)</f>
        <v>0</v>
      </c>
      <c r="K67" s="30"/>
      <c r="L67" s="24">
        <v>0</v>
      </c>
      <c r="M67" s="24">
        <v>0</v>
      </c>
      <c r="N67" s="24">
        <v>0</v>
      </c>
      <c r="O67" s="34">
        <v>0</v>
      </c>
      <c r="P67" s="24">
        <v>0</v>
      </c>
      <c r="Q67" s="25">
        <f t="shared" si="100"/>
        <v>0</v>
      </c>
      <c r="R67" s="30"/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5">
        <f t="shared" si="101"/>
        <v>0</v>
      </c>
      <c r="Y67" s="30"/>
      <c r="Z67" s="24">
        <v>0</v>
      </c>
      <c r="AA67" s="24">
        <v>148.46299999999999</v>
      </c>
      <c r="AB67" s="24">
        <v>0</v>
      </c>
      <c r="AC67" s="24">
        <v>0</v>
      </c>
      <c r="AD67" s="24">
        <v>0</v>
      </c>
      <c r="AE67" s="25">
        <f>SUM(Z67:AD67)</f>
        <v>148.46299999999999</v>
      </c>
      <c r="AF67" s="30"/>
      <c r="AG67" s="24">
        <v>0</v>
      </c>
      <c r="AH67" s="24">
        <v>184.51</v>
      </c>
      <c r="AI67" s="24">
        <v>0</v>
      </c>
      <c r="AJ67" s="24">
        <v>0</v>
      </c>
      <c r="AK67" s="24">
        <v>0</v>
      </c>
      <c r="AL67" s="25">
        <f t="shared" si="102"/>
        <v>184.51</v>
      </c>
      <c r="AN67" s="29">
        <f t="shared" si="99"/>
        <v>0</v>
      </c>
      <c r="AO67" s="29">
        <f t="shared" si="99"/>
        <v>332.97299999999996</v>
      </c>
      <c r="AP67" s="29">
        <f t="shared" si="99"/>
        <v>0</v>
      </c>
      <c r="AQ67" s="29">
        <f t="shared" si="99"/>
        <v>0</v>
      </c>
      <c r="AR67" s="29">
        <f t="shared" si="99"/>
        <v>0</v>
      </c>
      <c r="AS67" s="25">
        <f t="shared" si="103"/>
        <v>332.97299999999996</v>
      </c>
    </row>
    <row r="68" spans="1:45" x14ac:dyDescent="0.2">
      <c r="C68" s="49"/>
      <c r="E68" s="24">
        <v>0</v>
      </c>
      <c r="F68" s="34">
        <v>0</v>
      </c>
      <c r="G68" s="34">
        <v>0</v>
      </c>
      <c r="H68" s="24">
        <v>0</v>
      </c>
      <c r="I68" s="24">
        <v>158.47999999999999</v>
      </c>
      <c r="J68" s="25">
        <f>SUM(E68:I68)</f>
        <v>158.47999999999999</v>
      </c>
      <c r="K68" s="30"/>
      <c r="L68" s="24">
        <v>0</v>
      </c>
      <c r="M68" s="24">
        <v>0</v>
      </c>
      <c r="N68" s="24">
        <v>0</v>
      </c>
      <c r="O68" s="24">
        <v>0</v>
      </c>
      <c r="P68" s="24">
        <v>2717.39</v>
      </c>
      <c r="Q68" s="25">
        <f t="shared" si="100"/>
        <v>2717.39</v>
      </c>
      <c r="R68" s="30"/>
      <c r="S68" s="24">
        <v>0</v>
      </c>
      <c r="T68" s="24">
        <v>0</v>
      </c>
      <c r="U68" s="24">
        <v>56.217199999999998</v>
      </c>
      <c r="V68" s="24">
        <v>0</v>
      </c>
      <c r="W68" s="24">
        <v>0</v>
      </c>
      <c r="X68" s="25">
        <f t="shared" si="101"/>
        <v>56.217199999999998</v>
      </c>
      <c r="Y68" s="30"/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5">
        <f>SUM(Z68:AD68)</f>
        <v>0</v>
      </c>
      <c r="AF68" s="30"/>
      <c r="AG68" s="24">
        <v>0</v>
      </c>
      <c r="AH68" s="24">
        <v>0</v>
      </c>
      <c r="AI68" s="24">
        <v>0</v>
      </c>
      <c r="AJ68" s="24">
        <v>0</v>
      </c>
      <c r="AK68" s="24">
        <v>0</v>
      </c>
      <c r="AL68" s="25">
        <f t="shared" si="102"/>
        <v>0</v>
      </c>
      <c r="AN68" s="29">
        <f t="shared" si="99"/>
        <v>0</v>
      </c>
      <c r="AO68" s="29">
        <f t="shared" si="99"/>
        <v>0</v>
      </c>
      <c r="AP68" s="29">
        <f t="shared" si="99"/>
        <v>0</v>
      </c>
      <c r="AQ68" s="29">
        <f t="shared" si="99"/>
        <v>0</v>
      </c>
      <c r="AR68" s="29">
        <f t="shared" si="99"/>
        <v>0</v>
      </c>
      <c r="AS68" s="25">
        <f t="shared" si="103"/>
        <v>0</v>
      </c>
    </row>
    <row r="69" spans="1:45" x14ac:dyDescent="0.2">
      <c r="C69" s="49"/>
      <c r="E69" s="24">
        <v>0</v>
      </c>
      <c r="F69" s="24">
        <v>0</v>
      </c>
      <c r="G69" s="24">
        <v>0</v>
      </c>
      <c r="H69" s="24">
        <v>2717.39</v>
      </c>
      <c r="I69" s="24">
        <v>0</v>
      </c>
      <c r="J69" s="25">
        <f>SUM(E69:I69)</f>
        <v>2717.39</v>
      </c>
      <c r="K69" s="30"/>
      <c r="L69" s="24">
        <v>0</v>
      </c>
      <c r="M69" s="24">
        <v>0</v>
      </c>
      <c r="N69" s="24">
        <v>0</v>
      </c>
      <c r="O69" s="24">
        <v>158.47999999999999</v>
      </c>
      <c r="P69" s="24">
        <v>0</v>
      </c>
      <c r="Q69" s="25">
        <f t="shared" si="100"/>
        <v>158.47999999999999</v>
      </c>
      <c r="R69" s="30"/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5">
        <f t="shared" si="101"/>
        <v>0</v>
      </c>
      <c r="Y69" s="30"/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5">
        <f>SUM(Z69:AD69)</f>
        <v>0</v>
      </c>
      <c r="AF69" s="30"/>
      <c r="AG69" s="24">
        <v>0</v>
      </c>
      <c r="AH69" s="24">
        <v>0</v>
      </c>
      <c r="AI69" s="24">
        <v>0</v>
      </c>
      <c r="AJ69" s="24">
        <v>0</v>
      </c>
      <c r="AK69" s="24">
        <v>0</v>
      </c>
      <c r="AL69" s="25">
        <f t="shared" si="102"/>
        <v>0</v>
      </c>
      <c r="AN69" s="29">
        <f t="shared" si="99"/>
        <v>0</v>
      </c>
      <c r="AO69" s="29">
        <f t="shared" si="99"/>
        <v>0</v>
      </c>
      <c r="AP69" s="29">
        <f t="shared" si="99"/>
        <v>0</v>
      </c>
      <c r="AQ69" s="29">
        <f t="shared" si="99"/>
        <v>0</v>
      </c>
      <c r="AR69" s="29">
        <f t="shared" si="99"/>
        <v>0</v>
      </c>
      <c r="AS69" s="25">
        <f t="shared" si="103"/>
        <v>0</v>
      </c>
    </row>
    <row r="70" spans="1:45" s="9" customFormat="1" x14ac:dyDescent="0.2">
      <c r="A70" s="12"/>
      <c r="B70" s="12"/>
      <c r="C70" s="49"/>
      <c r="D70" s="12"/>
      <c r="E70" s="25">
        <f t="shared" ref="E70:J70" si="104">SUM(E65:E69)</f>
        <v>0</v>
      </c>
      <c r="F70" s="25">
        <f t="shared" si="104"/>
        <v>0</v>
      </c>
      <c r="G70" s="25">
        <f t="shared" si="104"/>
        <v>0</v>
      </c>
      <c r="H70" s="25">
        <f t="shared" si="104"/>
        <v>2717.39</v>
      </c>
      <c r="I70" s="25">
        <f t="shared" si="104"/>
        <v>158.47999999999999</v>
      </c>
      <c r="J70" s="25">
        <f t="shared" si="104"/>
        <v>2875.87</v>
      </c>
      <c r="K70" s="30"/>
      <c r="L70" s="25">
        <f t="shared" ref="L70:Q70" si="105">SUM(L65:L69)</f>
        <v>0</v>
      </c>
      <c r="M70" s="25">
        <f t="shared" si="105"/>
        <v>0</v>
      </c>
      <c r="N70" s="25">
        <f t="shared" si="105"/>
        <v>0</v>
      </c>
      <c r="O70" s="25">
        <f t="shared" si="105"/>
        <v>158.47999999999999</v>
      </c>
      <c r="P70" s="25">
        <f t="shared" si="105"/>
        <v>2717.39</v>
      </c>
      <c r="Q70" s="25">
        <f t="shared" si="105"/>
        <v>2875.87</v>
      </c>
      <c r="R70" s="30"/>
      <c r="S70" s="25">
        <f t="shared" ref="S70:X70" si="106">SUM(S65:S69)</f>
        <v>0</v>
      </c>
      <c r="T70" s="25">
        <f t="shared" si="106"/>
        <v>0</v>
      </c>
      <c r="U70" s="25">
        <f t="shared" si="106"/>
        <v>73.066299999999998</v>
      </c>
      <c r="V70" s="25">
        <f t="shared" si="106"/>
        <v>0</v>
      </c>
      <c r="W70" s="25">
        <f t="shared" si="106"/>
        <v>0</v>
      </c>
      <c r="X70" s="25">
        <f t="shared" si="106"/>
        <v>73.066299999999998</v>
      </c>
      <c r="Y70" s="30"/>
      <c r="Z70" s="25">
        <f t="shared" ref="Z70:AE70" si="107">SUM(Z65:Z69)</f>
        <v>0</v>
      </c>
      <c r="AA70" s="25">
        <f t="shared" si="107"/>
        <v>148.46299999999999</v>
      </c>
      <c r="AB70" s="25">
        <f t="shared" si="107"/>
        <v>0</v>
      </c>
      <c r="AC70" s="25">
        <f t="shared" si="107"/>
        <v>0</v>
      </c>
      <c r="AD70" s="25">
        <f t="shared" si="107"/>
        <v>0</v>
      </c>
      <c r="AE70" s="25">
        <f t="shared" si="107"/>
        <v>148.46299999999999</v>
      </c>
      <c r="AF70" s="30"/>
      <c r="AG70" s="25">
        <f>SUM(AG65:AG69)</f>
        <v>0</v>
      </c>
      <c r="AH70" s="25">
        <f t="shared" ref="AH70:AK70" si="108">SUM(AH65:AH69)</f>
        <v>184.51</v>
      </c>
      <c r="AI70" s="25">
        <f t="shared" si="108"/>
        <v>0</v>
      </c>
      <c r="AJ70" s="25">
        <f t="shared" si="108"/>
        <v>0</v>
      </c>
      <c r="AK70" s="25">
        <f t="shared" si="108"/>
        <v>0</v>
      </c>
      <c r="AL70" s="25">
        <f>SUM(AL65:AL69)</f>
        <v>184.51</v>
      </c>
      <c r="AM70" s="30"/>
      <c r="AN70" s="25">
        <f>SUM(AN65:AN69)</f>
        <v>0</v>
      </c>
      <c r="AO70" s="25">
        <f t="shared" ref="AO70:AS70" si="109">SUM(AO65:AO69)</f>
        <v>332.97299999999996</v>
      </c>
      <c r="AP70" s="25">
        <f t="shared" si="109"/>
        <v>0</v>
      </c>
      <c r="AQ70" s="25">
        <f t="shared" si="109"/>
        <v>0</v>
      </c>
      <c r="AR70" s="25">
        <f t="shared" si="109"/>
        <v>0</v>
      </c>
      <c r="AS70" s="25">
        <f t="shared" si="109"/>
        <v>332.97299999999996</v>
      </c>
    </row>
    <row r="72" spans="1:45" x14ac:dyDescent="0.2">
      <c r="B72" s="6">
        <v>3</v>
      </c>
      <c r="C72" s="49" t="s">
        <v>67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5">
        <f>SUM(E72:I72)</f>
        <v>0</v>
      </c>
      <c r="K72" s="30"/>
      <c r="L72" s="24">
        <v>0</v>
      </c>
      <c r="M72" s="24">
        <v>0</v>
      </c>
      <c r="N72" s="27">
        <v>0</v>
      </c>
      <c r="O72" s="24">
        <v>0</v>
      </c>
      <c r="P72" s="24">
        <v>0</v>
      </c>
      <c r="Q72" s="25">
        <f>SUM(L72:P72)</f>
        <v>0</v>
      </c>
      <c r="R72" s="30"/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25">
        <f>SUM(S72:W72)</f>
        <v>0</v>
      </c>
      <c r="Y72" s="30"/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25">
        <f>SUM(Z72:AD72)</f>
        <v>0</v>
      </c>
      <c r="AF72" s="30"/>
      <c r="AG72" s="36">
        <v>0</v>
      </c>
      <c r="AH72" s="36">
        <v>0</v>
      </c>
      <c r="AI72" s="36">
        <v>0</v>
      </c>
      <c r="AJ72" s="36">
        <v>0</v>
      </c>
      <c r="AK72" s="36">
        <v>0</v>
      </c>
      <c r="AL72" s="25">
        <f>SUM(AG72:AK72)</f>
        <v>0</v>
      </c>
      <c r="AN72" s="29">
        <f t="shared" ref="AN72:AR76" si="110">AG72+Z72</f>
        <v>0</v>
      </c>
      <c r="AO72" s="29">
        <f t="shared" si="110"/>
        <v>0</v>
      </c>
      <c r="AP72" s="29">
        <f t="shared" si="110"/>
        <v>0</v>
      </c>
      <c r="AQ72" s="29">
        <f t="shared" si="110"/>
        <v>0</v>
      </c>
      <c r="AR72" s="29">
        <f t="shared" si="110"/>
        <v>0</v>
      </c>
      <c r="AS72" s="25">
        <f>SUM(AN72:AR72)</f>
        <v>0</v>
      </c>
    </row>
    <row r="73" spans="1:45" x14ac:dyDescent="0.2">
      <c r="C73" s="49"/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5">
        <f>SUM(E73:I73)</f>
        <v>0</v>
      </c>
      <c r="K73" s="30"/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5">
        <f t="shared" ref="Q73:Q76" si="111">SUM(L73:P73)</f>
        <v>0</v>
      </c>
      <c r="R73" s="30"/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25">
        <f t="shared" ref="X73:X76" si="112">SUM(S73:W73)</f>
        <v>0</v>
      </c>
      <c r="Y73" s="30"/>
      <c r="Z73" s="36">
        <v>0</v>
      </c>
      <c r="AA73" s="36">
        <v>0</v>
      </c>
      <c r="AB73" s="36">
        <v>0</v>
      </c>
      <c r="AC73" s="36">
        <v>0</v>
      </c>
      <c r="AD73" s="36">
        <v>0</v>
      </c>
      <c r="AE73" s="25">
        <f>SUM(Z73:AD73)</f>
        <v>0</v>
      </c>
      <c r="AF73" s="30"/>
      <c r="AG73" s="36">
        <v>0</v>
      </c>
      <c r="AH73" s="36">
        <v>0</v>
      </c>
      <c r="AI73" s="36">
        <v>0</v>
      </c>
      <c r="AJ73" s="36">
        <v>0</v>
      </c>
      <c r="AK73" s="36">
        <v>0</v>
      </c>
      <c r="AL73" s="25">
        <f t="shared" ref="AL73:AL76" si="113">SUM(AG73:AK73)</f>
        <v>0</v>
      </c>
      <c r="AN73" s="29">
        <f t="shared" si="110"/>
        <v>0</v>
      </c>
      <c r="AO73" s="29">
        <f t="shared" si="110"/>
        <v>0</v>
      </c>
      <c r="AP73" s="29">
        <f t="shared" si="110"/>
        <v>0</v>
      </c>
      <c r="AQ73" s="29">
        <f t="shared" si="110"/>
        <v>0</v>
      </c>
      <c r="AR73" s="29">
        <f t="shared" si="110"/>
        <v>0</v>
      </c>
      <c r="AS73" s="25">
        <f t="shared" ref="AS73:AS76" si="114">SUM(AN73:AR73)</f>
        <v>0</v>
      </c>
    </row>
    <row r="74" spans="1:45" x14ac:dyDescent="0.2">
      <c r="C74" s="49"/>
      <c r="E74" s="27">
        <v>0</v>
      </c>
      <c r="F74" s="24">
        <v>0</v>
      </c>
      <c r="G74" s="24">
        <v>0</v>
      </c>
      <c r="H74" s="24">
        <v>0</v>
      </c>
      <c r="I74" s="24">
        <v>0</v>
      </c>
      <c r="J74" s="25">
        <f>SUM(E74:I74)</f>
        <v>0</v>
      </c>
      <c r="K74" s="30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5">
        <f t="shared" si="111"/>
        <v>0</v>
      </c>
      <c r="R74" s="30"/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25">
        <f t="shared" si="112"/>
        <v>0</v>
      </c>
      <c r="Y74" s="30"/>
      <c r="Z74" s="36">
        <v>0</v>
      </c>
      <c r="AA74" s="36">
        <v>0</v>
      </c>
      <c r="AB74" s="36">
        <v>0</v>
      </c>
      <c r="AC74" s="36">
        <v>0</v>
      </c>
      <c r="AD74" s="36">
        <v>0</v>
      </c>
      <c r="AE74" s="25">
        <f>SUM(Z74:AD74)</f>
        <v>0</v>
      </c>
      <c r="AF74" s="30"/>
      <c r="AG74" s="36">
        <v>0</v>
      </c>
      <c r="AH74" s="36">
        <v>0</v>
      </c>
      <c r="AI74" s="36">
        <v>0</v>
      </c>
      <c r="AJ74" s="36">
        <v>0</v>
      </c>
      <c r="AK74" s="36">
        <v>0</v>
      </c>
      <c r="AL74" s="25">
        <f t="shared" si="113"/>
        <v>0</v>
      </c>
      <c r="AN74" s="29">
        <f t="shared" si="110"/>
        <v>0</v>
      </c>
      <c r="AO74" s="29">
        <f t="shared" si="110"/>
        <v>0</v>
      </c>
      <c r="AP74" s="29">
        <f t="shared" si="110"/>
        <v>0</v>
      </c>
      <c r="AQ74" s="29">
        <f t="shared" si="110"/>
        <v>0</v>
      </c>
      <c r="AR74" s="29">
        <f t="shared" si="110"/>
        <v>0</v>
      </c>
      <c r="AS74" s="25">
        <f t="shared" si="114"/>
        <v>0</v>
      </c>
    </row>
    <row r="75" spans="1:45" x14ac:dyDescent="0.2">
      <c r="C75" s="49"/>
      <c r="E75" s="24">
        <v>0</v>
      </c>
      <c r="F75" s="24">
        <v>0</v>
      </c>
      <c r="G75" s="24">
        <v>0</v>
      </c>
      <c r="H75" s="24">
        <v>0</v>
      </c>
      <c r="I75" s="24">
        <v>158.47999999999999</v>
      </c>
      <c r="J75" s="25">
        <f>SUM(E75:I75)</f>
        <v>158.47999999999999</v>
      </c>
      <c r="K75" s="30"/>
      <c r="L75" s="24">
        <v>0</v>
      </c>
      <c r="M75" s="24">
        <v>0</v>
      </c>
      <c r="N75" s="24">
        <v>0</v>
      </c>
      <c r="O75" s="24">
        <v>0</v>
      </c>
      <c r="P75" s="24">
        <v>2717.39</v>
      </c>
      <c r="Q75" s="25">
        <f t="shared" si="111"/>
        <v>2717.39</v>
      </c>
      <c r="R75" s="30"/>
      <c r="S75" s="36">
        <v>0</v>
      </c>
      <c r="T75" s="36">
        <v>0</v>
      </c>
      <c r="U75" s="36">
        <v>0</v>
      </c>
      <c r="V75" s="36">
        <v>0</v>
      </c>
      <c r="W75" s="36">
        <v>0</v>
      </c>
      <c r="X75" s="25">
        <f t="shared" si="112"/>
        <v>0</v>
      </c>
      <c r="Y75" s="30"/>
      <c r="Z75" s="36">
        <v>0</v>
      </c>
      <c r="AA75" s="36">
        <v>0</v>
      </c>
      <c r="AB75" s="36">
        <v>0</v>
      </c>
      <c r="AC75" s="36">
        <v>0</v>
      </c>
      <c r="AD75" s="36">
        <v>0</v>
      </c>
      <c r="AE75" s="25">
        <f>SUM(Z75:AD75)</f>
        <v>0</v>
      </c>
      <c r="AF75" s="30"/>
      <c r="AG75" s="36">
        <v>0</v>
      </c>
      <c r="AH75" s="36">
        <v>0</v>
      </c>
      <c r="AI75" s="36">
        <v>0</v>
      </c>
      <c r="AJ75" s="36">
        <v>0</v>
      </c>
      <c r="AK75" s="36">
        <v>0</v>
      </c>
      <c r="AL75" s="25">
        <f t="shared" si="113"/>
        <v>0</v>
      </c>
      <c r="AN75" s="29">
        <f t="shared" si="110"/>
        <v>0</v>
      </c>
      <c r="AO75" s="29">
        <f t="shared" si="110"/>
        <v>0</v>
      </c>
      <c r="AP75" s="29">
        <f t="shared" si="110"/>
        <v>0</v>
      </c>
      <c r="AQ75" s="29">
        <f t="shared" si="110"/>
        <v>0</v>
      </c>
      <c r="AR75" s="29">
        <f t="shared" si="110"/>
        <v>0</v>
      </c>
      <c r="AS75" s="25">
        <f t="shared" si="114"/>
        <v>0</v>
      </c>
    </row>
    <row r="76" spans="1:45" x14ac:dyDescent="0.2">
      <c r="C76" s="49"/>
      <c r="E76" s="24">
        <v>0</v>
      </c>
      <c r="F76" s="24">
        <v>0</v>
      </c>
      <c r="G76" s="24">
        <v>0</v>
      </c>
      <c r="H76" s="24">
        <v>2717.39</v>
      </c>
      <c r="I76" s="24">
        <v>0</v>
      </c>
      <c r="J76" s="25">
        <f>SUM(E76:I76)</f>
        <v>2717.39</v>
      </c>
      <c r="K76" s="30"/>
      <c r="L76" s="24">
        <v>0</v>
      </c>
      <c r="M76" s="24">
        <v>0</v>
      </c>
      <c r="N76" s="24">
        <v>0</v>
      </c>
      <c r="O76" s="24">
        <v>158.47999999999999</v>
      </c>
      <c r="P76" s="24">
        <v>0</v>
      </c>
      <c r="Q76" s="25">
        <f t="shared" si="111"/>
        <v>158.47999999999999</v>
      </c>
      <c r="R76" s="30"/>
      <c r="S76" s="36">
        <v>0</v>
      </c>
      <c r="T76" s="36">
        <v>0</v>
      </c>
      <c r="U76" s="36">
        <v>0</v>
      </c>
      <c r="V76" s="36">
        <v>0</v>
      </c>
      <c r="W76" s="36">
        <v>0</v>
      </c>
      <c r="X76" s="25">
        <f t="shared" si="112"/>
        <v>0</v>
      </c>
      <c r="Y76" s="30"/>
      <c r="Z76" s="36">
        <v>0</v>
      </c>
      <c r="AA76" s="36">
        <v>0</v>
      </c>
      <c r="AB76" s="36">
        <v>0</v>
      </c>
      <c r="AC76" s="36">
        <v>0</v>
      </c>
      <c r="AD76" s="36">
        <v>0</v>
      </c>
      <c r="AE76" s="25">
        <f>SUM(Z76:AD76)</f>
        <v>0</v>
      </c>
      <c r="AF76" s="30"/>
      <c r="AG76" s="36">
        <v>0</v>
      </c>
      <c r="AH76" s="36">
        <v>0</v>
      </c>
      <c r="AI76" s="36">
        <v>0</v>
      </c>
      <c r="AJ76" s="36">
        <v>0</v>
      </c>
      <c r="AK76" s="36">
        <v>0</v>
      </c>
      <c r="AL76" s="25">
        <f t="shared" si="113"/>
        <v>0</v>
      </c>
      <c r="AN76" s="29">
        <f t="shared" si="110"/>
        <v>0</v>
      </c>
      <c r="AO76" s="29">
        <f t="shared" si="110"/>
        <v>0</v>
      </c>
      <c r="AP76" s="29">
        <f t="shared" si="110"/>
        <v>0</v>
      </c>
      <c r="AQ76" s="29">
        <f t="shared" si="110"/>
        <v>0</v>
      </c>
      <c r="AR76" s="29">
        <f t="shared" si="110"/>
        <v>0</v>
      </c>
      <c r="AS76" s="25">
        <f t="shared" si="114"/>
        <v>0</v>
      </c>
    </row>
    <row r="77" spans="1:45" s="9" customFormat="1" x14ac:dyDescent="0.2">
      <c r="A77" s="12"/>
      <c r="B77" s="12"/>
      <c r="C77" s="49"/>
      <c r="D77" s="12"/>
      <c r="E77" s="25">
        <f t="shared" ref="E77:J77" si="115">SUM(E72:E76)</f>
        <v>0</v>
      </c>
      <c r="F77" s="25">
        <f t="shared" si="115"/>
        <v>0</v>
      </c>
      <c r="G77" s="25">
        <f t="shared" si="115"/>
        <v>0</v>
      </c>
      <c r="H77" s="25">
        <f t="shared" si="115"/>
        <v>2717.39</v>
      </c>
      <c r="I77" s="25">
        <f t="shared" si="115"/>
        <v>158.47999999999999</v>
      </c>
      <c r="J77" s="25">
        <f t="shared" si="115"/>
        <v>2875.87</v>
      </c>
      <c r="K77" s="30"/>
      <c r="L77" s="25">
        <f t="shared" ref="L77:Q77" si="116">SUM(L72:L76)</f>
        <v>0</v>
      </c>
      <c r="M77" s="25">
        <f t="shared" si="116"/>
        <v>0</v>
      </c>
      <c r="N77" s="25">
        <f t="shared" si="116"/>
        <v>0</v>
      </c>
      <c r="O77" s="25">
        <f t="shared" si="116"/>
        <v>158.47999999999999</v>
      </c>
      <c r="P77" s="25">
        <f t="shared" si="116"/>
        <v>2717.39</v>
      </c>
      <c r="Q77" s="25">
        <f t="shared" si="116"/>
        <v>2875.87</v>
      </c>
      <c r="R77" s="30"/>
      <c r="S77" s="25">
        <f t="shared" ref="S77:X77" si="117">SUM(S72:S76)</f>
        <v>0</v>
      </c>
      <c r="T77" s="25">
        <f t="shared" si="117"/>
        <v>0</v>
      </c>
      <c r="U77" s="25">
        <f t="shared" si="117"/>
        <v>0</v>
      </c>
      <c r="V77" s="25">
        <f t="shared" si="117"/>
        <v>0</v>
      </c>
      <c r="W77" s="25">
        <f t="shared" si="117"/>
        <v>0</v>
      </c>
      <c r="X77" s="25">
        <f t="shared" si="117"/>
        <v>0</v>
      </c>
      <c r="Y77" s="30"/>
      <c r="Z77" s="25">
        <f t="shared" ref="Z77:AE77" si="118">SUM(Z72:Z76)</f>
        <v>0</v>
      </c>
      <c r="AA77" s="25">
        <f t="shared" si="118"/>
        <v>0</v>
      </c>
      <c r="AB77" s="25">
        <f t="shared" si="118"/>
        <v>0</v>
      </c>
      <c r="AC77" s="25">
        <f t="shared" si="118"/>
        <v>0</v>
      </c>
      <c r="AD77" s="25">
        <f t="shared" si="118"/>
        <v>0</v>
      </c>
      <c r="AE77" s="25">
        <f t="shared" si="118"/>
        <v>0</v>
      </c>
      <c r="AF77" s="30"/>
      <c r="AG77" s="25">
        <f>SUM(AG72:AG76)</f>
        <v>0</v>
      </c>
      <c r="AH77" s="25">
        <f t="shared" ref="AH77:AK77" si="119">SUM(AH72:AH76)</f>
        <v>0</v>
      </c>
      <c r="AI77" s="25">
        <f t="shared" si="119"/>
        <v>0</v>
      </c>
      <c r="AJ77" s="25">
        <f t="shared" si="119"/>
        <v>0</v>
      </c>
      <c r="AK77" s="25">
        <f t="shared" si="119"/>
        <v>0</v>
      </c>
      <c r="AL77" s="25">
        <f>SUM(AL72:AL76)</f>
        <v>0</v>
      </c>
      <c r="AM77" s="30"/>
      <c r="AN77" s="25">
        <f>SUM(AN72:AN76)</f>
        <v>0</v>
      </c>
      <c r="AO77" s="25">
        <f t="shared" ref="AO77:AS77" si="120">SUM(AO72:AO76)</f>
        <v>0</v>
      </c>
      <c r="AP77" s="25">
        <f t="shared" si="120"/>
        <v>0</v>
      </c>
      <c r="AQ77" s="25">
        <f t="shared" si="120"/>
        <v>0</v>
      </c>
      <c r="AR77" s="25">
        <f t="shared" si="120"/>
        <v>0</v>
      </c>
      <c r="AS77" s="25">
        <f t="shared" si="120"/>
        <v>0</v>
      </c>
    </row>
    <row r="79" spans="1:45" x14ac:dyDescent="0.2">
      <c r="B79" s="6">
        <v>3</v>
      </c>
      <c r="C79" s="49" t="s">
        <v>68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5">
        <f>SUM(E79:I79)</f>
        <v>0</v>
      </c>
      <c r="K79" s="30"/>
      <c r="L79" s="24">
        <v>0</v>
      </c>
      <c r="M79" s="24">
        <v>0</v>
      </c>
      <c r="N79" s="27">
        <v>0</v>
      </c>
      <c r="O79" s="24">
        <v>0</v>
      </c>
      <c r="P79" s="24">
        <v>0</v>
      </c>
      <c r="Q79" s="25">
        <f>SUM(L79:P79)</f>
        <v>0</v>
      </c>
      <c r="R79" s="30"/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25">
        <f>SUM(S79:W79)</f>
        <v>0</v>
      </c>
      <c r="Y79" s="30"/>
      <c r="Z79" s="36">
        <v>0</v>
      </c>
      <c r="AA79" s="36">
        <v>0</v>
      </c>
      <c r="AB79" s="36">
        <v>0</v>
      </c>
      <c r="AC79" s="36">
        <v>0</v>
      </c>
      <c r="AD79" s="36">
        <v>0</v>
      </c>
      <c r="AE79" s="25">
        <f>SUM(Z79:AD79)</f>
        <v>0</v>
      </c>
      <c r="AF79" s="30"/>
      <c r="AG79" s="36">
        <v>0</v>
      </c>
      <c r="AH79" s="36">
        <v>0</v>
      </c>
      <c r="AI79" s="36">
        <v>0</v>
      </c>
      <c r="AJ79" s="36">
        <v>0</v>
      </c>
      <c r="AK79" s="36">
        <v>0</v>
      </c>
      <c r="AL79" s="25">
        <f>SUM(AG79:AK79)</f>
        <v>0</v>
      </c>
      <c r="AN79" s="29">
        <f t="shared" ref="AN79:AR83" si="121">AG79+Z79</f>
        <v>0</v>
      </c>
      <c r="AO79" s="29">
        <f t="shared" si="121"/>
        <v>0</v>
      </c>
      <c r="AP79" s="29">
        <f t="shared" si="121"/>
        <v>0</v>
      </c>
      <c r="AQ79" s="29">
        <f t="shared" si="121"/>
        <v>0</v>
      </c>
      <c r="AR79" s="29">
        <f t="shared" si="121"/>
        <v>0</v>
      </c>
      <c r="AS79" s="25">
        <f>SUM(AN79:AR79)</f>
        <v>0</v>
      </c>
    </row>
    <row r="80" spans="1:45" x14ac:dyDescent="0.2">
      <c r="C80" s="49"/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5">
        <f>SUM(E80:I80)</f>
        <v>0</v>
      </c>
      <c r="K80" s="30"/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5">
        <f t="shared" ref="Q80:Q83" si="122">SUM(L80:P80)</f>
        <v>0</v>
      </c>
      <c r="R80" s="30"/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25">
        <f t="shared" ref="X80:X83" si="123">SUM(S80:W80)</f>
        <v>0</v>
      </c>
      <c r="Y80" s="30"/>
      <c r="Z80" s="36">
        <v>0</v>
      </c>
      <c r="AA80" s="36">
        <v>0</v>
      </c>
      <c r="AB80" s="36">
        <v>0</v>
      </c>
      <c r="AC80" s="36">
        <v>0</v>
      </c>
      <c r="AD80" s="36">
        <v>0</v>
      </c>
      <c r="AE80" s="25">
        <f>SUM(Z80:AD80)</f>
        <v>0</v>
      </c>
      <c r="AF80" s="30"/>
      <c r="AG80" s="36">
        <v>0</v>
      </c>
      <c r="AH80" s="36">
        <v>0</v>
      </c>
      <c r="AI80" s="36">
        <v>0</v>
      </c>
      <c r="AJ80" s="36">
        <v>0</v>
      </c>
      <c r="AK80" s="36">
        <v>0</v>
      </c>
      <c r="AL80" s="25">
        <f t="shared" ref="AL80:AL83" si="124">SUM(AG80:AK80)</f>
        <v>0</v>
      </c>
      <c r="AN80" s="29">
        <f t="shared" si="121"/>
        <v>0</v>
      </c>
      <c r="AO80" s="29">
        <f t="shared" si="121"/>
        <v>0</v>
      </c>
      <c r="AP80" s="29">
        <f t="shared" si="121"/>
        <v>0</v>
      </c>
      <c r="AQ80" s="29">
        <f t="shared" si="121"/>
        <v>0</v>
      </c>
      <c r="AR80" s="29">
        <f t="shared" si="121"/>
        <v>0</v>
      </c>
      <c r="AS80" s="25">
        <f t="shared" ref="AS80:AS83" si="125">SUM(AN80:AR80)</f>
        <v>0</v>
      </c>
    </row>
    <row r="81" spans="1:45" x14ac:dyDescent="0.2">
      <c r="C81" s="49"/>
      <c r="E81" s="27">
        <v>0</v>
      </c>
      <c r="F81" s="24">
        <v>0</v>
      </c>
      <c r="G81" s="24">
        <v>0</v>
      </c>
      <c r="H81" s="24">
        <v>0</v>
      </c>
      <c r="I81" s="24">
        <v>0</v>
      </c>
      <c r="J81" s="25">
        <f>SUM(E81:I81)</f>
        <v>0</v>
      </c>
      <c r="K81" s="30"/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5">
        <f t="shared" si="122"/>
        <v>0</v>
      </c>
      <c r="R81" s="30"/>
      <c r="S81" s="36">
        <v>0</v>
      </c>
      <c r="T81" s="36">
        <v>0</v>
      </c>
      <c r="U81" s="36">
        <v>0</v>
      </c>
      <c r="V81" s="36">
        <v>0</v>
      </c>
      <c r="W81" s="36">
        <v>0</v>
      </c>
      <c r="X81" s="25">
        <f t="shared" si="123"/>
        <v>0</v>
      </c>
      <c r="Y81" s="30"/>
      <c r="Z81" s="36">
        <v>0</v>
      </c>
      <c r="AA81" s="36">
        <v>0</v>
      </c>
      <c r="AB81" s="36">
        <v>0</v>
      </c>
      <c r="AC81" s="36">
        <v>0</v>
      </c>
      <c r="AD81" s="36">
        <v>0</v>
      </c>
      <c r="AE81" s="25">
        <f>SUM(Z81:AD81)</f>
        <v>0</v>
      </c>
      <c r="AF81" s="30"/>
      <c r="AG81" s="36">
        <v>0</v>
      </c>
      <c r="AH81" s="36">
        <v>0</v>
      </c>
      <c r="AI81" s="36">
        <v>0</v>
      </c>
      <c r="AJ81" s="36">
        <v>0</v>
      </c>
      <c r="AK81" s="36">
        <v>0</v>
      </c>
      <c r="AL81" s="25">
        <f t="shared" si="124"/>
        <v>0</v>
      </c>
      <c r="AN81" s="29">
        <f t="shared" si="121"/>
        <v>0</v>
      </c>
      <c r="AO81" s="29">
        <f t="shared" si="121"/>
        <v>0</v>
      </c>
      <c r="AP81" s="29">
        <f t="shared" si="121"/>
        <v>0</v>
      </c>
      <c r="AQ81" s="29">
        <f t="shared" si="121"/>
        <v>0</v>
      </c>
      <c r="AR81" s="29">
        <f t="shared" si="121"/>
        <v>0</v>
      </c>
      <c r="AS81" s="25">
        <f t="shared" si="125"/>
        <v>0</v>
      </c>
    </row>
    <row r="82" spans="1:45" x14ac:dyDescent="0.2">
      <c r="C82" s="49"/>
      <c r="E82" s="24">
        <v>0</v>
      </c>
      <c r="F82" s="24">
        <v>0</v>
      </c>
      <c r="G82" s="24">
        <v>0</v>
      </c>
      <c r="H82" s="24">
        <v>0</v>
      </c>
      <c r="I82" s="24">
        <v>158.47999999999999</v>
      </c>
      <c r="J82" s="25">
        <f>SUM(E82:I82)</f>
        <v>158.47999999999999</v>
      </c>
      <c r="K82" s="30"/>
      <c r="L82" s="24">
        <v>0</v>
      </c>
      <c r="M82" s="24">
        <v>0</v>
      </c>
      <c r="N82" s="24">
        <v>0</v>
      </c>
      <c r="O82" s="24">
        <v>0</v>
      </c>
      <c r="P82" s="24">
        <v>2717.39</v>
      </c>
      <c r="Q82" s="25">
        <f t="shared" si="122"/>
        <v>2717.39</v>
      </c>
      <c r="R82" s="30"/>
      <c r="S82" s="36">
        <v>0</v>
      </c>
      <c r="T82" s="36">
        <v>0</v>
      </c>
      <c r="U82" s="36">
        <v>0</v>
      </c>
      <c r="V82" s="36">
        <v>0</v>
      </c>
      <c r="W82" s="36">
        <v>0</v>
      </c>
      <c r="X82" s="25">
        <f t="shared" si="123"/>
        <v>0</v>
      </c>
      <c r="Y82" s="30"/>
      <c r="Z82" s="36">
        <v>0</v>
      </c>
      <c r="AA82" s="36">
        <v>0</v>
      </c>
      <c r="AB82" s="36">
        <v>0</v>
      </c>
      <c r="AC82" s="36">
        <v>0</v>
      </c>
      <c r="AD82" s="36">
        <v>0</v>
      </c>
      <c r="AE82" s="25">
        <f>SUM(Z82:AD82)</f>
        <v>0</v>
      </c>
      <c r="AF82" s="30"/>
      <c r="AG82" s="36">
        <v>0</v>
      </c>
      <c r="AH82" s="36">
        <v>0</v>
      </c>
      <c r="AI82" s="36">
        <v>0</v>
      </c>
      <c r="AJ82" s="36">
        <v>0</v>
      </c>
      <c r="AK82" s="36">
        <v>0</v>
      </c>
      <c r="AL82" s="25">
        <f t="shared" si="124"/>
        <v>0</v>
      </c>
      <c r="AN82" s="29">
        <f t="shared" si="121"/>
        <v>0</v>
      </c>
      <c r="AO82" s="29">
        <f t="shared" si="121"/>
        <v>0</v>
      </c>
      <c r="AP82" s="29">
        <f t="shared" si="121"/>
        <v>0</v>
      </c>
      <c r="AQ82" s="29">
        <f t="shared" si="121"/>
        <v>0</v>
      </c>
      <c r="AR82" s="29">
        <f t="shared" si="121"/>
        <v>0</v>
      </c>
      <c r="AS82" s="25">
        <f t="shared" si="125"/>
        <v>0</v>
      </c>
    </row>
    <row r="83" spans="1:45" x14ac:dyDescent="0.2">
      <c r="C83" s="49"/>
      <c r="E83" s="24">
        <v>0</v>
      </c>
      <c r="F83" s="24">
        <v>0</v>
      </c>
      <c r="G83" s="24">
        <v>0</v>
      </c>
      <c r="H83" s="24">
        <v>2717.39</v>
      </c>
      <c r="I83" s="24">
        <v>0</v>
      </c>
      <c r="J83" s="25">
        <f>SUM(E83:I83)</f>
        <v>2717.39</v>
      </c>
      <c r="K83" s="30"/>
      <c r="L83" s="24">
        <v>0</v>
      </c>
      <c r="M83" s="24">
        <v>0</v>
      </c>
      <c r="N83" s="24">
        <v>0</v>
      </c>
      <c r="O83" s="24">
        <v>158.47999999999999</v>
      </c>
      <c r="P83" s="24">
        <v>0</v>
      </c>
      <c r="Q83" s="25">
        <f t="shared" si="122"/>
        <v>158.47999999999999</v>
      </c>
      <c r="R83" s="30"/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25">
        <f t="shared" si="123"/>
        <v>0</v>
      </c>
      <c r="Y83" s="30"/>
      <c r="Z83" s="36">
        <v>0</v>
      </c>
      <c r="AA83" s="36">
        <v>0</v>
      </c>
      <c r="AB83" s="36">
        <v>0</v>
      </c>
      <c r="AC83" s="36">
        <v>0</v>
      </c>
      <c r="AD83" s="36">
        <v>0</v>
      </c>
      <c r="AE83" s="25">
        <f>SUM(Z83:AD83)</f>
        <v>0</v>
      </c>
      <c r="AF83" s="30"/>
      <c r="AG83" s="36">
        <v>0</v>
      </c>
      <c r="AH83" s="36">
        <v>0</v>
      </c>
      <c r="AI83" s="36">
        <v>0</v>
      </c>
      <c r="AJ83" s="36">
        <v>0</v>
      </c>
      <c r="AK83" s="36">
        <v>0</v>
      </c>
      <c r="AL83" s="25">
        <f t="shared" si="124"/>
        <v>0</v>
      </c>
      <c r="AN83" s="29">
        <f t="shared" si="121"/>
        <v>0</v>
      </c>
      <c r="AO83" s="29">
        <f t="shared" si="121"/>
        <v>0</v>
      </c>
      <c r="AP83" s="29">
        <f t="shared" si="121"/>
        <v>0</v>
      </c>
      <c r="AQ83" s="29">
        <f t="shared" si="121"/>
        <v>0</v>
      </c>
      <c r="AR83" s="29">
        <f t="shared" si="121"/>
        <v>0</v>
      </c>
      <c r="AS83" s="25">
        <f t="shared" si="125"/>
        <v>0</v>
      </c>
    </row>
    <row r="84" spans="1:45" s="9" customFormat="1" x14ac:dyDescent="0.2">
      <c r="A84" s="12"/>
      <c r="B84" s="12"/>
      <c r="C84" s="49"/>
      <c r="D84" s="12"/>
      <c r="E84" s="25">
        <f t="shared" ref="E84:J84" si="126">SUM(E79:E83)</f>
        <v>0</v>
      </c>
      <c r="F84" s="25">
        <f t="shared" si="126"/>
        <v>0</v>
      </c>
      <c r="G84" s="25">
        <f t="shared" si="126"/>
        <v>0</v>
      </c>
      <c r="H84" s="25">
        <f t="shared" si="126"/>
        <v>2717.39</v>
      </c>
      <c r="I84" s="25">
        <f t="shared" si="126"/>
        <v>158.47999999999999</v>
      </c>
      <c r="J84" s="25">
        <f t="shared" si="126"/>
        <v>2875.87</v>
      </c>
      <c r="K84" s="30"/>
      <c r="L84" s="25">
        <f t="shared" ref="L84:Q84" si="127">SUM(L79:L83)</f>
        <v>0</v>
      </c>
      <c r="M84" s="25">
        <f t="shared" si="127"/>
        <v>0</v>
      </c>
      <c r="N84" s="25">
        <f t="shared" si="127"/>
        <v>0</v>
      </c>
      <c r="O84" s="25">
        <f t="shared" si="127"/>
        <v>158.47999999999999</v>
      </c>
      <c r="P84" s="25">
        <f t="shared" si="127"/>
        <v>2717.39</v>
      </c>
      <c r="Q84" s="25">
        <f t="shared" si="127"/>
        <v>2875.87</v>
      </c>
      <c r="R84" s="30"/>
      <c r="S84" s="25">
        <f t="shared" ref="S84:X84" si="128">SUM(S79:S83)</f>
        <v>0</v>
      </c>
      <c r="T84" s="25">
        <f t="shared" si="128"/>
        <v>0</v>
      </c>
      <c r="U84" s="25">
        <f t="shared" si="128"/>
        <v>0</v>
      </c>
      <c r="V84" s="25">
        <f t="shared" si="128"/>
        <v>0</v>
      </c>
      <c r="W84" s="25">
        <f t="shared" si="128"/>
        <v>0</v>
      </c>
      <c r="X84" s="25">
        <f t="shared" si="128"/>
        <v>0</v>
      </c>
      <c r="Y84" s="30"/>
      <c r="Z84" s="25">
        <f t="shared" ref="Z84:AE84" si="129">SUM(Z79:Z83)</f>
        <v>0</v>
      </c>
      <c r="AA84" s="25">
        <f t="shared" si="129"/>
        <v>0</v>
      </c>
      <c r="AB84" s="25">
        <f t="shared" si="129"/>
        <v>0</v>
      </c>
      <c r="AC84" s="25">
        <f t="shared" si="129"/>
        <v>0</v>
      </c>
      <c r="AD84" s="25">
        <f t="shared" si="129"/>
        <v>0</v>
      </c>
      <c r="AE84" s="25">
        <f t="shared" si="129"/>
        <v>0</v>
      </c>
      <c r="AF84" s="30"/>
      <c r="AG84" s="25">
        <f>SUM(AG79:AG83)</f>
        <v>0</v>
      </c>
      <c r="AH84" s="25">
        <f t="shared" ref="AH84:AK84" si="130">SUM(AH79:AH83)</f>
        <v>0</v>
      </c>
      <c r="AI84" s="25">
        <f t="shared" si="130"/>
        <v>0</v>
      </c>
      <c r="AJ84" s="25">
        <f t="shared" si="130"/>
        <v>0</v>
      </c>
      <c r="AK84" s="25">
        <f t="shared" si="130"/>
        <v>0</v>
      </c>
      <c r="AL84" s="25">
        <f>SUM(AL79:AL83)</f>
        <v>0</v>
      </c>
      <c r="AM84" s="30"/>
      <c r="AN84" s="25">
        <f>SUM(AN79:AN83)</f>
        <v>0</v>
      </c>
      <c r="AO84" s="25">
        <f t="shared" ref="AO84:AS84" si="131">SUM(AO79:AO83)</f>
        <v>0</v>
      </c>
      <c r="AP84" s="25">
        <f t="shared" si="131"/>
        <v>0</v>
      </c>
      <c r="AQ84" s="25">
        <f t="shared" si="131"/>
        <v>0</v>
      </c>
      <c r="AR84" s="25">
        <f t="shared" si="131"/>
        <v>0</v>
      </c>
      <c r="AS84" s="25">
        <f t="shared" si="131"/>
        <v>0</v>
      </c>
    </row>
  </sheetData>
  <pageMargins left="0.7" right="0.7" top="0.75" bottom="0.75" header="0.3" footer="0.3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91F4-7508-EF4A-88D5-F680C2566EA7}">
  <dimension ref="A1:AH112"/>
  <sheetViews>
    <sheetView zoomScale="130" zoomScaleNormal="130" workbookViewId="0">
      <pane xSplit="3" ySplit="1" topLeftCell="D36" activePane="bottomRight" state="frozen"/>
      <selection pane="topRight" activeCell="D1" sqref="D1"/>
      <selection pane="bottomLeft" activeCell="A2" sqref="A2"/>
      <selection pane="bottomRight" activeCell="X61" sqref="X61"/>
    </sheetView>
  </sheetViews>
  <sheetFormatPr baseColWidth="10" defaultRowHeight="16" x14ac:dyDescent="0.2"/>
  <cols>
    <col min="1" max="1" width="3" style="7" bestFit="1" customWidth="1"/>
    <col min="2" max="2" width="3.28515625" style="20" bestFit="1" customWidth="1"/>
    <col min="3" max="3" width="2.5703125" style="7" customWidth="1"/>
    <col min="4" max="4" width="4.5703125" style="7" bestFit="1" customWidth="1"/>
    <col min="5" max="5" width="3.42578125" customWidth="1"/>
    <col min="6" max="6" width="4.28515625" style="28" bestFit="1" customWidth="1"/>
    <col min="7" max="7" width="6.7109375" style="28" bestFit="1" customWidth="1"/>
    <col min="8" max="8" width="7.7109375" style="28" bestFit="1" customWidth="1"/>
    <col min="9" max="9" width="6.5703125" style="28" bestFit="1" customWidth="1"/>
    <col min="10" max="10" width="7.7109375" style="28" bestFit="1" customWidth="1"/>
    <col min="11" max="11" width="7.5703125" style="28" customWidth="1"/>
    <col min="12" max="13" width="7.7109375" style="28" bestFit="1" customWidth="1"/>
    <col min="14" max="14" width="4.28515625" style="28" bestFit="1" customWidth="1"/>
    <col min="15" max="15" width="7.7109375" style="28" bestFit="1" customWidth="1"/>
    <col min="16" max="16" width="7" style="28" bestFit="1" customWidth="1"/>
    <col min="17" max="17" width="7.7109375" style="28" bestFit="1" customWidth="1"/>
    <col min="18" max="18" width="6.7109375" style="28" bestFit="1" customWidth="1"/>
    <col min="19" max="19" width="6.28515625" style="24" bestFit="1" customWidth="1"/>
    <col min="20" max="20" width="6.7109375" style="24" bestFit="1" customWidth="1"/>
    <col min="21" max="23" width="8.140625" style="28" bestFit="1" customWidth="1"/>
    <col min="24" max="24" width="10.140625" style="28" bestFit="1" customWidth="1"/>
    <col min="25" max="25" width="9.7109375" style="28" bestFit="1" customWidth="1"/>
    <col min="26" max="26" width="8" style="28" bestFit="1" customWidth="1"/>
    <col min="27" max="27" width="10.140625" style="28" bestFit="1" customWidth="1"/>
    <col min="28" max="28" width="9.5703125" style="28" bestFit="1" customWidth="1"/>
    <col min="29" max="29" width="8.28515625" style="28" bestFit="1" customWidth="1"/>
    <col min="30" max="30" width="8.140625" style="28" bestFit="1" customWidth="1"/>
    <col min="31" max="31" width="7.140625" style="28" bestFit="1" customWidth="1"/>
    <col min="32" max="33" width="7.85546875" style="7" customWidth="1"/>
    <col min="34" max="34" width="5.7109375" style="7" bestFit="1" customWidth="1"/>
    <col min="35" max="16384" width="10.7109375" style="7"/>
  </cols>
  <sheetData>
    <row r="1" spans="1:33" s="16" customFormat="1" ht="48" customHeight="1" x14ac:dyDescent="0.2">
      <c r="A1" s="16" t="s">
        <v>42</v>
      </c>
      <c r="B1" s="19" t="s">
        <v>29</v>
      </c>
      <c r="C1" s="16" t="s">
        <v>14</v>
      </c>
      <c r="D1" s="16" t="s">
        <v>15</v>
      </c>
      <c r="E1"/>
      <c r="F1" s="23" t="s">
        <v>27</v>
      </c>
      <c r="G1" s="23" t="s">
        <v>0</v>
      </c>
      <c r="H1" s="23" t="s">
        <v>4</v>
      </c>
      <c r="I1" s="23" t="s">
        <v>81</v>
      </c>
      <c r="J1" s="38" t="s">
        <v>26</v>
      </c>
      <c r="K1" s="23" t="s">
        <v>30</v>
      </c>
      <c r="L1" s="38" t="s">
        <v>3</v>
      </c>
      <c r="M1" s="23" t="s">
        <v>5</v>
      </c>
      <c r="N1" s="23" t="s">
        <v>82</v>
      </c>
      <c r="O1" s="38" t="s">
        <v>28</v>
      </c>
      <c r="P1" s="23" t="s">
        <v>31</v>
      </c>
      <c r="Q1" s="38" t="s">
        <v>21</v>
      </c>
      <c r="R1" s="38" t="s">
        <v>2</v>
      </c>
      <c r="S1" s="38" t="s">
        <v>45</v>
      </c>
      <c r="T1" s="38" t="s">
        <v>46</v>
      </c>
      <c r="U1" s="38" t="s">
        <v>83</v>
      </c>
      <c r="V1" s="38" t="s">
        <v>84</v>
      </c>
      <c r="W1" s="38" t="s">
        <v>32</v>
      </c>
      <c r="X1" s="38" t="s">
        <v>38</v>
      </c>
      <c r="Y1" s="38" t="s">
        <v>34</v>
      </c>
      <c r="Z1" s="38" t="s">
        <v>39</v>
      </c>
      <c r="AA1" s="38" t="s">
        <v>40</v>
      </c>
      <c r="AB1" s="38" t="s">
        <v>41</v>
      </c>
      <c r="AC1" s="38" t="s">
        <v>43</v>
      </c>
      <c r="AD1" s="38" t="s">
        <v>44</v>
      </c>
      <c r="AE1" s="23" t="s">
        <v>65</v>
      </c>
      <c r="AF1" s="16" t="s">
        <v>72</v>
      </c>
    </row>
    <row r="2" spans="1:33" x14ac:dyDescent="0.2">
      <c r="A2" s="7">
        <v>1</v>
      </c>
      <c r="B2" s="20">
        <v>0</v>
      </c>
      <c r="C2" s="7">
        <v>1</v>
      </c>
      <c r="D2" s="8" t="s">
        <v>16</v>
      </c>
      <c r="F2" s="28">
        <v>0</v>
      </c>
      <c r="G2" s="28">
        <v>477.125</v>
      </c>
      <c r="H2" s="28">
        <v>1631.73</v>
      </c>
      <c r="I2" s="28">
        <v>0</v>
      </c>
      <c r="J2" s="29">
        <f>F2+G2+H2+I2</f>
        <v>2108.855</v>
      </c>
      <c r="K2" s="28">
        <v>2185.2399999999998</v>
      </c>
      <c r="L2" s="29">
        <f>J2+K2</f>
        <v>4294.0949999999993</v>
      </c>
      <c r="M2" s="28">
        <v>3160.99</v>
      </c>
      <c r="N2" s="28">
        <v>0</v>
      </c>
      <c r="O2" s="29">
        <f>M2+N2</f>
        <v>3160.99</v>
      </c>
      <c r="P2" s="28">
        <v>959.6</v>
      </c>
      <c r="Q2" s="29">
        <f>P2+O2</f>
        <v>4120.59</v>
      </c>
      <c r="R2" s="29">
        <f>MAX(L2-Q2,0)</f>
        <v>173.5049999999992</v>
      </c>
      <c r="S2" s="24">
        <v>0</v>
      </c>
      <c r="T2" s="24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9">
        <f>X2+Y2</f>
        <v>0</v>
      </c>
      <c r="AD2" s="29">
        <f>AA2+AB2</f>
        <v>0</v>
      </c>
      <c r="AE2" s="29">
        <f>W2+AC2</f>
        <v>0</v>
      </c>
      <c r="AF2" s="29">
        <f>Z2+AD2</f>
        <v>0</v>
      </c>
      <c r="AG2" s="29"/>
    </row>
    <row r="3" spans="1:33" x14ac:dyDescent="0.2">
      <c r="C3" s="7">
        <v>2</v>
      </c>
      <c r="D3" s="7" t="s">
        <v>17</v>
      </c>
      <c r="F3" s="28">
        <v>0</v>
      </c>
      <c r="G3" s="28">
        <v>587.69299999999998</v>
      </c>
      <c r="H3" s="28">
        <v>4303.24</v>
      </c>
      <c r="I3" s="28">
        <v>0</v>
      </c>
      <c r="J3" s="29">
        <f t="shared" ref="J3:J6" si="0">F3+G3+H3+I3</f>
        <v>4890.933</v>
      </c>
      <c r="K3" s="28">
        <v>398.37</v>
      </c>
      <c r="L3" s="29">
        <f>J3+K3</f>
        <v>5289.3029999999999</v>
      </c>
      <c r="M3" s="28">
        <v>3231.37</v>
      </c>
      <c r="N3" s="28">
        <v>0</v>
      </c>
      <c r="O3" s="29">
        <f t="shared" ref="O3:O6" si="1">M3+N3</f>
        <v>3231.37</v>
      </c>
      <c r="P3" s="28">
        <v>1844.24</v>
      </c>
      <c r="Q3" s="29">
        <f>P3+O3</f>
        <v>5075.6099999999997</v>
      </c>
      <c r="R3" s="29">
        <f t="shared" ref="R3:R6" si="2">MAX(L3-Q3,0)</f>
        <v>213.69300000000021</v>
      </c>
      <c r="S3" s="24">
        <v>0</v>
      </c>
      <c r="T3" s="24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9">
        <f>X3+Y3</f>
        <v>0</v>
      </c>
      <c r="AD3" s="29">
        <f>AA3+AB3</f>
        <v>0</v>
      </c>
      <c r="AE3" s="29">
        <f>W3+AC3</f>
        <v>0</v>
      </c>
      <c r="AF3" s="29">
        <f t="shared" ref="AF3:AF6" si="3">Z3+AD3</f>
        <v>0</v>
      </c>
      <c r="AG3" s="29"/>
    </row>
    <row r="4" spans="1:33" x14ac:dyDescent="0.2">
      <c r="C4" s="7">
        <v>3</v>
      </c>
      <c r="D4" s="7" t="s">
        <v>18</v>
      </c>
      <c r="F4" s="28">
        <v>0</v>
      </c>
      <c r="G4" s="28">
        <v>513.84699999999998</v>
      </c>
      <c r="H4" s="28">
        <v>3379.72</v>
      </c>
      <c r="I4" s="28">
        <v>0</v>
      </c>
      <c r="J4" s="29">
        <f t="shared" si="0"/>
        <v>3893.567</v>
      </c>
      <c r="K4" s="28">
        <v>730.99</v>
      </c>
      <c r="L4" s="29">
        <f>J4+K4</f>
        <v>4624.5569999999998</v>
      </c>
      <c r="M4" s="28">
        <v>3184.36</v>
      </c>
      <c r="N4" s="28">
        <v>0</v>
      </c>
      <c r="O4" s="29">
        <f t="shared" si="1"/>
        <v>3184.36</v>
      </c>
      <c r="P4" s="28">
        <v>1253.3399999999999</v>
      </c>
      <c r="Q4" s="29">
        <f>P4+O4</f>
        <v>4437.7</v>
      </c>
      <c r="R4" s="29">
        <f t="shared" si="2"/>
        <v>186.85699999999997</v>
      </c>
      <c r="S4" s="24">
        <v>0</v>
      </c>
      <c r="T4" s="24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9">
        <f>X4+Y4</f>
        <v>0</v>
      </c>
      <c r="AD4" s="29">
        <f>AA4+AB4</f>
        <v>0</v>
      </c>
      <c r="AE4" s="29">
        <f>W4+AC4</f>
        <v>0</v>
      </c>
      <c r="AF4" s="29">
        <f t="shared" si="3"/>
        <v>0</v>
      </c>
      <c r="AG4" s="29"/>
    </row>
    <row r="5" spans="1:33" x14ac:dyDescent="0.2">
      <c r="C5" s="7">
        <v>4</v>
      </c>
      <c r="D5" s="7" t="s">
        <v>19</v>
      </c>
      <c r="F5" s="28">
        <v>0</v>
      </c>
      <c r="G5" s="28">
        <v>713.66200000000003</v>
      </c>
      <c r="H5" s="28">
        <v>4351.47</v>
      </c>
      <c r="I5" s="28">
        <v>0</v>
      </c>
      <c r="J5" s="29">
        <f t="shared" si="0"/>
        <v>5065.1320000000005</v>
      </c>
      <c r="K5" s="28">
        <v>1357.75</v>
      </c>
      <c r="L5" s="29">
        <f>J5+K5</f>
        <v>6422.8820000000005</v>
      </c>
      <c r="M5" s="28">
        <v>3311.51</v>
      </c>
      <c r="N5" s="28">
        <v>0</v>
      </c>
      <c r="O5" s="29">
        <f t="shared" si="1"/>
        <v>3311.51</v>
      </c>
      <c r="P5" s="28">
        <v>2851.85</v>
      </c>
      <c r="Q5" s="29">
        <f>P5+O5</f>
        <v>6163.3600000000006</v>
      </c>
      <c r="R5" s="29">
        <f t="shared" si="2"/>
        <v>259.52199999999993</v>
      </c>
      <c r="S5" s="24">
        <v>0</v>
      </c>
      <c r="T5" s="24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9">
        <f>X5+Y5</f>
        <v>0</v>
      </c>
      <c r="AD5" s="29">
        <f>AA5+AB5</f>
        <v>0</v>
      </c>
      <c r="AE5" s="29">
        <f>W5+AC5</f>
        <v>0</v>
      </c>
      <c r="AF5" s="29">
        <f t="shared" si="3"/>
        <v>0</v>
      </c>
      <c r="AG5" s="29"/>
    </row>
    <row r="6" spans="1:33" x14ac:dyDescent="0.2">
      <c r="C6" s="7">
        <v>5</v>
      </c>
      <c r="D6" s="7" t="s">
        <v>20</v>
      </c>
      <c r="F6" s="28">
        <v>0</v>
      </c>
      <c r="G6" s="28">
        <v>417.25700000000001</v>
      </c>
      <c r="H6" s="28">
        <v>620.69000000000005</v>
      </c>
      <c r="I6" s="28">
        <v>0</v>
      </c>
      <c r="J6" s="29">
        <f t="shared" si="0"/>
        <v>1037.9470000000001</v>
      </c>
      <c r="K6" s="28">
        <v>2717.39</v>
      </c>
      <c r="L6" s="29">
        <f>J6+K6</f>
        <v>3755.337</v>
      </c>
      <c r="M6" s="28">
        <v>3122.9</v>
      </c>
      <c r="N6" s="28">
        <v>0</v>
      </c>
      <c r="O6" s="29">
        <f t="shared" si="1"/>
        <v>3122.9</v>
      </c>
      <c r="P6" s="28">
        <v>480.71</v>
      </c>
      <c r="Q6" s="29">
        <f>P6+O6</f>
        <v>3603.61</v>
      </c>
      <c r="R6" s="29">
        <f t="shared" si="2"/>
        <v>151.72699999999986</v>
      </c>
      <c r="S6" s="24">
        <v>0</v>
      </c>
      <c r="T6" s="24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9">
        <f>X6+Y6</f>
        <v>0</v>
      </c>
      <c r="AD6" s="29">
        <f>AA6+AB6</f>
        <v>0</v>
      </c>
      <c r="AE6" s="29">
        <f>W6+AC6</f>
        <v>0</v>
      </c>
      <c r="AF6" s="29">
        <f t="shared" si="3"/>
        <v>0</v>
      </c>
      <c r="AG6" s="29"/>
    </row>
    <row r="7" spans="1:33" x14ac:dyDescent="0.2">
      <c r="F7" s="25">
        <f>SUM(F2:F6)</f>
        <v>0</v>
      </c>
      <c r="G7" s="25">
        <f t="shared" ref="G7:Q7" si="4">SUM(G2:G6)</f>
        <v>2709.5840000000003</v>
      </c>
      <c r="H7" s="25">
        <f t="shared" si="4"/>
        <v>14286.85</v>
      </c>
      <c r="I7" s="25">
        <f>SUM(I2:I6)</f>
        <v>0</v>
      </c>
      <c r="J7" s="25">
        <f>SUM(J2:J6)</f>
        <v>16996.434000000001</v>
      </c>
      <c r="K7" s="25">
        <f t="shared" si="4"/>
        <v>7389.74</v>
      </c>
      <c r="L7" s="25">
        <f t="shared" si="4"/>
        <v>24386.173999999999</v>
      </c>
      <c r="M7" s="25">
        <f>SUM(M2:M6)</f>
        <v>16011.13</v>
      </c>
      <c r="N7" s="25">
        <f>SUM(N2:N6)</f>
        <v>0</v>
      </c>
      <c r="O7" s="25">
        <f>SUM(O2:O6)</f>
        <v>16011.13</v>
      </c>
      <c r="P7" s="25">
        <f>SUM(P2:P6)</f>
        <v>7389.7400000000007</v>
      </c>
      <c r="Q7" s="25">
        <f t="shared" si="4"/>
        <v>23400.870000000003</v>
      </c>
      <c r="R7" s="25">
        <f>SUM(R2:R6)</f>
        <v>985.30399999999918</v>
      </c>
      <c r="S7" s="25">
        <f t="shared" ref="S7:AD7" si="5">SUM(S2:S6)</f>
        <v>0</v>
      </c>
      <c r="T7" s="25">
        <f t="shared" si="5"/>
        <v>0</v>
      </c>
      <c r="U7" s="25">
        <f t="shared" si="5"/>
        <v>0</v>
      </c>
      <c r="V7" s="25">
        <f t="shared" si="5"/>
        <v>0</v>
      </c>
      <c r="W7" s="25">
        <f t="shared" si="5"/>
        <v>0</v>
      </c>
      <c r="X7" s="25">
        <f t="shared" si="5"/>
        <v>0</v>
      </c>
      <c r="Y7" s="25">
        <f t="shared" si="5"/>
        <v>0</v>
      </c>
      <c r="Z7" s="25">
        <f>SUM(Z2:Z6)</f>
        <v>0</v>
      </c>
      <c r="AA7" s="25">
        <f>SUM(AA2:AA6)</f>
        <v>0</v>
      </c>
      <c r="AB7" s="25">
        <f t="shared" si="5"/>
        <v>0</v>
      </c>
      <c r="AC7" s="25">
        <f t="shared" si="5"/>
        <v>0</v>
      </c>
      <c r="AD7" s="25">
        <f t="shared" si="5"/>
        <v>0</v>
      </c>
      <c r="AE7" s="25">
        <f>SUM(AE2:AE6)</f>
        <v>0</v>
      </c>
      <c r="AF7" s="50">
        <f>SUM(AF2:AF6)</f>
        <v>0</v>
      </c>
      <c r="AG7" s="50"/>
    </row>
    <row r="9" spans="1:33" x14ac:dyDescent="0.2">
      <c r="A9" s="7">
        <v>1</v>
      </c>
      <c r="B9" s="20" t="s">
        <v>68</v>
      </c>
      <c r="C9" s="7">
        <v>1</v>
      </c>
      <c r="D9" s="13" t="s">
        <v>16</v>
      </c>
      <c r="F9" s="28">
        <v>0</v>
      </c>
      <c r="G9" s="28">
        <v>477.125</v>
      </c>
      <c r="H9" s="39">
        <v>0</v>
      </c>
      <c r="I9" s="28">
        <v>0</v>
      </c>
      <c r="J9" s="29">
        <f>F9+G9+H9+I9</f>
        <v>477.125</v>
      </c>
      <c r="K9" s="28">
        <v>2185.2399999999998</v>
      </c>
      <c r="L9" s="29">
        <f>J9+K9</f>
        <v>2662.3649999999998</v>
      </c>
      <c r="M9" s="39">
        <v>2042.355</v>
      </c>
      <c r="N9" s="28">
        <v>0</v>
      </c>
      <c r="O9" s="29">
        <f>M9+N9</f>
        <v>2042.355</v>
      </c>
      <c r="P9" s="39">
        <v>620.00900000000001</v>
      </c>
      <c r="Q9" s="40">
        <f>P9+O9</f>
        <v>2662.364</v>
      </c>
      <c r="R9" s="41">
        <v>0</v>
      </c>
      <c r="S9" s="41">
        <v>339.59900000000005</v>
      </c>
      <c r="T9" s="30">
        <v>0</v>
      </c>
      <c r="U9" s="28">
        <v>0</v>
      </c>
      <c r="V9" s="39">
        <v>1118.6423</v>
      </c>
      <c r="W9" s="56">
        <v>339.6</v>
      </c>
      <c r="X9" s="28">
        <v>0</v>
      </c>
      <c r="Y9" s="39">
        <v>2185.2399999999998</v>
      </c>
      <c r="Z9" s="28">
        <v>0</v>
      </c>
      <c r="AA9" s="28">
        <v>0</v>
      </c>
      <c r="AB9" s="28">
        <v>0</v>
      </c>
      <c r="AC9" s="29">
        <f>X9+Y9</f>
        <v>2185.2399999999998</v>
      </c>
      <c r="AD9" s="29">
        <f>AA9+AB9</f>
        <v>0</v>
      </c>
      <c r="AE9" s="29">
        <f>W9+AC9</f>
        <v>2524.8399999999997</v>
      </c>
      <c r="AF9" s="29">
        <f>Z9+AD9</f>
        <v>0</v>
      </c>
      <c r="AG9" s="29"/>
    </row>
    <row r="10" spans="1:33" x14ac:dyDescent="0.2">
      <c r="C10" s="7">
        <v>2</v>
      </c>
      <c r="D10" s="7" t="s">
        <v>17</v>
      </c>
      <c r="F10" s="28">
        <v>0</v>
      </c>
      <c r="G10" s="28">
        <v>587.69299999999998</v>
      </c>
      <c r="H10" s="28">
        <v>4303.24</v>
      </c>
      <c r="I10" s="28">
        <v>0</v>
      </c>
      <c r="J10" s="29">
        <f t="shared" ref="J10:J13" si="6">F10+G10+H10+I10</f>
        <v>4890.933</v>
      </c>
      <c r="K10" s="28">
        <v>398.37</v>
      </c>
      <c r="L10" s="29">
        <f>J10+K10</f>
        <v>5289.3029999999999</v>
      </c>
      <c r="M10" s="28">
        <v>3231.37</v>
      </c>
      <c r="N10" s="28">
        <v>0</v>
      </c>
      <c r="O10" s="29">
        <f t="shared" ref="O10:O13" si="7">M10+N10</f>
        <v>3231.37</v>
      </c>
      <c r="P10" s="28">
        <v>1844.24</v>
      </c>
      <c r="Q10" s="29">
        <f>P10+O10</f>
        <v>5075.6099999999997</v>
      </c>
      <c r="R10" s="30">
        <v>213.69300000000021</v>
      </c>
      <c r="S10" s="30">
        <v>0</v>
      </c>
      <c r="T10" s="30">
        <v>0</v>
      </c>
      <c r="U10" s="28">
        <v>0</v>
      </c>
      <c r="V10" s="28">
        <v>0</v>
      </c>
      <c r="W10" s="55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9">
        <f>X10+Y10</f>
        <v>0</v>
      </c>
      <c r="AD10" s="29">
        <f>AA10+AB10</f>
        <v>0</v>
      </c>
      <c r="AE10" s="29">
        <f>W10+AC10</f>
        <v>0</v>
      </c>
      <c r="AF10" s="29">
        <f t="shared" ref="AF10:AF13" si="8">Z10+AD10</f>
        <v>0</v>
      </c>
      <c r="AG10" s="29"/>
    </row>
    <row r="11" spans="1:33" x14ac:dyDescent="0.2">
      <c r="C11" s="7">
        <v>3</v>
      </c>
      <c r="D11" s="7" t="s">
        <v>18</v>
      </c>
      <c r="F11" s="28">
        <v>0</v>
      </c>
      <c r="G11" s="28">
        <v>513.84699999999998</v>
      </c>
      <c r="H11" s="28">
        <v>3379.72</v>
      </c>
      <c r="I11" s="28">
        <v>0</v>
      </c>
      <c r="J11" s="29">
        <f t="shared" si="6"/>
        <v>3893.567</v>
      </c>
      <c r="K11" s="28">
        <v>730.99</v>
      </c>
      <c r="L11" s="29">
        <f>J11+K11</f>
        <v>4624.5569999999998</v>
      </c>
      <c r="M11" s="28">
        <v>3184.36</v>
      </c>
      <c r="N11" s="28">
        <v>0</v>
      </c>
      <c r="O11" s="29">
        <f t="shared" si="7"/>
        <v>3184.36</v>
      </c>
      <c r="P11" s="28">
        <v>1253.3399999999999</v>
      </c>
      <c r="Q11" s="29">
        <f>P11+O11</f>
        <v>4437.7</v>
      </c>
      <c r="R11" s="30">
        <v>186.85699999999997</v>
      </c>
      <c r="S11" s="30">
        <v>0</v>
      </c>
      <c r="T11" s="30">
        <v>0</v>
      </c>
      <c r="U11" s="28">
        <v>0</v>
      </c>
      <c r="V11" s="28">
        <v>0</v>
      </c>
      <c r="W11" s="55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9">
        <f>X11+Y11</f>
        <v>0</v>
      </c>
      <c r="AD11" s="29">
        <f>AA11+AB11</f>
        <v>0</v>
      </c>
      <c r="AE11" s="29">
        <f>W11+AC11</f>
        <v>0</v>
      </c>
      <c r="AF11" s="29">
        <f t="shared" si="8"/>
        <v>0</v>
      </c>
      <c r="AG11" s="29"/>
    </row>
    <row r="12" spans="1:33" x14ac:dyDescent="0.2">
      <c r="C12" s="7">
        <v>4</v>
      </c>
      <c r="D12" s="7" t="s">
        <v>19</v>
      </c>
      <c r="F12" s="28">
        <v>0</v>
      </c>
      <c r="G12" s="28">
        <v>713.66200000000003</v>
      </c>
      <c r="H12" s="28">
        <v>4351.47</v>
      </c>
      <c r="I12" s="28">
        <v>0</v>
      </c>
      <c r="J12" s="29">
        <f t="shared" si="6"/>
        <v>5065.1320000000005</v>
      </c>
      <c r="K12" s="28">
        <v>1357.75</v>
      </c>
      <c r="L12" s="29">
        <f>J12+K12</f>
        <v>6422.8820000000005</v>
      </c>
      <c r="M12" s="28">
        <v>3311.51</v>
      </c>
      <c r="N12" s="28">
        <v>0</v>
      </c>
      <c r="O12" s="29">
        <f t="shared" si="7"/>
        <v>3311.51</v>
      </c>
      <c r="P12" s="28">
        <v>2851.85</v>
      </c>
      <c r="Q12" s="29">
        <f>P12+O12</f>
        <v>6163.3600000000006</v>
      </c>
      <c r="R12" s="30">
        <v>259.52199999999993</v>
      </c>
      <c r="S12" s="30">
        <v>0</v>
      </c>
      <c r="T12" s="30">
        <v>0</v>
      </c>
      <c r="U12" s="28">
        <v>0</v>
      </c>
      <c r="V12" s="28">
        <v>0</v>
      </c>
      <c r="W12" s="55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9">
        <f>X12+Y12</f>
        <v>0</v>
      </c>
      <c r="AD12" s="29">
        <f>AA12+AB12</f>
        <v>0</v>
      </c>
      <c r="AE12" s="29">
        <f>W12+AC12</f>
        <v>0</v>
      </c>
      <c r="AF12" s="29">
        <f t="shared" si="8"/>
        <v>0</v>
      </c>
      <c r="AG12" s="29"/>
    </row>
    <row r="13" spans="1:33" x14ac:dyDescent="0.2">
      <c r="C13" s="7">
        <v>5</v>
      </c>
      <c r="D13" s="7" t="s">
        <v>20</v>
      </c>
      <c r="F13" s="28">
        <v>0</v>
      </c>
      <c r="G13" s="28">
        <v>417.25700000000001</v>
      </c>
      <c r="H13" s="28">
        <v>620.69000000000005</v>
      </c>
      <c r="I13" s="28">
        <v>0</v>
      </c>
      <c r="J13" s="29">
        <f t="shared" si="6"/>
        <v>1037.9470000000001</v>
      </c>
      <c r="K13" s="28">
        <v>2717.39</v>
      </c>
      <c r="L13" s="29">
        <f>J13+K13</f>
        <v>3755.337</v>
      </c>
      <c r="M13" s="28">
        <v>3122.9</v>
      </c>
      <c r="N13" s="28">
        <v>0</v>
      </c>
      <c r="O13" s="29">
        <f t="shared" si="7"/>
        <v>3122.9</v>
      </c>
      <c r="P13" s="28">
        <v>480.71</v>
      </c>
      <c r="Q13" s="29">
        <f>P13+O13</f>
        <v>3603.61</v>
      </c>
      <c r="R13" s="30">
        <v>151.72699999999986</v>
      </c>
      <c r="S13" s="30">
        <v>0</v>
      </c>
      <c r="T13" s="30">
        <v>0</v>
      </c>
      <c r="U13" s="28">
        <v>0</v>
      </c>
      <c r="V13" s="28">
        <v>0</v>
      </c>
      <c r="W13" s="55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9">
        <f>X13+Y13</f>
        <v>0</v>
      </c>
      <c r="AD13" s="29">
        <f>AA13+AB13</f>
        <v>0</v>
      </c>
      <c r="AE13" s="29">
        <f>W13+AC13</f>
        <v>0</v>
      </c>
      <c r="AF13" s="29">
        <f t="shared" si="8"/>
        <v>0</v>
      </c>
      <c r="AG13" s="29"/>
    </row>
    <row r="14" spans="1:33" x14ac:dyDescent="0.2">
      <c r="F14" s="25">
        <f>SUM(F9:F13)</f>
        <v>0</v>
      </c>
      <c r="G14" s="25">
        <f t="shared" ref="G14:L14" si="9">SUM(G9:G13)</f>
        <v>2709.5840000000003</v>
      </c>
      <c r="H14" s="25">
        <f t="shared" si="9"/>
        <v>12655.12</v>
      </c>
      <c r="I14" s="25">
        <f>SUM(I9:I13)</f>
        <v>0</v>
      </c>
      <c r="J14" s="25">
        <f>SUM(J9:J13)</f>
        <v>15364.704000000002</v>
      </c>
      <c r="K14" s="25">
        <f t="shared" si="9"/>
        <v>7389.74</v>
      </c>
      <c r="L14" s="25">
        <f t="shared" si="9"/>
        <v>22754.444</v>
      </c>
      <c r="M14" s="25">
        <f>SUM(M9:M13)</f>
        <v>14892.495000000001</v>
      </c>
      <c r="N14" s="25">
        <f>SUM(N9:N13)</f>
        <v>0</v>
      </c>
      <c r="O14" s="25">
        <f>SUM(O9:O13)</f>
        <v>14892.495000000001</v>
      </c>
      <c r="P14" s="25">
        <f>SUM(P9:P13)</f>
        <v>7050.1490000000003</v>
      </c>
      <c r="Q14" s="25">
        <f t="shared" ref="Q14" si="10">SUM(Q9:Q13)</f>
        <v>21942.644</v>
      </c>
      <c r="R14" s="25">
        <f>SUM(R9:R13)</f>
        <v>811.79899999999998</v>
      </c>
      <c r="S14" s="25">
        <f t="shared" ref="S14:AD14" si="11">SUM(S9:S13)</f>
        <v>339.59900000000005</v>
      </c>
      <c r="T14" s="25">
        <f t="shared" si="11"/>
        <v>0</v>
      </c>
      <c r="U14" s="25">
        <f t="shared" si="11"/>
        <v>0</v>
      </c>
      <c r="V14" s="25">
        <f t="shared" si="11"/>
        <v>1118.6423</v>
      </c>
      <c r="W14" s="25">
        <f t="shared" si="11"/>
        <v>339.6</v>
      </c>
      <c r="X14" s="25">
        <f t="shared" si="11"/>
        <v>0</v>
      </c>
      <c r="Y14" s="25">
        <f t="shared" si="11"/>
        <v>2185.2399999999998</v>
      </c>
      <c r="Z14" s="25">
        <f>SUM(Z9:Z13)</f>
        <v>0</v>
      </c>
      <c r="AA14" s="25">
        <f>SUM(AA9:AA13)</f>
        <v>0</v>
      </c>
      <c r="AB14" s="25">
        <f t="shared" si="11"/>
        <v>0</v>
      </c>
      <c r="AC14" s="25">
        <f t="shared" si="11"/>
        <v>2185.2399999999998</v>
      </c>
      <c r="AD14" s="25">
        <f t="shared" si="11"/>
        <v>0</v>
      </c>
      <c r="AE14" s="25">
        <f>SUM(AE9:AE13)</f>
        <v>2524.8399999999997</v>
      </c>
      <c r="AF14" s="50">
        <f>SUM(AF9:AF13)</f>
        <v>0</v>
      </c>
      <c r="AG14" s="50"/>
    </row>
    <row r="15" spans="1:33" x14ac:dyDescent="0.2"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50"/>
      <c r="AG15" s="50"/>
    </row>
    <row r="16" spans="1:33" x14ac:dyDescent="0.2">
      <c r="A16" s="7">
        <v>1</v>
      </c>
      <c r="B16" s="20" t="s">
        <v>69</v>
      </c>
      <c r="C16" s="7">
        <v>1</v>
      </c>
      <c r="D16" s="13" t="s">
        <v>16</v>
      </c>
      <c r="F16" s="28">
        <v>0</v>
      </c>
      <c r="G16" s="28">
        <v>477.125</v>
      </c>
      <c r="H16" s="24">
        <v>0</v>
      </c>
      <c r="I16" s="28">
        <v>0</v>
      </c>
      <c r="J16" s="29">
        <f>F16+G16+H16+I16</f>
        <v>477.125</v>
      </c>
      <c r="K16" s="28">
        <v>2185.2399999999998</v>
      </c>
      <c r="L16" s="29">
        <f>J16+K16</f>
        <v>2662.3649999999998</v>
      </c>
      <c r="M16" s="24">
        <v>2042.355</v>
      </c>
      <c r="N16" s="28">
        <v>0</v>
      </c>
      <c r="O16" s="29">
        <f>M16+N16</f>
        <v>2042.355</v>
      </c>
      <c r="P16" s="24">
        <v>620.00099999999998</v>
      </c>
      <c r="Q16" s="29">
        <f>P16+O16</f>
        <v>2662.3559999999998</v>
      </c>
      <c r="R16" s="30">
        <v>0</v>
      </c>
      <c r="S16" s="30">
        <v>339.59900000000005</v>
      </c>
      <c r="T16" s="30">
        <v>0</v>
      </c>
      <c r="U16" s="28">
        <v>0</v>
      </c>
      <c r="V16" s="28">
        <v>0</v>
      </c>
      <c r="W16" s="24">
        <v>339.59900000000005</v>
      </c>
      <c r="X16" s="28">
        <v>0</v>
      </c>
      <c r="Y16" s="24">
        <v>2185.2399999999998</v>
      </c>
      <c r="Z16" s="28">
        <v>0</v>
      </c>
      <c r="AA16" s="28">
        <v>0</v>
      </c>
      <c r="AB16" s="28">
        <v>0</v>
      </c>
      <c r="AC16" s="29">
        <f>X16+Y16</f>
        <v>2185.2399999999998</v>
      </c>
      <c r="AD16" s="29">
        <f>AA16+AB16</f>
        <v>0</v>
      </c>
      <c r="AE16" s="29">
        <f>W16+AC16</f>
        <v>2524.8389999999999</v>
      </c>
      <c r="AF16" s="29">
        <f>Z16+AD16</f>
        <v>0</v>
      </c>
      <c r="AG16" s="29"/>
    </row>
    <row r="17" spans="1:33" x14ac:dyDescent="0.2">
      <c r="C17" s="7">
        <v>2</v>
      </c>
      <c r="D17" s="7" t="s">
        <v>17</v>
      </c>
      <c r="F17" s="28">
        <v>0</v>
      </c>
      <c r="G17" s="28">
        <v>587.69299999999998</v>
      </c>
      <c r="H17" s="28">
        <v>4303.24</v>
      </c>
      <c r="I17" s="28">
        <v>0</v>
      </c>
      <c r="J17" s="29">
        <f t="shared" ref="J17:J20" si="12">F17+G17+H17+I17</f>
        <v>4890.933</v>
      </c>
      <c r="K17" s="28">
        <v>398.37</v>
      </c>
      <c r="L17" s="29">
        <f>J17+K17</f>
        <v>5289.3029999999999</v>
      </c>
      <c r="M17" s="28">
        <v>3231.37</v>
      </c>
      <c r="N17" s="28">
        <v>0</v>
      </c>
      <c r="O17" s="29">
        <f t="shared" ref="O17:O20" si="13">M17+N17</f>
        <v>3231.37</v>
      </c>
      <c r="P17" s="28">
        <v>1844.24</v>
      </c>
      <c r="Q17" s="29">
        <f>P17+O17</f>
        <v>5075.6099999999997</v>
      </c>
      <c r="R17" s="30">
        <v>213.69300000000021</v>
      </c>
      <c r="S17" s="30">
        <v>0</v>
      </c>
      <c r="T17" s="30">
        <v>0</v>
      </c>
      <c r="U17" s="28">
        <v>0</v>
      </c>
      <c r="V17" s="28">
        <v>0</v>
      </c>
      <c r="W17" s="24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9">
        <f>X17+Y17</f>
        <v>0</v>
      </c>
      <c r="AD17" s="29">
        <f>AA17+AB17</f>
        <v>0</v>
      </c>
      <c r="AE17" s="29">
        <f>W17+AC17</f>
        <v>0</v>
      </c>
      <c r="AF17" s="29">
        <f t="shared" ref="AF17:AF20" si="14">Z17+AD17</f>
        <v>0</v>
      </c>
      <c r="AG17" s="29"/>
    </row>
    <row r="18" spans="1:33" x14ac:dyDescent="0.2">
      <c r="C18" s="7">
        <v>3</v>
      </c>
      <c r="D18" s="7" t="s">
        <v>18</v>
      </c>
      <c r="F18" s="28">
        <v>0</v>
      </c>
      <c r="G18" s="28">
        <v>513.84699999999998</v>
      </c>
      <c r="H18" s="28">
        <v>3379.72</v>
      </c>
      <c r="I18" s="28">
        <v>0</v>
      </c>
      <c r="J18" s="29">
        <f t="shared" si="12"/>
        <v>3893.567</v>
      </c>
      <c r="K18" s="28">
        <v>730.99</v>
      </c>
      <c r="L18" s="29">
        <f>J18+K18</f>
        <v>4624.5569999999998</v>
      </c>
      <c r="M18" s="28">
        <v>3184.36</v>
      </c>
      <c r="N18" s="28">
        <v>0</v>
      </c>
      <c r="O18" s="29">
        <f t="shared" si="13"/>
        <v>3184.36</v>
      </c>
      <c r="P18" s="28">
        <v>1253.3399999999999</v>
      </c>
      <c r="Q18" s="29">
        <f>P18+O18</f>
        <v>4437.7</v>
      </c>
      <c r="R18" s="30">
        <v>186.85699999999997</v>
      </c>
      <c r="S18" s="30">
        <v>0</v>
      </c>
      <c r="T18" s="30">
        <v>0</v>
      </c>
      <c r="U18" s="28">
        <v>0</v>
      </c>
      <c r="V18" s="28">
        <v>0</v>
      </c>
      <c r="W18" s="24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9">
        <f>X18+Y18</f>
        <v>0</v>
      </c>
      <c r="AD18" s="29">
        <f>AA18+AB18</f>
        <v>0</v>
      </c>
      <c r="AE18" s="29">
        <f>W18+AC18</f>
        <v>0</v>
      </c>
      <c r="AF18" s="29">
        <f t="shared" si="14"/>
        <v>0</v>
      </c>
      <c r="AG18" s="29"/>
    </row>
    <row r="19" spans="1:33" x14ac:dyDescent="0.2">
      <c r="C19" s="7">
        <v>4</v>
      </c>
      <c r="D19" s="7" t="s">
        <v>19</v>
      </c>
      <c r="F19" s="28">
        <v>0</v>
      </c>
      <c r="G19" s="28">
        <v>713.66200000000003</v>
      </c>
      <c r="H19" s="28">
        <v>4351.47</v>
      </c>
      <c r="I19" s="28">
        <v>0</v>
      </c>
      <c r="J19" s="29">
        <f t="shared" si="12"/>
        <v>5065.1320000000005</v>
      </c>
      <c r="K19" s="28">
        <v>1357.75</v>
      </c>
      <c r="L19" s="29">
        <f>J19+K19</f>
        <v>6422.8820000000005</v>
      </c>
      <c r="M19" s="28">
        <v>3311.51</v>
      </c>
      <c r="N19" s="28">
        <v>0</v>
      </c>
      <c r="O19" s="29">
        <f t="shared" si="13"/>
        <v>3311.51</v>
      </c>
      <c r="P19" s="28">
        <v>2851.85</v>
      </c>
      <c r="Q19" s="29">
        <f>P19+O19</f>
        <v>6163.3600000000006</v>
      </c>
      <c r="R19" s="30">
        <v>259.52199999999993</v>
      </c>
      <c r="S19" s="30">
        <v>0</v>
      </c>
      <c r="T19" s="30">
        <v>0</v>
      </c>
      <c r="U19" s="28">
        <v>0</v>
      </c>
      <c r="V19" s="28">
        <v>0</v>
      </c>
      <c r="W19" s="24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9">
        <f>X19+Y19</f>
        <v>0</v>
      </c>
      <c r="AD19" s="29">
        <f>AA19+AB19</f>
        <v>0</v>
      </c>
      <c r="AE19" s="29">
        <f>W19+AC19</f>
        <v>0</v>
      </c>
      <c r="AF19" s="29">
        <f t="shared" si="14"/>
        <v>0</v>
      </c>
      <c r="AG19" s="29"/>
    </row>
    <row r="20" spans="1:33" x14ac:dyDescent="0.2">
      <c r="C20" s="7">
        <v>5</v>
      </c>
      <c r="D20" s="7" t="s">
        <v>20</v>
      </c>
      <c r="F20" s="28">
        <v>0</v>
      </c>
      <c r="G20" s="28">
        <v>417.25700000000001</v>
      </c>
      <c r="H20" s="28">
        <v>620.69000000000005</v>
      </c>
      <c r="I20" s="28">
        <v>0</v>
      </c>
      <c r="J20" s="29">
        <f t="shared" si="12"/>
        <v>1037.9470000000001</v>
      </c>
      <c r="K20" s="28">
        <v>2717.39</v>
      </c>
      <c r="L20" s="29">
        <f>J20+K20</f>
        <v>3755.337</v>
      </c>
      <c r="M20" s="28">
        <v>3122.9</v>
      </c>
      <c r="N20" s="28">
        <v>0</v>
      </c>
      <c r="O20" s="29">
        <f t="shared" si="13"/>
        <v>3122.9</v>
      </c>
      <c r="P20" s="28">
        <v>480.71</v>
      </c>
      <c r="Q20" s="29">
        <f>P20+O20</f>
        <v>3603.61</v>
      </c>
      <c r="R20" s="30">
        <v>151.72699999999986</v>
      </c>
      <c r="S20" s="30">
        <v>0</v>
      </c>
      <c r="T20" s="30">
        <v>0</v>
      </c>
      <c r="U20" s="28">
        <v>0</v>
      </c>
      <c r="V20" s="28">
        <v>0</v>
      </c>
      <c r="W20" s="24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9">
        <f>X20+Y20</f>
        <v>0</v>
      </c>
      <c r="AD20" s="29">
        <f>AA20+AB20</f>
        <v>0</v>
      </c>
      <c r="AE20" s="29">
        <f>W20+AC20</f>
        <v>0</v>
      </c>
      <c r="AF20" s="29">
        <f t="shared" si="14"/>
        <v>0</v>
      </c>
      <c r="AG20" s="29"/>
    </row>
    <row r="21" spans="1:33" x14ac:dyDescent="0.2">
      <c r="F21" s="25">
        <f>SUM(F16:F20)</f>
        <v>0</v>
      </c>
      <c r="G21" s="25">
        <f t="shared" ref="G21:H21" si="15">SUM(G16:G20)</f>
        <v>2709.5840000000003</v>
      </c>
      <c r="H21" s="25">
        <f t="shared" si="15"/>
        <v>12655.12</v>
      </c>
      <c r="I21" s="25">
        <f>SUM(I16:I20)</f>
        <v>0</v>
      </c>
      <c r="J21" s="25">
        <f>SUM(J16:J20)</f>
        <v>15364.704000000002</v>
      </c>
      <c r="K21" s="25">
        <f t="shared" ref="K21:L21" si="16">SUM(K16:K20)</f>
        <v>7389.74</v>
      </c>
      <c r="L21" s="25">
        <f t="shared" si="16"/>
        <v>22754.444</v>
      </c>
      <c r="M21" s="25">
        <f>SUM(M16:M20)</f>
        <v>14892.495000000001</v>
      </c>
      <c r="N21" s="25">
        <f>SUM(N16:N20)</f>
        <v>0</v>
      </c>
      <c r="O21" s="25">
        <f>SUM(O16:O20)</f>
        <v>14892.495000000001</v>
      </c>
      <c r="P21" s="25">
        <f>SUM(P16:P20)</f>
        <v>7050.1410000000005</v>
      </c>
      <c r="Q21" s="25">
        <f t="shared" ref="Q21" si="17">SUM(Q16:Q20)</f>
        <v>21942.635999999999</v>
      </c>
      <c r="R21" s="25">
        <f>SUM(R16:R20)</f>
        <v>811.79899999999998</v>
      </c>
      <c r="S21" s="25">
        <f t="shared" ref="S21:Y21" si="18">SUM(S16:S20)</f>
        <v>339.59900000000005</v>
      </c>
      <c r="T21" s="25">
        <f t="shared" si="18"/>
        <v>0</v>
      </c>
      <c r="U21" s="25">
        <f t="shared" si="18"/>
        <v>0</v>
      </c>
      <c r="V21" s="25">
        <f t="shared" si="18"/>
        <v>0</v>
      </c>
      <c r="W21" s="25">
        <f t="shared" si="18"/>
        <v>339.59900000000005</v>
      </c>
      <c r="X21" s="25">
        <f t="shared" si="18"/>
        <v>0</v>
      </c>
      <c r="Y21" s="25">
        <f t="shared" si="18"/>
        <v>2185.2399999999998</v>
      </c>
      <c r="Z21" s="25">
        <f>SUM(Z16:Z20)</f>
        <v>0</v>
      </c>
      <c r="AA21" s="25">
        <f>SUM(AA16:AA20)</f>
        <v>0</v>
      </c>
      <c r="AB21" s="25">
        <f t="shared" ref="AB21:AD21" si="19">SUM(AB16:AB20)</f>
        <v>0</v>
      </c>
      <c r="AC21" s="25">
        <f t="shared" si="19"/>
        <v>2185.2399999999998</v>
      </c>
      <c r="AD21" s="25">
        <f t="shared" si="19"/>
        <v>0</v>
      </c>
      <c r="AE21" s="25">
        <f>SUM(AE16:AE20)</f>
        <v>2524.8389999999999</v>
      </c>
      <c r="AF21" s="50">
        <f>SUM(AF16:AF20)</f>
        <v>0</v>
      </c>
      <c r="AG21" s="50"/>
    </row>
    <row r="23" spans="1:33" x14ac:dyDescent="0.2">
      <c r="A23" s="7">
        <v>1</v>
      </c>
      <c r="B23" s="20" t="s">
        <v>64</v>
      </c>
      <c r="C23" s="7">
        <v>1</v>
      </c>
      <c r="D23" s="13" t="s">
        <v>16</v>
      </c>
      <c r="F23" s="28">
        <v>0</v>
      </c>
      <c r="G23" s="28">
        <v>477.125</v>
      </c>
      <c r="H23" s="28">
        <v>0</v>
      </c>
      <c r="I23" s="28">
        <v>0</v>
      </c>
      <c r="J23" s="29">
        <f>F23+G23+H23+I23</f>
        <v>477.125</v>
      </c>
      <c r="K23" s="28">
        <v>2185.2399999999998</v>
      </c>
      <c r="L23" s="29">
        <f>J23+K23</f>
        <v>2662.3649999999998</v>
      </c>
      <c r="M23" s="24">
        <v>2042.355</v>
      </c>
      <c r="N23" s="28">
        <v>0</v>
      </c>
      <c r="O23" s="29">
        <f>M23+N23</f>
        <v>2042.355</v>
      </c>
      <c r="P23" s="24">
        <v>620.00900000000001</v>
      </c>
      <c r="Q23" s="29">
        <f>P23+O23</f>
        <v>2662.364</v>
      </c>
      <c r="R23" s="30">
        <v>0</v>
      </c>
      <c r="S23" s="45">
        <v>0</v>
      </c>
      <c r="T23" s="45">
        <v>0</v>
      </c>
      <c r="U23" s="28">
        <v>0</v>
      </c>
      <c r="V23" s="28">
        <v>0</v>
      </c>
      <c r="W23" s="24">
        <v>339.59900000000005</v>
      </c>
      <c r="X23" s="28">
        <v>0</v>
      </c>
      <c r="Y23" s="24">
        <v>2185.2399999999998</v>
      </c>
      <c r="Z23" s="28">
        <v>0</v>
      </c>
      <c r="AA23" s="28">
        <v>0</v>
      </c>
      <c r="AB23" s="28">
        <v>0</v>
      </c>
      <c r="AC23" s="29">
        <f>X23+Y23</f>
        <v>2185.2399999999998</v>
      </c>
      <c r="AD23" s="29">
        <f>AA23+AB23</f>
        <v>0</v>
      </c>
      <c r="AE23" s="29">
        <f>W23+AC23</f>
        <v>2524.8389999999999</v>
      </c>
      <c r="AF23" s="29">
        <f>Z23+AD23</f>
        <v>0</v>
      </c>
      <c r="AG23" s="29"/>
    </row>
    <row r="24" spans="1:33" x14ac:dyDescent="0.2">
      <c r="C24" s="7">
        <v>2</v>
      </c>
      <c r="D24" s="7" t="s">
        <v>17</v>
      </c>
      <c r="F24" s="28">
        <v>0</v>
      </c>
      <c r="G24" s="28">
        <v>587.69299999999998</v>
      </c>
      <c r="H24" s="28">
        <v>4303.24</v>
      </c>
      <c r="I24" s="28">
        <v>0</v>
      </c>
      <c r="J24" s="29">
        <f t="shared" ref="J24:J27" si="20">F24+G24+H24+I24</f>
        <v>4890.933</v>
      </c>
      <c r="K24" s="28">
        <v>398.37</v>
      </c>
      <c r="L24" s="29">
        <f>J24+K24</f>
        <v>5289.3029999999999</v>
      </c>
      <c r="M24" s="28">
        <v>3231.37</v>
      </c>
      <c r="N24" s="28">
        <v>0</v>
      </c>
      <c r="O24" s="29">
        <f t="shared" ref="O24:O27" si="21">M24+N24</f>
        <v>3231.37</v>
      </c>
      <c r="P24" s="28">
        <v>1844.24</v>
      </c>
      <c r="Q24" s="29">
        <f>P24+O24</f>
        <v>5075.6099999999997</v>
      </c>
      <c r="R24" s="30">
        <v>213.69300000000021</v>
      </c>
      <c r="S24" s="42">
        <v>38.698</v>
      </c>
      <c r="T24" s="45">
        <v>0</v>
      </c>
      <c r="U24" s="28">
        <v>0</v>
      </c>
      <c r="V24" s="28">
        <v>0</v>
      </c>
      <c r="W24" s="24">
        <v>0</v>
      </c>
      <c r="X24" s="28">
        <v>0</v>
      </c>
      <c r="Y24" s="24">
        <v>0</v>
      </c>
      <c r="Z24" s="31">
        <v>38.698</v>
      </c>
      <c r="AA24" s="28">
        <v>0</v>
      </c>
      <c r="AB24" s="28">
        <v>0</v>
      </c>
      <c r="AC24" s="29">
        <f>X24+Y24</f>
        <v>0</v>
      </c>
      <c r="AD24" s="29">
        <f>AA24+AB24</f>
        <v>0</v>
      </c>
      <c r="AE24" s="29">
        <f>W24+AC24</f>
        <v>0</v>
      </c>
      <c r="AF24" s="29">
        <f t="shared" ref="AF24:AF27" si="22">Z24+AD24</f>
        <v>38.698</v>
      </c>
      <c r="AG24" s="29"/>
    </row>
    <row r="25" spans="1:33" x14ac:dyDescent="0.2">
      <c r="C25" s="7">
        <v>3</v>
      </c>
      <c r="D25" s="7" t="s">
        <v>18</v>
      </c>
      <c r="F25" s="28">
        <v>0</v>
      </c>
      <c r="G25" s="28">
        <v>513.84699999999998</v>
      </c>
      <c r="H25" s="28">
        <v>3379.72</v>
      </c>
      <c r="I25" s="28">
        <v>0</v>
      </c>
      <c r="J25" s="29">
        <f t="shared" si="20"/>
        <v>3893.567</v>
      </c>
      <c r="K25" s="28">
        <v>730.99</v>
      </c>
      <c r="L25" s="29">
        <f>J25+K25</f>
        <v>4624.5569999999998</v>
      </c>
      <c r="M25" s="28">
        <v>3184.36</v>
      </c>
      <c r="N25" s="28">
        <v>0</v>
      </c>
      <c r="O25" s="29">
        <f t="shared" si="21"/>
        <v>3184.36</v>
      </c>
      <c r="P25" s="28">
        <v>1253.3399999999999</v>
      </c>
      <c r="Q25" s="29">
        <f>P25+O25</f>
        <v>4437.7</v>
      </c>
      <c r="R25" s="30">
        <v>186.85699999999997</v>
      </c>
      <c r="S25" s="42">
        <v>258.68799999999999</v>
      </c>
      <c r="T25" s="45">
        <v>0</v>
      </c>
      <c r="U25" s="28">
        <v>0</v>
      </c>
      <c r="V25" s="28">
        <v>0</v>
      </c>
      <c r="W25" s="24">
        <v>0</v>
      </c>
      <c r="X25" s="28">
        <v>0</v>
      </c>
      <c r="Y25" s="24">
        <v>0</v>
      </c>
      <c r="Z25" s="31">
        <v>258.68799999999999</v>
      </c>
      <c r="AA25" s="28">
        <v>0</v>
      </c>
      <c r="AB25" s="28">
        <v>0</v>
      </c>
      <c r="AC25" s="29">
        <f>X25+Y25</f>
        <v>0</v>
      </c>
      <c r="AD25" s="29">
        <f>AA25+AB25</f>
        <v>0</v>
      </c>
      <c r="AE25" s="29">
        <f>W25+AC25</f>
        <v>0</v>
      </c>
      <c r="AF25" s="29">
        <f t="shared" si="22"/>
        <v>258.68799999999999</v>
      </c>
      <c r="AG25" s="29"/>
    </row>
    <row r="26" spans="1:33" x14ac:dyDescent="0.2">
      <c r="C26" s="7">
        <v>4</v>
      </c>
      <c r="D26" s="7" t="s">
        <v>19</v>
      </c>
      <c r="F26" s="28">
        <v>0</v>
      </c>
      <c r="G26" s="28">
        <v>713.66200000000003</v>
      </c>
      <c r="H26" s="28">
        <v>4351.47</v>
      </c>
      <c r="I26" s="28">
        <v>0</v>
      </c>
      <c r="J26" s="29">
        <f t="shared" si="20"/>
        <v>5065.1320000000005</v>
      </c>
      <c r="K26" s="28">
        <v>1357.75</v>
      </c>
      <c r="L26" s="29">
        <f>J26+K26</f>
        <v>6422.8820000000005</v>
      </c>
      <c r="M26" s="28">
        <v>3311.51</v>
      </c>
      <c r="N26" s="28">
        <v>0</v>
      </c>
      <c r="O26" s="29">
        <f t="shared" si="21"/>
        <v>3311.51</v>
      </c>
      <c r="P26" s="28">
        <v>2851.85</v>
      </c>
      <c r="Q26" s="29">
        <f>P26+O26</f>
        <v>6163.3600000000006</v>
      </c>
      <c r="R26" s="30">
        <v>259.52199999999993</v>
      </c>
      <c r="S26" s="42">
        <v>42.204999999999998</v>
      </c>
      <c r="T26" s="45">
        <v>0</v>
      </c>
      <c r="U26" s="28">
        <v>0</v>
      </c>
      <c r="V26" s="28">
        <v>0</v>
      </c>
      <c r="W26" s="24">
        <v>0</v>
      </c>
      <c r="X26" s="28">
        <v>0</v>
      </c>
      <c r="Y26" s="24">
        <v>0</v>
      </c>
      <c r="Z26" s="31">
        <v>42.204999999999998</v>
      </c>
      <c r="AA26" s="28">
        <v>0</v>
      </c>
      <c r="AB26" s="28">
        <v>0</v>
      </c>
      <c r="AC26" s="29">
        <f>X26+Y26</f>
        <v>0</v>
      </c>
      <c r="AD26" s="29">
        <f>AA26+AB26</f>
        <v>0</v>
      </c>
      <c r="AE26" s="29">
        <f>W26+AC26</f>
        <v>0</v>
      </c>
      <c r="AF26" s="29">
        <f t="shared" si="22"/>
        <v>42.204999999999998</v>
      </c>
      <c r="AG26" s="29"/>
    </row>
    <row r="27" spans="1:33" x14ac:dyDescent="0.2">
      <c r="C27" s="7">
        <v>5</v>
      </c>
      <c r="D27" s="7" t="s">
        <v>20</v>
      </c>
      <c r="F27" s="28">
        <v>0</v>
      </c>
      <c r="G27" s="28">
        <v>417.25700000000001</v>
      </c>
      <c r="H27" s="28">
        <v>620.69000000000005</v>
      </c>
      <c r="I27" s="28">
        <v>0</v>
      </c>
      <c r="J27" s="29">
        <f t="shared" si="20"/>
        <v>1037.9470000000001</v>
      </c>
      <c r="K27" s="28">
        <v>2717.39</v>
      </c>
      <c r="L27" s="29">
        <f>J27+K27</f>
        <v>3755.337</v>
      </c>
      <c r="M27" s="28">
        <v>3122.9</v>
      </c>
      <c r="N27" s="28">
        <v>0</v>
      </c>
      <c r="O27" s="29">
        <f t="shared" si="21"/>
        <v>3122.9</v>
      </c>
      <c r="P27" s="28">
        <v>480.71</v>
      </c>
      <c r="Q27" s="29">
        <f>P27+O27</f>
        <v>3603.61</v>
      </c>
      <c r="R27" s="30">
        <v>151.72699999999986</v>
      </c>
      <c r="S27" s="45">
        <v>0</v>
      </c>
      <c r="T27" s="45">
        <v>0</v>
      </c>
      <c r="U27" s="28">
        <v>0</v>
      </c>
      <c r="V27" s="28">
        <v>0</v>
      </c>
      <c r="W27" s="24">
        <v>0</v>
      </c>
      <c r="X27" s="28">
        <v>0</v>
      </c>
      <c r="Y27" s="24">
        <v>0</v>
      </c>
      <c r="Z27" s="24">
        <v>0</v>
      </c>
      <c r="AA27" s="28">
        <v>0</v>
      </c>
      <c r="AB27" s="28">
        <v>0</v>
      </c>
      <c r="AC27" s="29">
        <f>X27+Y27</f>
        <v>0</v>
      </c>
      <c r="AD27" s="29">
        <f>AA27+AB27</f>
        <v>0</v>
      </c>
      <c r="AE27" s="29">
        <f>W27+AC27</f>
        <v>0</v>
      </c>
      <c r="AF27" s="29">
        <f t="shared" si="22"/>
        <v>0</v>
      </c>
      <c r="AG27" s="29"/>
    </row>
    <row r="28" spans="1:33" x14ac:dyDescent="0.2">
      <c r="F28" s="25">
        <f>SUM(F23:F27)</f>
        <v>0</v>
      </c>
      <c r="G28" s="25">
        <f t="shared" ref="G28:L28" si="23">SUM(G23:G27)</f>
        <v>2709.5840000000003</v>
      </c>
      <c r="H28" s="25">
        <f t="shared" si="23"/>
        <v>12655.12</v>
      </c>
      <c r="I28" s="25">
        <f>SUM(I23:I27)</f>
        <v>0</v>
      </c>
      <c r="J28" s="25">
        <f>SUM(J23:J27)</f>
        <v>15364.704000000002</v>
      </c>
      <c r="K28" s="25">
        <f t="shared" si="23"/>
        <v>7389.74</v>
      </c>
      <c r="L28" s="25">
        <f t="shared" si="23"/>
        <v>22754.444</v>
      </c>
      <c r="M28" s="25">
        <f>SUM(M23:M27)</f>
        <v>14892.495000000001</v>
      </c>
      <c r="N28" s="25">
        <f>SUM(N23:N27)</f>
        <v>0</v>
      </c>
      <c r="O28" s="25">
        <f>SUM(O23:O27)</f>
        <v>14892.495000000001</v>
      </c>
      <c r="P28" s="25">
        <f>SUM(P23:P27)</f>
        <v>7050.1490000000003</v>
      </c>
      <c r="Q28" s="25">
        <f t="shared" ref="Q28" si="24">SUM(Q23:Q27)</f>
        <v>21942.644</v>
      </c>
      <c r="R28" s="25">
        <f>SUM(R23:R27)</f>
        <v>811.79899999999998</v>
      </c>
      <c r="S28" s="25">
        <f t="shared" ref="S28:W28" si="25">SUM(S23:S27)</f>
        <v>339.59099999999995</v>
      </c>
      <c r="T28" s="25">
        <f t="shared" si="25"/>
        <v>0</v>
      </c>
      <c r="U28" s="25">
        <f t="shared" si="25"/>
        <v>0</v>
      </c>
      <c r="V28" s="25">
        <f t="shared" si="25"/>
        <v>0</v>
      </c>
      <c r="W28" s="25">
        <f t="shared" si="25"/>
        <v>339.59900000000005</v>
      </c>
      <c r="X28" s="25">
        <f>SUM(X23:X27)</f>
        <v>0</v>
      </c>
      <c r="Y28" s="25">
        <f>SUM(Y23:Y27)</f>
        <v>2185.2399999999998</v>
      </c>
      <c r="Z28" s="25">
        <f>SUM(Z23:Z27)</f>
        <v>339.59099999999995</v>
      </c>
      <c r="AA28" s="25">
        <f>SUM(AA23:AA27)</f>
        <v>0</v>
      </c>
      <c r="AB28" s="25">
        <f t="shared" ref="AB28:AD28" si="26">SUM(AB23:AB27)</f>
        <v>0</v>
      </c>
      <c r="AC28" s="25">
        <f>SUM(AC23:AC27)</f>
        <v>2185.2399999999998</v>
      </c>
      <c r="AD28" s="25">
        <f t="shared" si="26"/>
        <v>0</v>
      </c>
      <c r="AE28" s="25">
        <f>SUM(AE23:AE27)</f>
        <v>2524.8389999999999</v>
      </c>
      <c r="AF28" s="50">
        <f>SUM(AF23:AF27)</f>
        <v>339.59099999999995</v>
      </c>
      <c r="AG28" s="50"/>
    </row>
    <row r="30" spans="1:33" x14ac:dyDescent="0.2">
      <c r="A30" s="7">
        <v>1</v>
      </c>
      <c r="B30" s="20" t="s">
        <v>70</v>
      </c>
      <c r="C30" s="7">
        <v>1</v>
      </c>
      <c r="D30" s="13" t="s">
        <v>16</v>
      </c>
      <c r="F30" s="28">
        <v>0</v>
      </c>
      <c r="G30" s="28">
        <v>477.125</v>
      </c>
      <c r="H30" s="28">
        <v>0</v>
      </c>
      <c r="I30" s="28">
        <v>0</v>
      </c>
      <c r="J30" s="29">
        <f>F30+G30+H30+I30</f>
        <v>477.125</v>
      </c>
      <c r="K30" s="28">
        <v>2185.2399999999998</v>
      </c>
      <c r="L30" s="29">
        <f>K30+J30</f>
        <v>2662.3649999999998</v>
      </c>
      <c r="M30" s="24">
        <v>2042.355</v>
      </c>
      <c r="N30" s="28">
        <v>0</v>
      </c>
      <c r="O30" s="29">
        <f>M30+N30</f>
        <v>2042.355</v>
      </c>
      <c r="P30" s="24">
        <v>620.00900000000001</v>
      </c>
      <c r="Q30" s="29">
        <f>P30+O30</f>
        <v>2662.364</v>
      </c>
      <c r="R30" s="30">
        <v>0</v>
      </c>
      <c r="S30" s="30">
        <v>0</v>
      </c>
      <c r="T30" s="24">
        <v>0</v>
      </c>
      <c r="U30" s="28">
        <v>0</v>
      </c>
      <c r="V30" s="28">
        <v>0</v>
      </c>
      <c r="W30" s="24">
        <v>339.59900000000005</v>
      </c>
      <c r="X30" s="28">
        <v>0</v>
      </c>
      <c r="Y30" s="24">
        <v>2185.2399999999998</v>
      </c>
      <c r="Z30" s="24">
        <v>0</v>
      </c>
      <c r="AA30" s="28">
        <v>0</v>
      </c>
      <c r="AB30" s="24">
        <v>0</v>
      </c>
      <c r="AC30" s="29">
        <f>X30+Y30</f>
        <v>2185.2399999999998</v>
      </c>
      <c r="AD30" s="29">
        <f>AA30+AB30</f>
        <v>0</v>
      </c>
      <c r="AE30" s="29">
        <f>W30+AC30</f>
        <v>2524.8389999999999</v>
      </c>
      <c r="AF30" s="29">
        <f>Z30+AD30</f>
        <v>0</v>
      </c>
      <c r="AG30" s="29"/>
    </row>
    <row r="31" spans="1:33" x14ac:dyDescent="0.2">
      <c r="C31" s="7">
        <v>2</v>
      </c>
      <c r="D31" s="7" t="s">
        <v>17</v>
      </c>
      <c r="F31" s="28">
        <v>0</v>
      </c>
      <c r="G31" s="28">
        <v>587.69299999999998</v>
      </c>
      <c r="H31" s="28">
        <v>4303.24</v>
      </c>
      <c r="I31" s="28">
        <v>0</v>
      </c>
      <c r="J31" s="29">
        <f t="shared" ref="J31:J34" si="27">F31+G31+H31+I31</f>
        <v>4890.933</v>
      </c>
      <c r="K31" s="28">
        <v>398.37</v>
      </c>
      <c r="L31" s="29">
        <f>K31+J31</f>
        <v>5289.3029999999999</v>
      </c>
      <c r="M31" s="28">
        <v>3231.37</v>
      </c>
      <c r="N31" s="28">
        <v>0</v>
      </c>
      <c r="O31" s="29">
        <f t="shared" ref="O31:O34" si="28">M31+N31</f>
        <v>3231.37</v>
      </c>
      <c r="P31" s="28">
        <v>1844.24</v>
      </c>
      <c r="Q31" s="29">
        <f>P31+O31</f>
        <v>5075.6099999999997</v>
      </c>
      <c r="R31" s="30">
        <v>213.69300000000021</v>
      </c>
      <c r="S31" s="30">
        <v>38.698</v>
      </c>
      <c r="T31" s="33">
        <v>1728.55</v>
      </c>
      <c r="U31" s="28">
        <v>0</v>
      </c>
      <c r="V31" s="28">
        <v>0</v>
      </c>
      <c r="W31" s="24">
        <v>0</v>
      </c>
      <c r="X31" s="28">
        <v>0</v>
      </c>
      <c r="Y31" s="24">
        <v>0</v>
      </c>
      <c r="Z31" s="24">
        <v>38.698</v>
      </c>
      <c r="AA31" s="28">
        <v>0</v>
      </c>
      <c r="AB31" s="33">
        <v>1728.55</v>
      </c>
      <c r="AC31" s="29">
        <f>X31+Y31</f>
        <v>0</v>
      </c>
      <c r="AD31" s="29">
        <f>AA31+AB31</f>
        <v>1728.55</v>
      </c>
      <c r="AE31" s="29">
        <f>W31+AC31</f>
        <v>0</v>
      </c>
      <c r="AF31" s="29">
        <f t="shared" ref="AF31:AF34" si="29">Z31+AD31</f>
        <v>1767.248</v>
      </c>
      <c r="AG31" s="29"/>
    </row>
    <row r="32" spans="1:33" x14ac:dyDescent="0.2">
      <c r="C32" s="7">
        <v>3</v>
      </c>
      <c r="D32" s="7" t="s">
        <v>18</v>
      </c>
      <c r="F32" s="28">
        <v>0</v>
      </c>
      <c r="G32" s="28">
        <v>513.84699999999998</v>
      </c>
      <c r="H32" s="28">
        <v>3379.72</v>
      </c>
      <c r="I32" s="28">
        <v>0</v>
      </c>
      <c r="J32" s="29">
        <f t="shared" si="27"/>
        <v>3893.567</v>
      </c>
      <c r="K32" s="28">
        <v>730.99</v>
      </c>
      <c r="L32" s="29">
        <f>K32+J32</f>
        <v>4624.5569999999998</v>
      </c>
      <c r="M32" s="28">
        <v>3184.36</v>
      </c>
      <c r="N32" s="28">
        <v>0</v>
      </c>
      <c r="O32" s="29">
        <f t="shared" si="28"/>
        <v>3184.36</v>
      </c>
      <c r="P32" s="28">
        <v>1253.3399999999999</v>
      </c>
      <c r="Q32" s="29">
        <f>P32+O32</f>
        <v>4437.7</v>
      </c>
      <c r="R32" s="30">
        <v>186.85699999999997</v>
      </c>
      <c r="S32" s="30">
        <v>258.68799999999999</v>
      </c>
      <c r="T32" s="28">
        <v>0</v>
      </c>
      <c r="U32" s="28">
        <v>0</v>
      </c>
      <c r="V32" s="28">
        <v>0</v>
      </c>
      <c r="W32" s="24">
        <v>0</v>
      </c>
      <c r="X32" s="28">
        <v>0</v>
      </c>
      <c r="Y32" s="24">
        <v>0</v>
      </c>
      <c r="Z32" s="24">
        <v>258.68799999999999</v>
      </c>
      <c r="AA32" s="28">
        <v>0</v>
      </c>
      <c r="AB32" s="28">
        <v>0</v>
      </c>
      <c r="AC32" s="29">
        <f>X32+Y32</f>
        <v>0</v>
      </c>
      <c r="AD32" s="29">
        <f>AA32+AB32</f>
        <v>0</v>
      </c>
      <c r="AE32" s="29">
        <f>W32+AC32</f>
        <v>0</v>
      </c>
      <c r="AF32" s="29">
        <f t="shared" si="29"/>
        <v>258.68799999999999</v>
      </c>
      <c r="AG32" s="29"/>
    </row>
    <row r="33" spans="1:33" x14ac:dyDescent="0.2">
      <c r="C33" s="7">
        <v>4</v>
      </c>
      <c r="D33" s="7" t="s">
        <v>19</v>
      </c>
      <c r="F33" s="28">
        <v>0</v>
      </c>
      <c r="G33" s="28">
        <v>713.66200000000003</v>
      </c>
      <c r="H33" s="28">
        <v>4351.47</v>
      </c>
      <c r="I33" s="28">
        <v>0</v>
      </c>
      <c r="J33" s="29">
        <f t="shared" si="27"/>
        <v>5065.1320000000005</v>
      </c>
      <c r="K33" s="28">
        <v>1357.75</v>
      </c>
      <c r="L33" s="29">
        <f>K33+J33</f>
        <v>6422.8820000000005</v>
      </c>
      <c r="M33" s="28">
        <v>3311.51</v>
      </c>
      <c r="N33" s="28">
        <v>0</v>
      </c>
      <c r="O33" s="29">
        <f t="shared" si="28"/>
        <v>3311.51</v>
      </c>
      <c r="P33" s="28">
        <v>2851.85</v>
      </c>
      <c r="Q33" s="29">
        <f>P33+O33</f>
        <v>6163.3600000000006</v>
      </c>
      <c r="R33" s="30">
        <v>259.52199999999993</v>
      </c>
      <c r="S33" s="30">
        <v>42.204999999999998</v>
      </c>
      <c r="T33" s="33">
        <v>134.46</v>
      </c>
      <c r="U33" s="28">
        <v>0</v>
      </c>
      <c r="V33" s="28">
        <v>0</v>
      </c>
      <c r="W33" s="24">
        <v>0</v>
      </c>
      <c r="X33" s="28">
        <v>0</v>
      </c>
      <c r="Y33" s="24">
        <v>0</v>
      </c>
      <c r="Z33" s="24">
        <v>42.204999999999998</v>
      </c>
      <c r="AA33" s="28">
        <v>0</v>
      </c>
      <c r="AB33" s="33">
        <v>134.46</v>
      </c>
      <c r="AC33" s="29">
        <f>X33+Y33</f>
        <v>0</v>
      </c>
      <c r="AD33" s="29">
        <f>AA33+AB33</f>
        <v>134.46</v>
      </c>
      <c r="AE33" s="29">
        <f>W33+AC33</f>
        <v>0</v>
      </c>
      <c r="AF33" s="29">
        <f t="shared" si="29"/>
        <v>176.66500000000002</v>
      </c>
      <c r="AG33" s="29"/>
    </row>
    <row r="34" spans="1:33" x14ac:dyDescent="0.2">
      <c r="C34" s="7">
        <v>5</v>
      </c>
      <c r="D34" s="7" t="s">
        <v>20</v>
      </c>
      <c r="F34" s="28">
        <v>0</v>
      </c>
      <c r="G34" s="28">
        <v>417.25700000000001</v>
      </c>
      <c r="H34" s="28">
        <v>620.69000000000005</v>
      </c>
      <c r="I34" s="28">
        <v>0</v>
      </c>
      <c r="J34" s="29">
        <f t="shared" si="27"/>
        <v>1037.9470000000001</v>
      </c>
      <c r="K34" s="28">
        <v>2717.39</v>
      </c>
      <c r="L34" s="29">
        <f>K34+J34</f>
        <v>3755.337</v>
      </c>
      <c r="M34" s="28">
        <v>3122.9</v>
      </c>
      <c r="N34" s="28">
        <v>0</v>
      </c>
      <c r="O34" s="29">
        <f t="shared" si="28"/>
        <v>3122.9</v>
      </c>
      <c r="P34" s="28">
        <v>480.71</v>
      </c>
      <c r="Q34" s="29">
        <f>P34+O34</f>
        <v>3603.61</v>
      </c>
      <c r="R34" s="30">
        <v>151.72699999999986</v>
      </c>
      <c r="S34" s="30">
        <v>0</v>
      </c>
      <c r="T34" s="33">
        <v>322.23</v>
      </c>
      <c r="U34" s="28">
        <v>0</v>
      </c>
      <c r="V34" s="28">
        <v>0</v>
      </c>
      <c r="W34" s="24">
        <v>0</v>
      </c>
      <c r="X34" s="28">
        <v>0</v>
      </c>
      <c r="Y34" s="24">
        <v>0</v>
      </c>
      <c r="Z34" s="24">
        <v>0</v>
      </c>
      <c r="AA34" s="28">
        <v>0</v>
      </c>
      <c r="AB34" s="33">
        <v>322.23</v>
      </c>
      <c r="AC34" s="29">
        <f>X34+Y34</f>
        <v>0</v>
      </c>
      <c r="AD34" s="29">
        <f>AA34+AB34</f>
        <v>322.23</v>
      </c>
      <c r="AE34" s="29">
        <f>W34+AC34</f>
        <v>0</v>
      </c>
      <c r="AF34" s="29">
        <f t="shared" si="29"/>
        <v>322.23</v>
      </c>
      <c r="AG34" s="29"/>
    </row>
    <row r="35" spans="1:33" x14ac:dyDescent="0.2">
      <c r="F35" s="25">
        <f t="shared" ref="F35:X35" si="30">SUM(F30:F34)</f>
        <v>0</v>
      </c>
      <c r="G35" s="25">
        <f t="shared" si="30"/>
        <v>2709.5840000000003</v>
      </c>
      <c r="H35" s="25">
        <f t="shared" si="30"/>
        <v>12655.12</v>
      </c>
      <c r="I35" s="25">
        <f t="shared" si="30"/>
        <v>0</v>
      </c>
      <c r="J35" s="25">
        <f>SUM(J30:J34)</f>
        <v>15364.704000000002</v>
      </c>
      <c r="K35" s="25">
        <f t="shared" si="30"/>
        <v>7389.74</v>
      </c>
      <c r="L35" s="25">
        <f t="shared" si="30"/>
        <v>22754.444</v>
      </c>
      <c r="M35" s="25">
        <f>SUM(M30:M34)</f>
        <v>14892.495000000001</v>
      </c>
      <c r="N35" s="25">
        <f t="shared" ref="N35" si="31">SUM(N30:N34)</f>
        <v>0</v>
      </c>
      <c r="O35" s="25">
        <f t="shared" si="30"/>
        <v>14892.495000000001</v>
      </c>
      <c r="P35" s="25">
        <f>SUM(P30:P34)</f>
        <v>7050.1490000000003</v>
      </c>
      <c r="Q35" s="25">
        <f t="shared" si="30"/>
        <v>21942.644</v>
      </c>
      <c r="R35" s="25">
        <f t="shared" si="30"/>
        <v>811.79899999999998</v>
      </c>
      <c r="S35" s="25">
        <f t="shared" si="30"/>
        <v>339.59099999999995</v>
      </c>
      <c r="T35" s="25">
        <f t="shared" si="30"/>
        <v>2185.2399999999998</v>
      </c>
      <c r="U35" s="25">
        <f t="shared" si="30"/>
        <v>0</v>
      </c>
      <c r="V35" s="25">
        <f t="shared" si="30"/>
        <v>0</v>
      </c>
      <c r="W35" s="25">
        <f t="shared" si="30"/>
        <v>339.59900000000005</v>
      </c>
      <c r="X35" s="25">
        <f t="shared" si="30"/>
        <v>0</v>
      </c>
      <c r="Y35" s="25">
        <f>SUM(Y30:Y34)</f>
        <v>2185.2399999999998</v>
      </c>
      <c r="Z35" s="25">
        <f>SUM(Z30:Z34)</f>
        <v>339.59099999999995</v>
      </c>
      <c r="AA35" s="25">
        <f t="shared" ref="AA35" si="32">SUM(AA30:AA34)</f>
        <v>0</v>
      </c>
      <c r="AB35" s="25">
        <f>SUM(AB30:AB34)</f>
        <v>2185.2399999999998</v>
      </c>
      <c r="AC35" s="25">
        <f>SUM(AC30:AC34)</f>
        <v>2185.2399999999998</v>
      </c>
      <c r="AD35" s="25">
        <f>SUM(AD30:AD34)</f>
        <v>2185.2399999999998</v>
      </c>
      <c r="AE35" s="25">
        <f>SUM(AE30:AE34)</f>
        <v>2524.8389999999999</v>
      </c>
      <c r="AF35" s="50">
        <f>SUM(AF30:AF34)</f>
        <v>2524.8310000000001</v>
      </c>
      <c r="AG35" s="50"/>
    </row>
    <row r="36" spans="1:33" x14ac:dyDescent="0.2">
      <c r="Q36" s="26"/>
      <c r="R36" s="26"/>
      <c r="S36" s="30"/>
      <c r="T36" s="30"/>
    </row>
    <row r="37" spans="1:33" x14ac:dyDescent="0.2">
      <c r="A37" s="7">
        <v>1</v>
      </c>
      <c r="B37" s="20" t="s">
        <v>73</v>
      </c>
      <c r="C37" s="7">
        <v>1</v>
      </c>
      <c r="D37" s="14" t="s">
        <v>16</v>
      </c>
      <c r="F37" s="34">
        <v>0</v>
      </c>
      <c r="G37" s="34">
        <v>0</v>
      </c>
      <c r="H37" s="34">
        <v>0</v>
      </c>
      <c r="I37" s="34">
        <v>0</v>
      </c>
      <c r="J37" s="29">
        <f>F37+G37+H37+I37</f>
        <v>0</v>
      </c>
      <c r="K37" s="34">
        <v>0</v>
      </c>
      <c r="L37" s="29">
        <f>K37+J37</f>
        <v>0</v>
      </c>
      <c r="M37" s="34">
        <v>0</v>
      </c>
      <c r="N37" s="34">
        <v>0</v>
      </c>
      <c r="O37" s="29">
        <f>M37+N37</f>
        <v>0</v>
      </c>
      <c r="P37" s="44">
        <v>0</v>
      </c>
      <c r="Q37" s="29">
        <f>P37+O37</f>
        <v>0</v>
      </c>
      <c r="R37" s="29">
        <f>MAX(L37-Q37,0)</f>
        <v>0</v>
      </c>
      <c r="S37" s="30">
        <v>0</v>
      </c>
      <c r="T37" s="24">
        <v>0</v>
      </c>
      <c r="U37" s="28">
        <v>0</v>
      </c>
      <c r="V37" s="28">
        <v>0</v>
      </c>
      <c r="W37" s="24">
        <v>339.59900000000005</v>
      </c>
      <c r="X37" s="28">
        <v>0</v>
      </c>
      <c r="Y37" s="24">
        <v>2185.2399999999998</v>
      </c>
      <c r="Z37" s="24">
        <v>0</v>
      </c>
      <c r="AA37" s="28">
        <v>0</v>
      </c>
      <c r="AB37" s="24">
        <v>0</v>
      </c>
      <c r="AC37" s="29">
        <f>X37+Y37</f>
        <v>2185.2399999999998</v>
      </c>
      <c r="AD37" s="29">
        <f>AA37+AB37</f>
        <v>0</v>
      </c>
      <c r="AE37" s="29">
        <f>W37+AC37</f>
        <v>2524.8389999999999</v>
      </c>
      <c r="AF37" s="29">
        <f>Z37+AD37</f>
        <v>0</v>
      </c>
      <c r="AG37" s="29"/>
    </row>
    <row r="38" spans="1:33" x14ac:dyDescent="0.2">
      <c r="C38" s="7">
        <v>2</v>
      </c>
      <c r="D38" s="8" t="s">
        <v>17</v>
      </c>
      <c r="F38" s="28">
        <v>0</v>
      </c>
      <c r="G38" s="28">
        <v>587.69299999999998</v>
      </c>
      <c r="H38" s="28">
        <v>4303.24</v>
      </c>
      <c r="I38" s="34">
        <v>70.652405000000002</v>
      </c>
      <c r="J38" s="29">
        <f t="shared" ref="J38:J41" si="33">F38+G38+H38+I38</f>
        <v>4961.5854049999998</v>
      </c>
      <c r="K38" s="34">
        <v>289.02</v>
      </c>
      <c r="L38" s="29">
        <f>K38+J38</f>
        <v>5250.6054050000002</v>
      </c>
      <c r="M38" s="28">
        <v>3231.37</v>
      </c>
      <c r="N38" s="28">
        <v>0</v>
      </c>
      <c r="O38" s="29">
        <f t="shared" ref="O38:O41" si="34">M38+N38</f>
        <v>3231.37</v>
      </c>
      <c r="P38" s="30">
        <v>115.69</v>
      </c>
      <c r="Q38" s="29">
        <f>P38+O38</f>
        <v>3347.06</v>
      </c>
      <c r="R38" s="40">
        <f t="shared" ref="R38:R41" si="35">MAX(L38-Q38,0)</f>
        <v>1903.5454050000003</v>
      </c>
      <c r="S38" s="30">
        <v>38.698</v>
      </c>
      <c r="T38" s="24">
        <v>1728.55</v>
      </c>
      <c r="U38" s="28">
        <v>0</v>
      </c>
      <c r="V38" s="28">
        <v>0</v>
      </c>
      <c r="W38" s="24">
        <v>0</v>
      </c>
      <c r="X38" s="28">
        <v>0</v>
      </c>
      <c r="Y38" s="24">
        <v>0</v>
      </c>
      <c r="Z38" s="24">
        <v>38.698</v>
      </c>
      <c r="AA38" s="28">
        <v>0</v>
      </c>
      <c r="AB38" s="24">
        <v>1728.55</v>
      </c>
      <c r="AC38" s="29">
        <f>X38+Y38</f>
        <v>0</v>
      </c>
      <c r="AD38" s="29">
        <f>AA38+AB38</f>
        <v>1728.55</v>
      </c>
      <c r="AE38" s="29">
        <f>W38+AC38</f>
        <v>0</v>
      </c>
      <c r="AF38" s="29">
        <f t="shared" ref="AF38:AF41" si="36">Z38+AD38</f>
        <v>1767.248</v>
      </c>
      <c r="AG38" s="29"/>
    </row>
    <row r="39" spans="1:33" x14ac:dyDescent="0.2">
      <c r="C39" s="7">
        <v>3</v>
      </c>
      <c r="D39" s="8" t="s">
        <v>18</v>
      </c>
      <c r="F39" s="28">
        <v>0</v>
      </c>
      <c r="G39" s="28">
        <v>513.84699999999998</v>
      </c>
      <c r="H39" s="28">
        <v>3379.72</v>
      </c>
      <c r="I39" s="34">
        <v>472.30182000000002</v>
      </c>
      <c r="J39" s="29">
        <f t="shared" si="33"/>
        <v>4365.8688199999997</v>
      </c>
      <c r="K39" s="34">
        <v>0</v>
      </c>
      <c r="L39" s="29">
        <f>K39+J39</f>
        <v>4365.8688199999997</v>
      </c>
      <c r="M39" s="28">
        <v>3184.36</v>
      </c>
      <c r="N39" s="28">
        <v>0</v>
      </c>
      <c r="O39" s="29">
        <f t="shared" si="34"/>
        <v>3184.36</v>
      </c>
      <c r="P39" s="30">
        <v>1253.3400000000001</v>
      </c>
      <c r="Q39" s="29">
        <f>P39+O39</f>
        <v>4437.7000000000007</v>
      </c>
      <c r="R39" s="40">
        <f t="shared" si="35"/>
        <v>0</v>
      </c>
      <c r="S39" s="30">
        <v>258.68799999999999</v>
      </c>
      <c r="T39" s="24">
        <v>0</v>
      </c>
      <c r="U39" s="28">
        <v>0</v>
      </c>
      <c r="V39" s="28">
        <v>0</v>
      </c>
      <c r="W39" s="24">
        <v>0</v>
      </c>
      <c r="X39" s="28">
        <v>0</v>
      </c>
      <c r="Y39" s="24">
        <v>0</v>
      </c>
      <c r="Z39" s="24">
        <v>258.68799999999999</v>
      </c>
      <c r="AA39" s="28">
        <v>0</v>
      </c>
      <c r="AB39" s="24">
        <v>0</v>
      </c>
      <c r="AC39" s="29">
        <f>X39+Y39</f>
        <v>0</v>
      </c>
      <c r="AD39" s="29">
        <f>AA39+AB39</f>
        <v>0</v>
      </c>
      <c r="AE39" s="29">
        <f>W39+AC39</f>
        <v>0</v>
      </c>
      <c r="AF39" s="29">
        <f t="shared" si="36"/>
        <v>258.68799999999999</v>
      </c>
      <c r="AG39" s="29"/>
    </row>
    <row r="40" spans="1:33" x14ac:dyDescent="0.2">
      <c r="C40" s="7">
        <v>4</v>
      </c>
      <c r="D40" s="7" t="s">
        <v>19</v>
      </c>
      <c r="F40" s="28">
        <v>0</v>
      </c>
      <c r="G40" s="28">
        <v>713.66200000000003</v>
      </c>
      <c r="H40" s="28">
        <v>4351.47</v>
      </c>
      <c r="I40" s="34">
        <v>77.05538</v>
      </c>
      <c r="J40" s="29">
        <f t="shared" si="33"/>
        <v>5142.1873800000003</v>
      </c>
      <c r="K40" s="34">
        <v>1238.49</v>
      </c>
      <c r="L40" s="29">
        <f>K40+J40</f>
        <v>6380.6773800000001</v>
      </c>
      <c r="M40" s="28">
        <v>3311.51</v>
      </c>
      <c r="N40" s="28">
        <v>0</v>
      </c>
      <c r="O40" s="29">
        <f t="shared" si="34"/>
        <v>3311.51</v>
      </c>
      <c r="P40" s="30">
        <v>2717.39</v>
      </c>
      <c r="Q40" s="29">
        <f>P40+O40</f>
        <v>6028.9</v>
      </c>
      <c r="R40" s="40">
        <f t="shared" si="35"/>
        <v>351.77738000000045</v>
      </c>
      <c r="S40" s="30">
        <v>42.204999999999998</v>
      </c>
      <c r="T40" s="24">
        <v>134.46</v>
      </c>
      <c r="U40" s="28">
        <v>0</v>
      </c>
      <c r="V40" s="28">
        <v>0</v>
      </c>
      <c r="W40" s="24">
        <v>0</v>
      </c>
      <c r="X40" s="28">
        <v>0</v>
      </c>
      <c r="Y40" s="24">
        <v>0</v>
      </c>
      <c r="Z40" s="24">
        <v>42.204999999999998</v>
      </c>
      <c r="AA40" s="28">
        <v>0</v>
      </c>
      <c r="AB40" s="24">
        <v>134.46</v>
      </c>
      <c r="AC40" s="29">
        <f>X40+Y40</f>
        <v>0</v>
      </c>
      <c r="AD40" s="29">
        <f>AA40+AB40</f>
        <v>134.46</v>
      </c>
      <c r="AE40" s="29">
        <f>W40+AC40</f>
        <v>0</v>
      </c>
      <c r="AF40" s="29">
        <f t="shared" si="36"/>
        <v>176.66500000000002</v>
      </c>
      <c r="AG40" s="29"/>
    </row>
    <row r="41" spans="1:33" x14ac:dyDescent="0.2">
      <c r="C41" s="7">
        <v>5</v>
      </c>
      <c r="D41" s="7" t="s">
        <v>20</v>
      </c>
      <c r="F41" s="28">
        <v>0</v>
      </c>
      <c r="G41" s="28">
        <v>417.25700000000001</v>
      </c>
      <c r="H41" s="28">
        <v>620.69000000000005</v>
      </c>
      <c r="I41" s="28">
        <v>0</v>
      </c>
      <c r="J41" s="29">
        <f t="shared" si="33"/>
        <v>1037.9470000000001</v>
      </c>
      <c r="K41" s="28">
        <v>2717.39</v>
      </c>
      <c r="L41" s="29">
        <f>K41+J41</f>
        <v>3755.337</v>
      </c>
      <c r="M41" s="28">
        <v>3122.9</v>
      </c>
      <c r="N41" s="28">
        <v>0</v>
      </c>
      <c r="O41" s="29">
        <f t="shared" si="34"/>
        <v>3122.9</v>
      </c>
      <c r="P41" s="30">
        <v>158.47999999999999</v>
      </c>
      <c r="Q41" s="29">
        <f>P41+O41</f>
        <v>3281.38</v>
      </c>
      <c r="R41" s="40">
        <f t="shared" si="35"/>
        <v>473.95699999999988</v>
      </c>
      <c r="S41" s="30">
        <v>0</v>
      </c>
      <c r="T41" s="24">
        <v>322.23</v>
      </c>
      <c r="U41" s="28">
        <v>0</v>
      </c>
      <c r="V41" s="28">
        <v>0</v>
      </c>
      <c r="W41" s="24">
        <v>0</v>
      </c>
      <c r="X41" s="28">
        <v>0</v>
      </c>
      <c r="Y41" s="24">
        <v>0</v>
      </c>
      <c r="Z41" s="24">
        <v>0</v>
      </c>
      <c r="AA41" s="28">
        <v>0</v>
      </c>
      <c r="AB41" s="24">
        <v>322.23</v>
      </c>
      <c r="AC41" s="29">
        <f>X41+Y41</f>
        <v>0</v>
      </c>
      <c r="AD41" s="29">
        <f>AA41+AB41</f>
        <v>322.23</v>
      </c>
      <c r="AE41" s="29">
        <f>W41+AC41</f>
        <v>0</v>
      </c>
      <c r="AF41" s="29">
        <f t="shared" si="36"/>
        <v>322.23</v>
      </c>
      <c r="AG41" s="29"/>
    </row>
    <row r="42" spans="1:33" x14ac:dyDescent="0.2">
      <c r="F42" s="25">
        <f t="shared" ref="F42:AF42" si="37">SUM(F37:F41)</f>
        <v>0</v>
      </c>
      <c r="G42" s="25">
        <f t="shared" si="37"/>
        <v>2232.4589999999998</v>
      </c>
      <c r="H42" s="25">
        <f t="shared" si="37"/>
        <v>12655.12</v>
      </c>
      <c r="I42" s="25">
        <f t="shared" si="37"/>
        <v>620.00960500000008</v>
      </c>
      <c r="J42" s="25">
        <f>SUM(J37:J41)</f>
        <v>15507.588605000001</v>
      </c>
      <c r="K42" s="25">
        <f t="shared" si="37"/>
        <v>4244.8999999999996</v>
      </c>
      <c r="L42" s="25">
        <f t="shared" si="37"/>
        <v>19752.488604999999</v>
      </c>
      <c r="M42" s="25">
        <f>SUM(M37:M41)</f>
        <v>12850.14</v>
      </c>
      <c r="N42" s="25">
        <f t="shared" ref="N42" si="38">SUM(N37:N41)</f>
        <v>0</v>
      </c>
      <c r="O42" s="25">
        <f t="shared" si="37"/>
        <v>12850.14</v>
      </c>
      <c r="P42" s="25">
        <f>SUM(P37:P41)</f>
        <v>4244.8999999999996</v>
      </c>
      <c r="Q42" s="25">
        <f t="shared" si="37"/>
        <v>17095.04</v>
      </c>
      <c r="R42" s="25">
        <f t="shared" si="37"/>
        <v>2729.2797850000006</v>
      </c>
      <c r="S42" s="25">
        <f t="shared" si="37"/>
        <v>339.59099999999995</v>
      </c>
      <c r="T42" s="25">
        <f t="shared" si="37"/>
        <v>2185.2399999999998</v>
      </c>
      <c r="U42" s="25">
        <f t="shared" si="37"/>
        <v>0</v>
      </c>
      <c r="V42" s="25">
        <f t="shared" si="37"/>
        <v>0</v>
      </c>
      <c r="W42" s="25">
        <f t="shared" si="37"/>
        <v>339.59900000000005</v>
      </c>
      <c r="X42" s="25">
        <f t="shared" si="37"/>
        <v>0</v>
      </c>
      <c r="Y42" s="25">
        <f t="shared" si="37"/>
        <v>2185.2399999999998</v>
      </c>
      <c r="Z42" s="25">
        <f t="shared" si="37"/>
        <v>339.59099999999995</v>
      </c>
      <c r="AA42" s="25">
        <f t="shared" si="37"/>
        <v>0</v>
      </c>
      <c r="AB42" s="25">
        <f t="shared" si="37"/>
        <v>2185.2399999999998</v>
      </c>
      <c r="AC42" s="25">
        <f t="shared" si="37"/>
        <v>2185.2399999999998</v>
      </c>
      <c r="AD42" s="25">
        <f t="shared" si="37"/>
        <v>2185.2399999999998</v>
      </c>
      <c r="AE42" s="25">
        <f t="shared" si="37"/>
        <v>2524.8389999999999</v>
      </c>
      <c r="AF42" s="50">
        <f t="shared" si="37"/>
        <v>2524.8310000000001</v>
      </c>
      <c r="AG42" s="50"/>
    </row>
    <row r="43" spans="1:33" x14ac:dyDescent="0.2"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3" x14ac:dyDescent="0.2">
      <c r="A44" s="7">
        <v>2</v>
      </c>
      <c r="B44" s="21" t="s">
        <v>67</v>
      </c>
      <c r="C44" s="7">
        <v>1</v>
      </c>
      <c r="D44" s="15" t="s">
        <v>16</v>
      </c>
      <c r="F44" s="24">
        <v>0</v>
      </c>
      <c r="G44" s="24">
        <v>0</v>
      </c>
      <c r="H44" s="24">
        <v>0</v>
      </c>
      <c r="I44" s="24">
        <v>0</v>
      </c>
      <c r="J44" s="29">
        <f>F44+G44+H44+I44</f>
        <v>0</v>
      </c>
      <c r="K44" s="24">
        <v>0</v>
      </c>
      <c r="L44" s="29">
        <f>K44+J44</f>
        <v>0</v>
      </c>
      <c r="M44" s="24">
        <v>0</v>
      </c>
      <c r="N44" s="24">
        <v>0</v>
      </c>
      <c r="O44" s="29">
        <f>M44+N44</f>
        <v>0</v>
      </c>
      <c r="P44" s="30">
        <v>0</v>
      </c>
      <c r="Q44" s="29">
        <f>P44+O44</f>
        <v>0</v>
      </c>
      <c r="R44" s="29">
        <f>MAX(L44-Q44,0)</f>
        <v>0</v>
      </c>
      <c r="S44" s="30">
        <v>0</v>
      </c>
      <c r="T44" s="24">
        <v>0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29">
        <f>X44+Y44</f>
        <v>0</v>
      </c>
      <c r="AD44" s="29">
        <f>AA44+AB44</f>
        <v>0</v>
      </c>
      <c r="AE44" s="29">
        <f>W44+AC44</f>
        <v>0</v>
      </c>
      <c r="AF44" s="29">
        <f>Z44+AD44</f>
        <v>0</v>
      </c>
      <c r="AG44" s="29"/>
    </row>
    <row r="45" spans="1:33" x14ac:dyDescent="0.2">
      <c r="C45" s="7">
        <v>2</v>
      </c>
      <c r="D45" s="8" t="s">
        <v>17</v>
      </c>
      <c r="F45" s="24">
        <v>0</v>
      </c>
      <c r="G45" s="28">
        <v>587.69299999999998</v>
      </c>
      <c r="H45" s="24">
        <v>4303.24</v>
      </c>
      <c r="I45" s="24">
        <v>70.652405000000002</v>
      </c>
      <c r="J45" s="29">
        <f t="shared" ref="J45:J48" si="39">F45+G45+H45+I45</f>
        <v>4961.5854049999998</v>
      </c>
      <c r="K45" s="24">
        <v>289.02</v>
      </c>
      <c r="L45" s="29">
        <f>K45+J45</f>
        <v>5250.6054050000002</v>
      </c>
      <c r="M45" s="28">
        <v>3231.37</v>
      </c>
      <c r="N45" s="24">
        <v>0</v>
      </c>
      <c r="O45" s="29">
        <f t="shared" ref="O45:O48" si="40">M45+N45</f>
        <v>3231.37</v>
      </c>
      <c r="P45" s="30">
        <v>115.69</v>
      </c>
      <c r="Q45" s="29">
        <f>P45+O45</f>
        <v>3347.06</v>
      </c>
      <c r="R45" s="40">
        <f t="shared" ref="R45:R48" si="41">MAX(L45-Q45,0)</f>
        <v>1903.5454050000003</v>
      </c>
      <c r="S45" s="30">
        <v>38.698</v>
      </c>
      <c r="T45" s="24">
        <v>1728.55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29">
        <f>X45+Y45</f>
        <v>0</v>
      </c>
      <c r="AD45" s="29">
        <f>AA45+AB45</f>
        <v>0</v>
      </c>
      <c r="AE45" s="29">
        <f>W45+AC45</f>
        <v>0</v>
      </c>
      <c r="AF45" s="29">
        <f t="shared" ref="AF45:AF48" si="42">Z45+AD45</f>
        <v>0</v>
      </c>
      <c r="AG45" s="29"/>
    </row>
    <row r="46" spans="1:33" x14ac:dyDescent="0.2">
      <c r="C46" s="7">
        <v>3</v>
      </c>
      <c r="D46" s="8" t="s">
        <v>18</v>
      </c>
      <c r="F46" s="24">
        <v>0</v>
      </c>
      <c r="G46" s="28">
        <v>513.84699999999998</v>
      </c>
      <c r="H46" s="24">
        <v>3379.72</v>
      </c>
      <c r="I46" s="24">
        <v>472.30182000000002</v>
      </c>
      <c r="J46" s="29">
        <f t="shared" si="39"/>
        <v>4365.8688199999997</v>
      </c>
      <c r="K46" s="24">
        <v>0</v>
      </c>
      <c r="L46" s="29">
        <f>K46+J46</f>
        <v>4365.8688199999997</v>
      </c>
      <c r="M46" s="28">
        <v>3184.36</v>
      </c>
      <c r="N46" s="24">
        <v>0</v>
      </c>
      <c r="O46" s="29">
        <f t="shared" si="40"/>
        <v>3184.36</v>
      </c>
      <c r="P46" s="30">
        <v>1253.3400000000001</v>
      </c>
      <c r="Q46" s="29">
        <f>P46+O46</f>
        <v>4437.7000000000007</v>
      </c>
      <c r="R46" s="40">
        <f t="shared" si="41"/>
        <v>0</v>
      </c>
      <c r="S46" s="30">
        <v>258.68799999999999</v>
      </c>
      <c r="T46" s="24">
        <v>0</v>
      </c>
      <c r="U46" s="45">
        <v>0</v>
      </c>
      <c r="V46" s="45">
        <v>0</v>
      </c>
      <c r="W46" s="45">
        <v>0</v>
      </c>
      <c r="X46" s="36">
        <v>0</v>
      </c>
      <c r="Y46" s="36">
        <v>0</v>
      </c>
      <c r="Z46" s="36">
        <v>0</v>
      </c>
      <c r="AA46" s="36">
        <v>0</v>
      </c>
      <c r="AB46" s="36">
        <v>0</v>
      </c>
      <c r="AC46" s="29">
        <f>X46+Y46</f>
        <v>0</v>
      </c>
      <c r="AD46" s="29">
        <f>AA46+AB46</f>
        <v>0</v>
      </c>
      <c r="AE46" s="29">
        <f>W46+AC46</f>
        <v>0</v>
      </c>
      <c r="AF46" s="29">
        <f t="shared" si="42"/>
        <v>0</v>
      </c>
      <c r="AG46" s="29"/>
    </row>
    <row r="47" spans="1:33" x14ac:dyDescent="0.2">
      <c r="C47" s="7">
        <v>4</v>
      </c>
      <c r="D47" s="7" t="s">
        <v>19</v>
      </c>
      <c r="F47" s="24">
        <v>0</v>
      </c>
      <c r="G47" s="28">
        <v>713.66200000000003</v>
      </c>
      <c r="H47" s="24">
        <v>4351.47</v>
      </c>
      <c r="I47" s="24">
        <v>77.05538</v>
      </c>
      <c r="J47" s="29">
        <f t="shared" si="39"/>
        <v>5142.1873800000003</v>
      </c>
      <c r="K47" s="24">
        <v>1238.49</v>
      </c>
      <c r="L47" s="29">
        <f>K47+J47</f>
        <v>6380.6773800000001</v>
      </c>
      <c r="M47" s="28">
        <v>3311.51</v>
      </c>
      <c r="N47" s="24">
        <v>0</v>
      </c>
      <c r="O47" s="29">
        <f t="shared" si="40"/>
        <v>3311.51</v>
      </c>
      <c r="P47" s="30">
        <v>2717.39</v>
      </c>
      <c r="Q47" s="29">
        <f>P47+O47</f>
        <v>6028.9</v>
      </c>
      <c r="R47" s="40">
        <f t="shared" si="41"/>
        <v>351.77738000000045</v>
      </c>
      <c r="S47" s="30">
        <v>42.204999999999998</v>
      </c>
      <c r="T47" s="24">
        <v>134.46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29">
        <f>X47+Y47</f>
        <v>0</v>
      </c>
      <c r="AD47" s="29">
        <f>AA47+AB47</f>
        <v>0</v>
      </c>
      <c r="AE47" s="29">
        <f>W47+AC47</f>
        <v>0</v>
      </c>
      <c r="AF47" s="29">
        <f t="shared" si="42"/>
        <v>0</v>
      </c>
      <c r="AG47" s="29"/>
    </row>
    <row r="48" spans="1:33" x14ac:dyDescent="0.2">
      <c r="C48" s="7">
        <v>5</v>
      </c>
      <c r="D48" s="7" t="s">
        <v>20</v>
      </c>
      <c r="F48" s="24">
        <v>0</v>
      </c>
      <c r="G48" s="24">
        <v>417.25700000000001</v>
      </c>
      <c r="H48" s="24">
        <v>620.69000000000005</v>
      </c>
      <c r="I48" s="24">
        <v>0</v>
      </c>
      <c r="J48" s="29">
        <f t="shared" si="39"/>
        <v>1037.9470000000001</v>
      </c>
      <c r="K48" s="28">
        <v>2717.39</v>
      </c>
      <c r="L48" s="29">
        <f>K48+J48</f>
        <v>3755.337</v>
      </c>
      <c r="M48" s="28">
        <v>3122.9</v>
      </c>
      <c r="N48" s="24">
        <v>0</v>
      </c>
      <c r="O48" s="29">
        <f t="shared" si="40"/>
        <v>3122.9</v>
      </c>
      <c r="P48" s="30">
        <v>158.47999999999999</v>
      </c>
      <c r="Q48" s="29">
        <f>P48+O48</f>
        <v>3281.38</v>
      </c>
      <c r="R48" s="40">
        <f t="shared" si="41"/>
        <v>473.95699999999988</v>
      </c>
      <c r="S48" s="30">
        <v>0</v>
      </c>
      <c r="T48" s="24">
        <v>322.23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29">
        <f>X48+Y48</f>
        <v>0</v>
      </c>
      <c r="AD48" s="29">
        <f>AA48+AB48</f>
        <v>0</v>
      </c>
      <c r="AE48" s="29">
        <f>W48+AC48</f>
        <v>0</v>
      </c>
      <c r="AF48" s="29">
        <f t="shared" si="42"/>
        <v>0</v>
      </c>
      <c r="AG48" s="29"/>
    </row>
    <row r="49" spans="1:34" x14ac:dyDescent="0.2">
      <c r="F49" s="25">
        <f t="shared" ref="F49:I49" si="43">SUM(F44:F48)</f>
        <v>0</v>
      </c>
      <c r="G49" s="25">
        <f t="shared" si="43"/>
        <v>2232.4589999999998</v>
      </c>
      <c r="H49" s="25">
        <f t="shared" si="43"/>
        <v>12655.12</v>
      </c>
      <c r="I49" s="25">
        <f t="shared" si="43"/>
        <v>620.00960500000008</v>
      </c>
      <c r="J49" s="25">
        <f>SUM(J44:J48)</f>
        <v>15507.588605000001</v>
      </c>
      <c r="K49" s="25">
        <f t="shared" ref="K49:L49" si="44">SUM(K44:K48)</f>
        <v>4244.8999999999996</v>
      </c>
      <c r="L49" s="25">
        <f t="shared" si="44"/>
        <v>19752.488604999999</v>
      </c>
      <c r="M49" s="25">
        <f>SUM(M44:M48)</f>
        <v>12850.14</v>
      </c>
      <c r="N49" s="25">
        <f t="shared" ref="N49:O49" si="45">SUM(N44:N48)</f>
        <v>0</v>
      </c>
      <c r="O49" s="25">
        <f t="shared" si="45"/>
        <v>12850.14</v>
      </c>
      <c r="P49" s="25">
        <f>SUM(P44:P48)</f>
        <v>4244.8999999999996</v>
      </c>
      <c r="Q49" s="25">
        <f t="shared" ref="Q49:X49" si="46">SUM(Q44:Q48)</f>
        <v>17095.04</v>
      </c>
      <c r="R49" s="25">
        <f t="shared" si="46"/>
        <v>2729.2797850000006</v>
      </c>
      <c r="S49" s="25">
        <f t="shared" si="46"/>
        <v>339.59099999999995</v>
      </c>
      <c r="T49" s="25">
        <f t="shared" si="46"/>
        <v>2185.2399999999998</v>
      </c>
      <c r="U49" s="25">
        <f t="shared" si="46"/>
        <v>0</v>
      </c>
      <c r="V49" s="25">
        <f t="shared" si="46"/>
        <v>0</v>
      </c>
      <c r="W49" s="25">
        <f t="shared" si="46"/>
        <v>0</v>
      </c>
      <c r="X49" s="25">
        <f t="shared" si="46"/>
        <v>0</v>
      </c>
      <c r="Y49" s="25">
        <f>SUM(Y44:Y48)</f>
        <v>0</v>
      </c>
      <c r="Z49" s="25">
        <f t="shared" ref="Z49:AA49" si="47">SUM(Z44:Z48)</f>
        <v>0</v>
      </c>
      <c r="AA49" s="25">
        <f t="shared" si="47"/>
        <v>0</v>
      </c>
      <c r="AB49" s="25">
        <f>SUM(AB44:AB48)</f>
        <v>0</v>
      </c>
      <c r="AC49" s="25">
        <f>SUM(AC44:AC48)</f>
        <v>0</v>
      </c>
      <c r="AD49" s="25">
        <f>SUM(AD44:AD48)</f>
        <v>0</v>
      </c>
      <c r="AE49" s="25">
        <f>SUM(AE44:AE48)</f>
        <v>0</v>
      </c>
      <c r="AF49" s="50">
        <f>SUM(AF44:AF48)</f>
        <v>0</v>
      </c>
      <c r="AG49" s="50"/>
    </row>
    <row r="51" spans="1:34" x14ac:dyDescent="0.2">
      <c r="A51" s="7">
        <v>2</v>
      </c>
      <c r="B51" s="21" t="s">
        <v>68</v>
      </c>
      <c r="C51" s="7">
        <v>1</v>
      </c>
      <c r="D51" s="15" t="s">
        <v>16</v>
      </c>
      <c r="F51" s="24">
        <v>0</v>
      </c>
      <c r="G51" s="24">
        <v>0</v>
      </c>
      <c r="H51" s="24">
        <v>0</v>
      </c>
      <c r="I51" s="24">
        <v>0</v>
      </c>
      <c r="J51" s="29">
        <f>F51+G51+H51+I51</f>
        <v>0</v>
      </c>
      <c r="K51" s="24">
        <v>0</v>
      </c>
      <c r="L51" s="29">
        <f>K51+J51</f>
        <v>0</v>
      </c>
      <c r="M51" s="24">
        <v>0</v>
      </c>
      <c r="N51" s="24">
        <v>0</v>
      </c>
      <c r="O51" s="29">
        <f>M51+N51</f>
        <v>0</v>
      </c>
      <c r="P51" s="30">
        <v>0</v>
      </c>
      <c r="Q51" s="29">
        <f>P51+O51</f>
        <v>0</v>
      </c>
      <c r="R51" s="30">
        <v>0</v>
      </c>
      <c r="S51" s="30">
        <v>0</v>
      </c>
      <c r="T51" s="24">
        <v>0</v>
      </c>
      <c r="U51" s="28">
        <v>0</v>
      </c>
      <c r="V51" s="28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9">
        <f>X51+Y51</f>
        <v>0</v>
      </c>
      <c r="AD51" s="29">
        <f>AA51+AB51</f>
        <v>0</v>
      </c>
      <c r="AE51" s="29">
        <f>W51+AC51</f>
        <v>0</v>
      </c>
      <c r="AF51" s="29">
        <f>Z51+AD51</f>
        <v>0</v>
      </c>
      <c r="AG51" s="29"/>
    </row>
    <row r="52" spans="1:34" x14ac:dyDescent="0.2">
      <c r="C52" s="7">
        <v>2</v>
      </c>
      <c r="D52" s="18" t="s">
        <v>17</v>
      </c>
      <c r="F52" s="24">
        <v>0</v>
      </c>
      <c r="G52" s="28">
        <v>587.69299999999998</v>
      </c>
      <c r="H52" s="24">
        <v>4303.24</v>
      </c>
      <c r="I52" s="24">
        <v>70.652405000000002</v>
      </c>
      <c r="J52" s="29">
        <f t="shared" ref="J52:J55" si="48">F52+G52+H52+I52</f>
        <v>4961.5854049999998</v>
      </c>
      <c r="K52" s="31">
        <v>250.32239999999999</v>
      </c>
      <c r="L52" s="29">
        <f>K52+J52</f>
        <v>5211.9078049999998</v>
      </c>
      <c r="M52" s="24">
        <v>3231.37</v>
      </c>
      <c r="N52" s="24">
        <v>0</v>
      </c>
      <c r="O52" s="29">
        <f t="shared" ref="O52:O55" si="49">M52+N52</f>
        <v>3231.37</v>
      </c>
      <c r="P52" s="30">
        <v>115.69</v>
      </c>
      <c r="Q52" s="29">
        <f>P52+O52</f>
        <v>3347.06</v>
      </c>
      <c r="R52" s="42">
        <v>1864.8474000000001</v>
      </c>
      <c r="S52" s="30">
        <v>38.698</v>
      </c>
      <c r="T52" s="24">
        <v>1728.55</v>
      </c>
      <c r="U52" s="28">
        <v>0</v>
      </c>
      <c r="V52" s="28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9">
        <f>X52+Y52</f>
        <v>0</v>
      </c>
      <c r="AD52" s="29">
        <f>AA52+AB52</f>
        <v>0</v>
      </c>
      <c r="AE52" s="29">
        <f>W52+AC52</f>
        <v>0</v>
      </c>
      <c r="AF52" s="29">
        <f t="shared" ref="AF52:AF55" si="50">Z52+AD52</f>
        <v>0</v>
      </c>
      <c r="AG52" s="29"/>
    </row>
    <row r="53" spans="1:34" x14ac:dyDescent="0.2">
      <c r="C53" s="7">
        <v>3</v>
      </c>
      <c r="D53" s="13" t="s">
        <v>18</v>
      </c>
      <c r="F53" s="24">
        <v>0</v>
      </c>
      <c r="G53" s="28">
        <v>513.84699999999998</v>
      </c>
      <c r="H53" s="24">
        <v>3379.72</v>
      </c>
      <c r="I53" s="24">
        <v>472.30182000000002</v>
      </c>
      <c r="J53" s="29">
        <f t="shared" si="48"/>
        <v>4365.8688199999997</v>
      </c>
      <c r="K53" s="24">
        <v>0</v>
      </c>
      <c r="L53" s="29">
        <f>K53+J53</f>
        <v>4365.8688199999997</v>
      </c>
      <c r="M53" s="31">
        <v>2998.732</v>
      </c>
      <c r="N53" s="24">
        <v>0</v>
      </c>
      <c r="O53" s="29">
        <f t="shared" si="49"/>
        <v>2998.732</v>
      </c>
      <c r="P53" s="42">
        <v>1180.2782</v>
      </c>
      <c r="Q53" s="29">
        <f>P53+O53</f>
        <v>4179.0101999999997</v>
      </c>
      <c r="R53" s="42">
        <v>0</v>
      </c>
      <c r="S53" s="30">
        <v>258.68799999999999</v>
      </c>
      <c r="T53" s="24">
        <v>0</v>
      </c>
      <c r="U53" s="28">
        <v>0</v>
      </c>
      <c r="V53" s="31">
        <v>185.62817000000001</v>
      </c>
      <c r="W53" s="31">
        <v>73.061279999999996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9">
        <f>X53+Y53</f>
        <v>0</v>
      </c>
      <c r="AD53" s="29">
        <f>AA53+AB53</f>
        <v>0</v>
      </c>
      <c r="AE53" s="29">
        <f>W53+AC53</f>
        <v>73.061279999999996</v>
      </c>
      <c r="AF53" s="29">
        <f t="shared" si="50"/>
        <v>0</v>
      </c>
      <c r="AG53" s="29"/>
    </row>
    <row r="54" spans="1:34" x14ac:dyDescent="0.2">
      <c r="C54" s="7">
        <v>4</v>
      </c>
      <c r="D54" s="7" t="s">
        <v>19</v>
      </c>
      <c r="F54" s="24">
        <v>0</v>
      </c>
      <c r="G54" s="28">
        <v>713.66200000000003</v>
      </c>
      <c r="H54" s="24">
        <v>4351.47</v>
      </c>
      <c r="I54" s="24">
        <v>77.05538</v>
      </c>
      <c r="J54" s="29">
        <f t="shared" si="48"/>
        <v>5142.1873800000003</v>
      </c>
      <c r="K54" s="31">
        <v>1196.2854</v>
      </c>
      <c r="L54" s="29">
        <f>K54+J54</f>
        <v>6338.4727800000001</v>
      </c>
      <c r="M54" s="24">
        <v>3311.51</v>
      </c>
      <c r="N54" s="24">
        <v>0</v>
      </c>
      <c r="O54" s="29">
        <f t="shared" si="49"/>
        <v>3311.51</v>
      </c>
      <c r="P54" s="30">
        <v>2717.39</v>
      </c>
      <c r="Q54" s="29">
        <f>P54+O54</f>
        <v>6028.9</v>
      </c>
      <c r="R54" s="42">
        <v>309.57240000000002</v>
      </c>
      <c r="S54" s="30">
        <v>42.204999999999998</v>
      </c>
      <c r="T54" s="24">
        <v>134.46</v>
      </c>
      <c r="U54" s="28">
        <v>0</v>
      </c>
      <c r="V54" s="28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9">
        <f>X54+Y54</f>
        <v>0</v>
      </c>
      <c r="AD54" s="29">
        <f>AA54+AB54</f>
        <v>0</v>
      </c>
      <c r="AE54" s="29">
        <f>W54+AC54</f>
        <v>0</v>
      </c>
      <c r="AF54" s="29">
        <f t="shared" si="50"/>
        <v>0</v>
      </c>
      <c r="AG54" s="29"/>
    </row>
    <row r="55" spans="1:34" x14ac:dyDescent="0.2">
      <c r="C55" s="7">
        <v>5</v>
      </c>
      <c r="D55" s="7" t="s">
        <v>20</v>
      </c>
      <c r="F55" s="24">
        <v>0</v>
      </c>
      <c r="G55" s="24">
        <v>417.25700000000001</v>
      </c>
      <c r="H55" s="24">
        <v>620.69000000000005</v>
      </c>
      <c r="I55" s="24">
        <v>0</v>
      </c>
      <c r="J55" s="29">
        <f t="shared" si="48"/>
        <v>1037.9470000000001</v>
      </c>
      <c r="K55" s="24">
        <v>2717.39</v>
      </c>
      <c r="L55" s="29">
        <f>K55+J55</f>
        <v>3755.337</v>
      </c>
      <c r="M55" s="24">
        <v>3122.9</v>
      </c>
      <c r="N55" s="24">
        <v>0</v>
      </c>
      <c r="O55" s="29">
        <f t="shared" si="49"/>
        <v>3122.9</v>
      </c>
      <c r="P55" s="30">
        <v>158.47999999999999</v>
      </c>
      <c r="Q55" s="29">
        <f>P55+O55</f>
        <v>3281.38</v>
      </c>
      <c r="R55" s="30">
        <v>473.95699999999943</v>
      </c>
      <c r="S55" s="30">
        <v>0</v>
      </c>
      <c r="T55" s="24">
        <v>322.23</v>
      </c>
      <c r="U55" s="28">
        <v>0</v>
      </c>
      <c r="V55" s="28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9">
        <f>X55+Y55</f>
        <v>0</v>
      </c>
      <c r="AD55" s="29">
        <f>AA55+AB55</f>
        <v>0</v>
      </c>
      <c r="AE55" s="29">
        <f>W55+AC55</f>
        <v>0</v>
      </c>
      <c r="AF55" s="29">
        <f t="shared" si="50"/>
        <v>0</v>
      </c>
      <c r="AG55" s="29"/>
    </row>
    <row r="56" spans="1:34" x14ac:dyDescent="0.2">
      <c r="F56" s="25">
        <f t="shared" ref="F56:I56" si="51">SUM(F51:F55)</f>
        <v>0</v>
      </c>
      <c r="G56" s="25">
        <f t="shared" si="51"/>
        <v>2232.4589999999998</v>
      </c>
      <c r="H56" s="25">
        <f t="shared" si="51"/>
        <v>12655.12</v>
      </c>
      <c r="I56" s="25">
        <f t="shared" si="51"/>
        <v>620.00960500000008</v>
      </c>
      <c r="J56" s="25">
        <f>SUM(J51:J55)</f>
        <v>15507.588605000001</v>
      </c>
      <c r="K56" s="25">
        <f t="shared" ref="K56:L56" si="52">SUM(K51:K55)</f>
        <v>4163.9978000000001</v>
      </c>
      <c r="L56" s="25">
        <f t="shared" si="52"/>
        <v>19671.586404999998</v>
      </c>
      <c r="M56" s="54">
        <f>SUM(M51:M55)</f>
        <v>12664.512000000001</v>
      </c>
      <c r="N56" s="25">
        <f t="shared" ref="N56:O56" si="53">SUM(N51:N55)</f>
        <v>0</v>
      </c>
      <c r="O56" s="25">
        <f t="shared" si="53"/>
        <v>12664.512000000001</v>
      </c>
      <c r="P56" s="25">
        <f>SUM(P51:P55)</f>
        <v>4171.8381999999992</v>
      </c>
      <c r="Q56" s="25">
        <f t="shared" ref="Q56:AF56" si="54">SUM(Q51:Q55)</f>
        <v>16836.350200000001</v>
      </c>
      <c r="R56" s="25">
        <f t="shared" si="54"/>
        <v>2648.3767999999995</v>
      </c>
      <c r="S56" s="25">
        <f t="shared" si="54"/>
        <v>339.59099999999995</v>
      </c>
      <c r="T56" s="25">
        <f t="shared" si="54"/>
        <v>2185.2399999999998</v>
      </c>
      <c r="U56" s="25">
        <f t="shared" si="54"/>
        <v>0</v>
      </c>
      <c r="V56" s="25">
        <f t="shared" si="54"/>
        <v>185.62817000000001</v>
      </c>
      <c r="W56" s="25">
        <f t="shared" si="54"/>
        <v>73.061279999999996</v>
      </c>
      <c r="X56" s="25">
        <f t="shared" si="54"/>
        <v>0</v>
      </c>
      <c r="Y56" s="25">
        <f t="shared" si="54"/>
        <v>0</v>
      </c>
      <c r="Z56" s="25">
        <f t="shared" si="54"/>
        <v>0</v>
      </c>
      <c r="AA56" s="25">
        <f t="shared" si="54"/>
        <v>0</v>
      </c>
      <c r="AB56" s="25">
        <f t="shared" si="54"/>
        <v>0</v>
      </c>
      <c r="AC56" s="25">
        <f t="shared" si="54"/>
        <v>0</v>
      </c>
      <c r="AD56" s="25">
        <f t="shared" si="54"/>
        <v>0</v>
      </c>
      <c r="AE56" s="25">
        <f t="shared" si="54"/>
        <v>73.061279999999996</v>
      </c>
      <c r="AF56" s="50">
        <f t="shared" si="54"/>
        <v>0</v>
      </c>
      <c r="AG56" s="50"/>
    </row>
    <row r="58" spans="1:34" x14ac:dyDescent="0.2">
      <c r="A58" s="7">
        <v>2</v>
      </c>
      <c r="B58" s="21" t="s">
        <v>69</v>
      </c>
      <c r="C58" s="7">
        <v>1</v>
      </c>
      <c r="D58" s="15" t="s">
        <v>16</v>
      </c>
      <c r="F58" s="24">
        <v>0</v>
      </c>
      <c r="G58" s="24">
        <v>0</v>
      </c>
      <c r="H58" s="24">
        <v>0</v>
      </c>
      <c r="I58" s="24">
        <v>0</v>
      </c>
      <c r="J58" s="29">
        <f>F58+G58+H58+I58</f>
        <v>0</v>
      </c>
      <c r="K58" s="24">
        <v>0</v>
      </c>
      <c r="L58" s="29">
        <f>K58+J58</f>
        <v>0</v>
      </c>
      <c r="M58" s="24">
        <v>0</v>
      </c>
      <c r="N58" s="24">
        <v>0</v>
      </c>
      <c r="O58" s="29">
        <f>M58+N58</f>
        <v>0</v>
      </c>
      <c r="P58" s="30">
        <v>0</v>
      </c>
      <c r="Q58" s="29">
        <f>P58+O58</f>
        <v>0</v>
      </c>
      <c r="R58" s="30">
        <v>0</v>
      </c>
      <c r="S58" s="30">
        <v>0</v>
      </c>
      <c r="T58" s="24">
        <v>0</v>
      </c>
      <c r="U58" s="28">
        <v>0</v>
      </c>
      <c r="V58" s="28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9">
        <f>X58+Y58</f>
        <v>0</v>
      </c>
      <c r="AD58" s="29">
        <f>AA58+AB58</f>
        <v>0</v>
      </c>
      <c r="AE58" s="29">
        <f>W58+AC58</f>
        <v>0</v>
      </c>
      <c r="AF58" s="29">
        <f>Z58+AD58</f>
        <v>0</v>
      </c>
      <c r="AG58" s="8"/>
      <c r="AH58" s="29"/>
    </row>
    <row r="59" spans="1:34" x14ac:dyDescent="0.2">
      <c r="C59" s="7">
        <v>2</v>
      </c>
      <c r="D59" s="18" t="s">
        <v>17</v>
      </c>
      <c r="F59" s="24">
        <v>0</v>
      </c>
      <c r="G59" s="46">
        <v>0</v>
      </c>
      <c r="H59" s="46">
        <v>3368.2278000000001</v>
      </c>
      <c r="I59" s="24">
        <v>70.652405000000002</v>
      </c>
      <c r="J59" s="29">
        <f t="shared" ref="J59:J62" si="55">F59+G59+H59+I59</f>
        <v>3438.8802049999999</v>
      </c>
      <c r="K59" s="46">
        <v>195.93187</v>
      </c>
      <c r="L59" s="29">
        <f>K59+J59</f>
        <v>3634.8120749999998</v>
      </c>
      <c r="M59" s="24">
        <v>3231.37</v>
      </c>
      <c r="N59" s="24">
        <v>0</v>
      </c>
      <c r="O59" s="29">
        <f t="shared" ref="O59:O62" si="56">M59+N59</f>
        <v>3231.37</v>
      </c>
      <c r="P59" s="46">
        <v>0</v>
      </c>
      <c r="Q59" s="29">
        <f>P59+O59</f>
        <v>3231.37</v>
      </c>
      <c r="R59" s="30">
        <v>1864.8474000000001</v>
      </c>
      <c r="S59" s="30">
        <v>38.698</v>
      </c>
      <c r="T59" s="24">
        <v>1728.55</v>
      </c>
      <c r="U59" s="46">
        <v>935.01244999999994</v>
      </c>
      <c r="V59" s="28">
        <v>0</v>
      </c>
      <c r="W59" s="24">
        <v>0</v>
      </c>
      <c r="X59" s="46">
        <v>93.087906000000004</v>
      </c>
      <c r="Y59" s="46">
        <v>195.93208000000001</v>
      </c>
      <c r="Z59" s="24">
        <v>0</v>
      </c>
      <c r="AA59" s="24">
        <v>0</v>
      </c>
      <c r="AB59" s="24">
        <v>0</v>
      </c>
      <c r="AC59" s="29">
        <f>X59+Y59</f>
        <v>289.01998600000002</v>
      </c>
      <c r="AD59" s="29">
        <f>AA59+AB59</f>
        <v>0</v>
      </c>
      <c r="AE59" s="29">
        <f>W59+AC59</f>
        <v>289.01998600000002</v>
      </c>
      <c r="AF59" s="29">
        <f t="shared" ref="AF59:AF62" si="57">Z59+AD59</f>
        <v>0</v>
      </c>
      <c r="AG59" s="8"/>
      <c r="AH59" s="29"/>
    </row>
    <row r="60" spans="1:34" x14ac:dyDescent="0.2">
      <c r="C60" s="7">
        <v>3</v>
      </c>
      <c r="D60" s="13" t="s">
        <v>18</v>
      </c>
      <c r="F60" s="24">
        <v>0</v>
      </c>
      <c r="G60" s="24">
        <v>513.84699999999998</v>
      </c>
      <c r="H60" s="24">
        <v>3379.72</v>
      </c>
      <c r="I60" s="24">
        <v>472.30182000000002</v>
      </c>
      <c r="J60" s="29">
        <f t="shared" si="55"/>
        <v>4365.8688199999997</v>
      </c>
      <c r="K60" s="24">
        <v>0</v>
      </c>
      <c r="L60" s="29">
        <f>K60+J60</f>
        <v>4365.8688199999997</v>
      </c>
      <c r="M60" s="30">
        <v>2998.732</v>
      </c>
      <c r="N60" s="24">
        <v>0</v>
      </c>
      <c r="O60" s="29">
        <f t="shared" si="56"/>
        <v>2998.732</v>
      </c>
      <c r="P60" s="30">
        <v>1180.2782</v>
      </c>
      <c r="Q60" s="29">
        <f>P60+O60</f>
        <v>4179.0101999999997</v>
      </c>
      <c r="R60" s="30">
        <v>0</v>
      </c>
      <c r="S60" s="30">
        <v>258.68799999999999</v>
      </c>
      <c r="T60" s="24">
        <v>0</v>
      </c>
      <c r="U60" s="28">
        <v>0</v>
      </c>
      <c r="V60" s="28">
        <v>185.62817000000001</v>
      </c>
      <c r="W60" s="24">
        <v>73.061279999999996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9">
        <f>X60+Y60</f>
        <v>0</v>
      </c>
      <c r="AD60" s="29">
        <f>AA60+AB60</f>
        <v>0</v>
      </c>
      <c r="AE60" s="29">
        <f>W60+AC60</f>
        <v>73.061279999999996</v>
      </c>
      <c r="AF60" s="29">
        <f t="shared" si="57"/>
        <v>0</v>
      </c>
      <c r="AG60" s="8"/>
      <c r="AH60" s="29"/>
    </row>
    <row r="61" spans="1:34" x14ac:dyDescent="0.2">
      <c r="C61" s="7">
        <v>4</v>
      </c>
      <c r="D61" s="7" t="s">
        <v>19</v>
      </c>
      <c r="F61" s="24">
        <v>0</v>
      </c>
      <c r="G61" s="46">
        <v>579.20196999999996</v>
      </c>
      <c r="H61" s="24">
        <v>4351.47</v>
      </c>
      <c r="I61" s="24">
        <v>77.05538</v>
      </c>
      <c r="J61" s="29">
        <f t="shared" si="55"/>
        <v>5007.7273500000001</v>
      </c>
      <c r="K61" s="24">
        <v>1196.2854</v>
      </c>
      <c r="L61" s="29">
        <f>K61+J61</f>
        <v>6204.0127499999999</v>
      </c>
      <c r="M61" s="24">
        <v>3311.51</v>
      </c>
      <c r="N61" s="24">
        <v>0</v>
      </c>
      <c r="O61" s="29">
        <f t="shared" si="56"/>
        <v>3311.51</v>
      </c>
      <c r="P61" s="47">
        <v>2582.9299999999998</v>
      </c>
      <c r="Q61" s="29">
        <f>P61+O61</f>
        <v>5894.4400000000005</v>
      </c>
      <c r="R61" s="30">
        <v>309.57240000000002</v>
      </c>
      <c r="S61" s="30">
        <v>42.204999999999998</v>
      </c>
      <c r="T61" s="24">
        <v>134.46</v>
      </c>
      <c r="U61" s="28">
        <v>0</v>
      </c>
      <c r="V61" s="28">
        <v>0</v>
      </c>
      <c r="W61" s="24">
        <v>0</v>
      </c>
      <c r="X61" s="46">
        <v>42.204590000000003</v>
      </c>
      <c r="Y61" s="24">
        <v>0</v>
      </c>
      <c r="Z61" s="24">
        <v>0</v>
      </c>
      <c r="AA61" s="24">
        <v>0</v>
      </c>
      <c r="AB61" s="24">
        <v>0</v>
      </c>
      <c r="AC61" s="29">
        <f>X61+Y61</f>
        <v>42.204590000000003</v>
      </c>
      <c r="AD61" s="29">
        <f>AA61+AB61</f>
        <v>0</v>
      </c>
      <c r="AE61" s="29">
        <f>W61+AC61</f>
        <v>42.204590000000003</v>
      </c>
      <c r="AF61" s="29">
        <f t="shared" si="57"/>
        <v>0</v>
      </c>
      <c r="AG61" s="8"/>
      <c r="AH61" s="29"/>
    </row>
    <row r="62" spans="1:34" x14ac:dyDescent="0.2">
      <c r="C62" s="7">
        <v>5</v>
      </c>
      <c r="D62" s="8" t="s">
        <v>20</v>
      </c>
      <c r="F62" s="24">
        <v>0</v>
      </c>
      <c r="G62" s="46">
        <v>95.026979999999995</v>
      </c>
      <c r="H62" s="24">
        <v>620.69000000000005</v>
      </c>
      <c r="I62" s="24">
        <v>0</v>
      </c>
      <c r="J62" s="29">
        <f t="shared" si="55"/>
        <v>715.71698000000004</v>
      </c>
      <c r="K62" s="24">
        <v>2717.39</v>
      </c>
      <c r="L62" s="29">
        <f>K62+J62</f>
        <v>3433.10698</v>
      </c>
      <c r="M62" s="24">
        <v>3122.9</v>
      </c>
      <c r="N62" s="24">
        <v>0</v>
      </c>
      <c r="O62" s="29">
        <f t="shared" si="56"/>
        <v>3122.9</v>
      </c>
      <c r="P62" s="47">
        <v>0</v>
      </c>
      <c r="Q62" s="29">
        <f>P62+O62</f>
        <v>3122.9</v>
      </c>
      <c r="R62" s="30">
        <v>473.95699999999943</v>
      </c>
      <c r="S62" s="30">
        <v>0</v>
      </c>
      <c r="T62" s="24">
        <v>322.23</v>
      </c>
      <c r="U62" s="28">
        <v>0</v>
      </c>
      <c r="V62" s="28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9">
        <f>X62+Y62</f>
        <v>0</v>
      </c>
      <c r="AD62" s="29">
        <f>AA62+AB62</f>
        <v>0</v>
      </c>
      <c r="AE62" s="29">
        <f>W62+AC62</f>
        <v>0</v>
      </c>
      <c r="AF62" s="29">
        <f t="shared" si="57"/>
        <v>0</v>
      </c>
      <c r="AG62" s="8"/>
      <c r="AH62" s="29"/>
    </row>
    <row r="63" spans="1:34" x14ac:dyDescent="0.2">
      <c r="F63" s="25">
        <f t="shared" ref="F63:I63" si="58">SUM(F58:F62)</f>
        <v>0</v>
      </c>
      <c r="G63" s="25">
        <f t="shared" si="58"/>
        <v>1188.0759499999999</v>
      </c>
      <c r="H63" s="25">
        <f t="shared" si="58"/>
        <v>11720.1078</v>
      </c>
      <c r="I63" s="25">
        <f t="shared" si="58"/>
        <v>620.00960500000008</v>
      </c>
      <c r="J63" s="25">
        <f>SUM(J58:J62)</f>
        <v>13528.193354999998</v>
      </c>
      <c r="K63" s="25">
        <f t="shared" ref="K63:L63" si="59">SUM(K58:K62)</f>
        <v>4109.6072700000004</v>
      </c>
      <c r="L63" s="25">
        <f t="shared" si="59"/>
        <v>17637.800625</v>
      </c>
      <c r="M63" s="25">
        <f>SUM(M58:M62)</f>
        <v>12664.512000000001</v>
      </c>
      <c r="N63" s="25">
        <f t="shared" ref="N63:O63" si="60">SUM(N58:N62)</f>
        <v>0</v>
      </c>
      <c r="O63" s="25">
        <f t="shared" si="60"/>
        <v>12664.512000000001</v>
      </c>
      <c r="P63" s="25">
        <f>SUM(P58:P62)</f>
        <v>3763.2082</v>
      </c>
      <c r="Q63" s="25">
        <f t="shared" ref="Q63:AF63" si="61">SUM(Q58:Q62)</f>
        <v>16427.7202</v>
      </c>
      <c r="R63" s="25">
        <f t="shared" si="61"/>
        <v>2648.3767999999995</v>
      </c>
      <c r="S63" s="25">
        <f t="shared" si="61"/>
        <v>339.59099999999995</v>
      </c>
      <c r="T63" s="25">
        <f t="shared" si="61"/>
        <v>2185.2399999999998</v>
      </c>
      <c r="U63" s="25">
        <f t="shared" si="61"/>
        <v>935.01244999999994</v>
      </c>
      <c r="V63" s="25">
        <f t="shared" si="61"/>
        <v>185.62817000000001</v>
      </c>
      <c r="W63" s="25">
        <f t="shared" si="61"/>
        <v>73.061279999999996</v>
      </c>
      <c r="X63" s="25">
        <f t="shared" si="61"/>
        <v>135.292496</v>
      </c>
      <c r="Y63" s="25">
        <f t="shared" si="61"/>
        <v>195.93208000000001</v>
      </c>
      <c r="Z63" s="25">
        <f t="shared" si="61"/>
        <v>0</v>
      </c>
      <c r="AA63" s="25">
        <f t="shared" si="61"/>
        <v>0</v>
      </c>
      <c r="AB63" s="25">
        <f t="shared" si="61"/>
        <v>0</v>
      </c>
      <c r="AC63" s="25">
        <f t="shared" si="61"/>
        <v>331.22457600000001</v>
      </c>
      <c r="AD63" s="25">
        <f t="shared" si="61"/>
        <v>0</v>
      </c>
      <c r="AE63" s="25">
        <f t="shared" si="61"/>
        <v>404.28585600000002</v>
      </c>
      <c r="AF63" s="50">
        <f t="shared" si="61"/>
        <v>0</v>
      </c>
      <c r="AG63" s="8"/>
      <c r="AH63" s="50"/>
    </row>
    <row r="65" spans="1:34" x14ac:dyDescent="0.2">
      <c r="A65" s="7">
        <v>2</v>
      </c>
      <c r="B65" s="21" t="s">
        <v>64</v>
      </c>
      <c r="C65" s="7">
        <v>1</v>
      </c>
      <c r="D65" s="15" t="s">
        <v>16</v>
      </c>
      <c r="F65" s="24">
        <v>0</v>
      </c>
      <c r="G65" s="24">
        <v>0</v>
      </c>
      <c r="H65" s="24">
        <v>0</v>
      </c>
      <c r="I65" s="24">
        <v>0</v>
      </c>
      <c r="J65" s="29">
        <f>F65+G65+H65+I65</f>
        <v>0</v>
      </c>
      <c r="K65" s="24">
        <v>0</v>
      </c>
      <c r="L65" s="29">
        <f>K65+J65</f>
        <v>0</v>
      </c>
      <c r="M65" s="24">
        <v>0</v>
      </c>
      <c r="N65" s="24">
        <v>0</v>
      </c>
      <c r="O65" s="29">
        <f>M65+N65</f>
        <v>0</v>
      </c>
      <c r="P65" s="30">
        <v>0</v>
      </c>
      <c r="Q65" s="29">
        <f>P65+O65</f>
        <v>0</v>
      </c>
      <c r="R65" s="30">
        <v>0</v>
      </c>
      <c r="S65" s="45">
        <v>0</v>
      </c>
      <c r="T65" s="36">
        <v>0</v>
      </c>
      <c r="U65" s="28">
        <v>0</v>
      </c>
      <c r="V65" s="28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9">
        <f>X65+Y65</f>
        <v>0</v>
      </c>
      <c r="AD65" s="29">
        <f>AA65+AB65</f>
        <v>0</v>
      </c>
      <c r="AE65" s="29">
        <f>W65+AC65</f>
        <v>0</v>
      </c>
      <c r="AF65" s="29">
        <f>Z65+AD65</f>
        <v>0</v>
      </c>
      <c r="AG65" s="29"/>
      <c r="AH65" s="29"/>
    </row>
    <row r="66" spans="1:34" x14ac:dyDescent="0.2">
      <c r="C66" s="7">
        <v>2</v>
      </c>
      <c r="D66" s="18" t="s">
        <v>17</v>
      </c>
      <c r="F66" s="24">
        <v>0</v>
      </c>
      <c r="G66" s="24">
        <v>0</v>
      </c>
      <c r="H66" s="24">
        <v>3368.2278000000001</v>
      </c>
      <c r="I66" s="24">
        <v>70.652405000000002</v>
      </c>
      <c r="J66" s="29">
        <f t="shared" ref="J66:J69" si="62">F66+G66+H66+I66</f>
        <v>3438.8802049999999</v>
      </c>
      <c r="K66" s="24">
        <v>195.93187</v>
      </c>
      <c r="L66" s="29">
        <f>K66+J66</f>
        <v>3634.8120749999998</v>
      </c>
      <c r="M66" s="24">
        <v>3231.37</v>
      </c>
      <c r="N66" s="24">
        <v>0</v>
      </c>
      <c r="O66" s="29">
        <f t="shared" ref="O66:O69" si="63">M66+N66</f>
        <v>3231.37</v>
      </c>
      <c r="P66" s="30">
        <v>0</v>
      </c>
      <c r="Q66" s="29">
        <f>P66+O66</f>
        <v>3231.37</v>
      </c>
      <c r="R66" s="30">
        <v>1864.8474000000001</v>
      </c>
      <c r="S66" s="42">
        <v>16.8491</v>
      </c>
      <c r="T66" s="36">
        <v>0</v>
      </c>
      <c r="U66" s="28">
        <v>935.01244999999994</v>
      </c>
      <c r="V66" s="28">
        <v>0</v>
      </c>
      <c r="W66" s="24">
        <v>0</v>
      </c>
      <c r="X66" s="24">
        <v>93.087906000000004</v>
      </c>
      <c r="Y66" s="24">
        <v>195.93208000000001</v>
      </c>
      <c r="Z66" s="31">
        <v>16.8491</v>
      </c>
      <c r="AA66" s="24">
        <v>0</v>
      </c>
      <c r="AB66" s="24">
        <v>0</v>
      </c>
      <c r="AC66" s="29">
        <f>X66+Y66</f>
        <v>289.01998600000002</v>
      </c>
      <c r="AD66" s="29">
        <f>AA66+AB66</f>
        <v>0</v>
      </c>
      <c r="AE66" s="29">
        <f>W66+AC66</f>
        <v>289.01998600000002</v>
      </c>
      <c r="AF66" s="29">
        <f t="shared" ref="AF66:AF69" si="64">Z66+AD66</f>
        <v>16.8491</v>
      </c>
      <c r="AG66" s="29"/>
      <c r="AH66" s="29"/>
    </row>
    <row r="67" spans="1:34" x14ac:dyDescent="0.2">
      <c r="C67" s="7">
        <v>3</v>
      </c>
      <c r="D67" s="13" t="s">
        <v>18</v>
      </c>
      <c r="F67" s="24">
        <v>0</v>
      </c>
      <c r="G67" s="24">
        <v>513.84699999999998</v>
      </c>
      <c r="H67" s="24">
        <v>3379.72</v>
      </c>
      <c r="I67" s="24">
        <v>472.30182000000002</v>
      </c>
      <c r="J67" s="29">
        <f t="shared" si="62"/>
        <v>4365.8688199999997</v>
      </c>
      <c r="K67" s="24">
        <v>0</v>
      </c>
      <c r="L67" s="29">
        <f>K67+J67</f>
        <v>4365.8688199999997</v>
      </c>
      <c r="M67" s="30">
        <v>2998.732</v>
      </c>
      <c r="N67" s="24">
        <v>0</v>
      </c>
      <c r="O67" s="29">
        <f t="shared" si="63"/>
        <v>2998.732</v>
      </c>
      <c r="P67" s="30">
        <v>1180.2782</v>
      </c>
      <c r="Q67" s="29">
        <f>P67+O67</f>
        <v>4179.0101999999997</v>
      </c>
      <c r="R67" s="30">
        <v>0</v>
      </c>
      <c r="S67" s="45">
        <v>0</v>
      </c>
      <c r="T67" s="36">
        <v>0</v>
      </c>
      <c r="U67" s="28">
        <v>0</v>
      </c>
      <c r="V67" s="28">
        <v>185.62817000000001</v>
      </c>
      <c r="W67" s="24">
        <v>73.061279999999996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9">
        <f>X67+Y67</f>
        <v>0</v>
      </c>
      <c r="AD67" s="29">
        <f>AA67+AB67</f>
        <v>0</v>
      </c>
      <c r="AE67" s="29">
        <f>W67+AC67</f>
        <v>73.061279999999996</v>
      </c>
      <c r="AF67" s="29">
        <f t="shared" si="64"/>
        <v>0</v>
      </c>
      <c r="AG67" s="29"/>
      <c r="AH67" s="29"/>
    </row>
    <row r="68" spans="1:34" x14ac:dyDescent="0.2">
      <c r="C68" s="7">
        <v>4</v>
      </c>
      <c r="D68" s="7" t="s">
        <v>19</v>
      </c>
      <c r="F68" s="24">
        <v>0</v>
      </c>
      <c r="G68" s="24">
        <v>579.20196999999996</v>
      </c>
      <c r="H68" s="24">
        <v>4351.47</v>
      </c>
      <c r="I68" s="24">
        <v>77.05538</v>
      </c>
      <c r="J68" s="29">
        <f t="shared" si="62"/>
        <v>5007.7273500000001</v>
      </c>
      <c r="K68" s="24">
        <v>1196.2854</v>
      </c>
      <c r="L68" s="29">
        <f>K68+J68</f>
        <v>6204.0127499999999</v>
      </c>
      <c r="M68" s="24">
        <v>3311.51</v>
      </c>
      <c r="N68" s="24">
        <v>0</v>
      </c>
      <c r="O68" s="29">
        <f t="shared" si="63"/>
        <v>3311.51</v>
      </c>
      <c r="P68" s="30">
        <v>2582.9299999999998</v>
      </c>
      <c r="Q68" s="29">
        <f>P68+O68</f>
        <v>5894.4400000000005</v>
      </c>
      <c r="R68" s="30">
        <v>309.57240000000002</v>
      </c>
      <c r="S68" s="42">
        <v>56.217199999999998</v>
      </c>
      <c r="T68" s="36">
        <v>0</v>
      </c>
      <c r="U68" s="28">
        <v>0</v>
      </c>
      <c r="V68" s="28">
        <v>0</v>
      </c>
      <c r="W68" s="24">
        <v>0</v>
      </c>
      <c r="X68" s="24">
        <v>42.204590000000003</v>
      </c>
      <c r="Y68" s="24">
        <v>0</v>
      </c>
      <c r="Z68" s="31">
        <v>56.217199999999998</v>
      </c>
      <c r="AA68" s="24">
        <v>0</v>
      </c>
      <c r="AB68" s="24">
        <v>0</v>
      </c>
      <c r="AC68" s="29">
        <f>X68+Y68</f>
        <v>42.204590000000003</v>
      </c>
      <c r="AD68" s="29">
        <f>AA68+AB68</f>
        <v>0</v>
      </c>
      <c r="AE68" s="29">
        <f>W68+AC68</f>
        <v>42.204590000000003</v>
      </c>
      <c r="AF68" s="29">
        <f t="shared" si="64"/>
        <v>56.217199999999998</v>
      </c>
      <c r="AG68" s="29"/>
      <c r="AH68" s="29"/>
    </row>
    <row r="69" spans="1:34" x14ac:dyDescent="0.2">
      <c r="C69" s="7">
        <v>5</v>
      </c>
      <c r="D69" s="7" t="s">
        <v>20</v>
      </c>
      <c r="F69" s="24">
        <v>0</v>
      </c>
      <c r="G69" s="24">
        <v>95.026979999999995</v>
      </c>
      <c r="H69" s="24">
        <v>620.69000000000005</v>
      </c>
      <c r="I69" s="24">
        <v>0</v>
      </c>
      <c r="J69" s="29">
        <f t="shared" si="62"/>
        <v>715.71698000000004</v>
      </c>
      <c r="K69" s="24">
        <v>2717.39</v>
      </c>
      <c r="L69" s="29">
        <f>K69+J69</f>
        <v>3433.10698</v>
      </c>
      <c r="M69" s="24">
        <v>3122.9</v>
      </c>
      <c r="N69" s="24">
        <v>0</v>
      </c>
      <c r="O69" s="29">
        <f t="shared" si="63"/>
        <v>3122.9</v>
      </c>
      <c r="P69" s="30">
        <v>0</v>
      </c>
      <c r="Q69" s="29">
        <f>P69+O69</f>
        <v>3122.9</v>
      </c>
      <c r="R69" s="30">
        <v>473.95699999999943</v>
      </c>
      <c r="S69" s="45">
        <v>0</v>
      </c>
      <c r="T69" s="36">
        <v>0</v>
      </c>
      <c r="U69" s="28">
        <v>0</v>
      </c>
      <c r="V69" s="28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9">
        <f>X69+Y69</f>
        <v>0</v>
      </c>
      <c r="AD69" s="29">
        <f>AA69+AB69</f>
        <v>0</v>
      </c>
      <c r="AE69" s="29">
        <f>W69+AC69</f>
        <v>0</v>
      </c>
      <c r="AF69" s="29">
        <f t="shared" si="64"/>
        <v>0</v>
      </c>
      <c r="AG69" s="29"/>
      <c r="AH69" s="29"/>
    </row>
    <row r="70" spans="1:34" x14ac:dyDescent="0.2">
      <c r="F70" s="25">
        <f t="shared" ref="F70:I70" si="65">SUM(F65:F69)</f>
        <v>0</v>
      </c>
      <c r="G70" s="25">
        <f t="shared" si="65"/>
        <v>1188.0759499999999</v>
      </c>
      <c r="H70" s="25">
        <f t="shared" si="65"/>
        <v>11720.1078</v>
      </c>
      <c r="I70" s="25">
        <f t="shared" si="65"/>
        <v>620.00960500000008</v>
      </c>
      <c r="J70" s="25">
        <f>SUM(J65:J69)</f>
        <v>13528.193354999998</v>
      </c>
      <c r="K70" s="25">
        <f t="shared" ref="K70:L70" si="66">SUM(K65:K69)</f>
        <v>4109.6072700000004</v>
      </c>
      <c r="L70" s="25">
        <f t="shared" si="66"/>
        <v>17637.800625</v>
      </c>
      <c r="M70" s="25">
        <f>SUM(M65:M69)</f>
        <v>12664.512000000001</v>
      </c>
      <c r="N70" s="25">
        <f t="shared" ref="N70:O70" si="67">SUM(N65:N69)</f>
        <v>0</v>
      </c>
      <c r="O70" s="25">
        <f t="shared" si="67"/>
        <v>12664.512000000001</v>
      </c>
      <c r="P70" s="25">
        <f>SUM(P65:P69)</f>
        <v>3763.2082</v>
      </c>
      <c r="Q70" s="25">
        <f t="shared" ref="Q70:AF70" si="68">SUM(Q65:Q69)</f>
        <v>16427.7202</v>
      </c>
      <c r="R70" s="25">
        <f t="shared" si="68"/>
        <v>2648.3767999999995</v>
      </c>
      <c r="S70" s="25">
        <f t="shared" si="68"/>
        <v>73.066299999999998</v>
      </c>
      <c r="T70" s="25">
        <f t="shared" si="68"/>
        <v>0</v>
      </c>
      <c r="U70" s="25">
        <f t="shared" si="68"/>
        <v>935.01244999999994</v>
      </c>
      <c r="V70" s="25">
        <f t="shared" si="68"/>
        <v>185.62817000000001</v>
      </c>
      <c r="W70" s="25">
        <f t="shared" si="68"/>
        <v>73.061279999999996</v>
      </c>
      <c r="X70" s="25">
        <f t="shared" si="68"/>
        <v>135.292496</v>
      </c>
      <c r="Y70" s="25">
        <f t="shared" si="68"/>
        <v>195.93208000000001</v>
      </c>
      <c r="Z70" s="25">
        <f t="shared" si="68"/>
        <v>73.066299999999998</v>
      </c>
      <c r="AA70" s="25">
        <f t="shared" si="68"/>
        <v>0</v>
      </c>
      <c r="AB70" s="25">
        <f t="shared" si="68"/>
        <v>0</v>
      </c>
      <c r="AC70" s="25">
        <f t="shared" si="68"/>
        <v>331.22457600000001</v>
      </c>
      <c r="AD70" s="25">
        <f t="shared" si="68"/>
        <v>0</v>
      </c>
      <c r="AE70" s="25">
        <f t="shared" si="68"/>
        <v>404.28585600000002</v>
      </c>
      <c r="AF70" s="50">
        <f t="shared" si="68"/>
        <v>73.066299999999998</v>
      </c>
      <c r="AG70" s="50"/>
      <c r="AH70" s="50"/>
    </row>
    <row r="72" spans="1:34" x14ac:dyDescent="0.2">
      <c r="A72" s="7">
        <v>2</v>
      </c>
      <c r="B72" s="21" t="s">
        <v>66</v>
      </c>
      <c r="C72" s="7">
        <v>1</v>
      </c>
      <c r="D72" s="15" t="s">
        <v>16</v>
      </c>
      <c r="F72" s="24">
        <v>0</v>
      </c>
      <c r="G72" s="24">
        <v>0</v>
      </c>
      <c r="H72" s="24">
        <v>0</v>
      </c>
      <c r="I72" s="24">
        <v>0</v>
      </c>
      <c r="J72" s="29">
        <f>F72+G72+H72+I72</f>
        <v>0</v>
      </c>
      <c r="K72" s="24">
        <v>0</v>
      </c>
      <c r="L72" s="29">
        <f>K72+J72</f>
        <v>0</v>
      </c>
      <c r="M72" s="24">
        <v>0</v>
      </c>
      <c r="N72" s="24">
        <v>0</v>
      </c>
      <c r="O72" s="29">
        <f>M72+N72</f>
        <v>0</v>
      </c>
      <c r="P72" s="30">
        <v>0</v>
      </c>
      <c r="Q72" s="29">
        <f>P72+O72</f>
        <v>0</v>
      </c>
      <c r="R72" s="30">
        <v>0</v>
      </c>
      <c r="S72" s="30">
        <v>0</v>
      </c>
      <c r="T72" s="24">
        <v>0</v>
      </c>
      <c r="U72" s="28">
        <v>0</v>
      </c>
      <c r="V72" s="28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9">
        <f>X72+Y72</f>
        <v>0</v>
      </c>
      <c r="AD72" s="29">
        <f>AA72+AB72</f>
        <v>0</v>
      </c>
      <c r="AE72" s="29">
        <f>W72+AC72</f>
        <v>0</v>
      </c>
      <c r="AF72" s="29">
        <f>Z72+AD72</f>
        <v>0</v>
      </c>
      <c r="AG72" s="29"/>
      <c r="AH72" s="29"/>
    </row>
    <row r="73" spans="1:34" x14ac:dyDescent="0.2">
      <c r="C73" s="7">
        <v>2</v>
      </c>
      <c r="D73" s="18" t="s">
        <v>17</v>
      </c>
      <c r="F73" s="24">
        <v>0</v>
      </c>
      <c r="G73" s="24">
        <v>0</v>
      </c>
      <c r="H73" s="24">
        <v>3368.2278000000001</v>
      </c>
      <c r="I73" s="24">
        <v>70.652405000000002</v>
      </c>
      <c r="J73" s="29">
        <f t="shared" ref="J73:J76" si="69">F73+G73+H73+I73</f>
        <v>3438.8802049999999</v>
      </c>
      <c r="K73" s="24">
        <v>195.93187</v>
      </c>
      <c r="L73" s="29">
        <f>K73+J73</f>
        <v>3634.8120749999998</v>
      </c>
      <c r="M73" s="24">
        <v>3231.37</v>
      </c>
      <c r="N73" s="24">
        <v>0</v>
      </c>
      <c r="O73" s="29">
        <f t="shared" ref="O73:O76" si="70">M73+N73</f>
        <v>3231.37</v>
      </c>
      <c r="P73" s="30">
        <v>0</v>
      </c>
      <c r="Q73" s="29">
        <f>P73+O73</f>
        <v>3231.37</v>
      </c>
      <c r="R73" s="30">
        <v>1864.8474000000001</v>
      </c>
      <c r="S73" s="30">
        <v>16.8491</v>
      </c>
      <c r="T73" s="24">
        <v>0</v>
      </c>
      <c r="U73" s="28">
        <v>935.01244999999994</v>
      </c>
      <c r="V73" s="28">
        <v>0</v>
      </c>
      <c r="W73" s="24">
        <v>0</v>
      </c>
      <c r="X73" s="24">
        <v>93.087906000000004</v>
      </c>
      <c r="Y73" s="24">
        <v>195.93208000000001</v>
      </c>
      <c r="Z73" s="24">
        <v>16.8491</v>
      </c>
      <c r="AA73" s="24">
        <v>0</v>
      </c>
      <c r="AB73" s="24">
        <v>0</v>
      </c>
      <c r="AC73" s="29">
        <f>X73+Y73</f>
        <v>289.01998600000002</v>
      </c>
      <c r="AD73" s="29">
        <f>AA73+AB73</f>
        <v>0</v>
      </c>
      <c r="AE73" s="29">
        <f>W73+AC73</f>
        <v>289.01998600000002</v>
      </c>
      <c r="AF73" s="29">
        <f t="shared" ref="AF73:AF76" si="71">Z73+AD73</f>
        <v>16.8491</v>
      </c>
      <c r="AG73" s="29"/>
      <c r="AH73" s="29"/>
    </row>
    <row r="74" spans="1:34" x14ac:dyDescent="0.2">
      <c r="C74" s="7">
        <v>3</v>
      </c>
      <c r="D74" s="13" t="s">
        <v>18</v>
      </c>
      <c r="F74" s="24">
        <v>0</v>
      </c>
      <c r="G74" s="24">
        <v>513.84699999999998</v>
      </c>
      <c r="H74" s="24">
        <v>3379.72</v>
      </c>
      <c r="I74" s="24">
        <v>472.30182000000002</v>
      </c>
      <c r="J74" s="29">
        <f t="shared" si="69"/>
        <v>4365.8688199999997</v>
      </c>
      <c r="K74" s="24">
        <v>0</v>
      </c>
      <c r="L74" s="29">
        <f>K74+J74</f>
        <v>4365.8688199999997</v>
      </c>
      <c r="M74" s="30">
        <v>2998.732</v>
      </c>
      <c r="N74" s="24">
        <v>0</v>
      </c>
      <c r="O74" s="29">
        <f t="shared" si="70"/>
        <v>2998.732</v>
      </c>
      <c r="P74" s="30">
        <v>1180.2782</v>
      </c>
      <c r="Q74" s="29">
        <f>P74+O74</f>
        <v>4179.0101999999997</v>
      </c>
      <c r="R74" s="30">
        <v>0</v>
      </c>
      <c r="S74" s="30">
        <v>0</v>
      </c>
      <c r="T74" s="47">
        <v>148.46325999999999</v>
      </c>
      <c r="U74" s="28">
        <v>0</v>
      </c>
      <c r="V74" s="28">
        <v>185.62817000000001</v>
      </c>
      <c r="W74" s="24">
        <v>73.061279999999996</v>
      </c>
      <c r="X74" s="24">
        <v>0</v>
      </c>
      <c r="Y74" s="24">
        <v>0</v>
      </c>
      <c r="Z74" s="24">
        <v>0</v>
      </c>
      <c r="AA74" s="47">
        <v>148.46325999999999</v>
      </c>
      <c r="AB74" s="24">
        <v>0</v>
      </c>
      <c r="AC74" s="29">
        <f>X74+Y74</f>
        <v>0</v>
      </c>
      <c r="AD74" s="29">
        <f>AA74+AB74</f>
        <v>148.46325999999999</v>
      </c>
      <c r="AE74" s="29">
        <f>W74+AC74</f>
        <v>73.061279999999996</v>
      </c>
      <c r="AF74" s="29">
        <f t="shared" si="71"/>
        <v>148.46325999999999</v>
      </c>
      <c r="AG74" s="29"/>
      <c r="AH74" s="29"/>
    </row>
    <row r="75" spans="1:34" x14ac:dyDescent="0.2">
      <c r="C75" s="7">
        <v>4</v>
      </c>
      <c r="D75" s="7" t="s">
        <v>19</v>
      </c>
      <c r="F75" s="24">
        <v>0</v>
      </c>
      <c r="G75" s="24">
        <v>579.20196999999996</v>
      </c>
      <c r="H75" s="24">
        <v>4351.47</v>
      </c>
      <c r="I75" s="24">
        <v>77.05538</v>
      </c>
      <c r="J75" s="29">
        <f t="shared" si="69"/>
        <v>5007.7273500000001</v>
      </c>
      <c r="K75" s="24">
        <v>1196.2854</v>
      </c>
      <c r="L75" s="29">
        <f>K75+J75</f>
        <v>6204.0127499999999</v>
      </c>
      <c r="M75" s="24">
        <v>3311.51</v>
      </c>
      <c r="N75" s="24">
        <v>0</v>
      </c>
      <c r="O75" s="29">
        <f t="shared" si="70"/>
        <v>3311.51</v>
      </c>
      <c r="P75" s="30">
        <v>2582.9299999999998</v>
      </c>
      <c r="Q75" s="29">
        <f>P75+O75</f>
        <v>5894.4400000000005</v>
      </c>
      <c r="R75" s="30">
        <v>309.57240000000002</v>
      </c>
      <c r="S75" s="30">
        <v>56.217199999999998</v>
      </c>
      <c r="T75" s="24">
        <v>0</v>
      </c>
      <c r="U75" s="28">
        <v>0</v>
      </c>
      <c r="V75" s="28">
        <v>0</v>
      </c>
      <c r="W75" s="24">
        <v>0</v>
      </c>
      <c r="X75" s="24">
        <v>42.204590000000003</v>
      </c>
      <c r="Y75" s="24">
        <v>0</v>
      </c>
      <c r="Z75" s="24">
        <v>56.217199999999998</v>
      </c>
      <c r="AA75" s="24">
        <v>0</v>
      </c>
      <c r="AB75" s="24">
        <v>0</v>
      </c>
      <c r="AC75" s="29">
        <f>X75+Y75</f>
        <v>42.204590000000003</v>
      </c>
      <c r="AD75" s="29">
        <f>AA75+AB75</f>
        <v>0</v>
      </c>
      <c r="AE75" s="29">
        <f>W75+AC75</f>
        <v>42.204590000000003</v>
      </c>
      <c r="AF75" s="29">
        <f t="shared" si="71"/>
        <v>56.217199999999998</v>
      </c>
      <c r="AG75" s="29"/>
      <c r="AH75" s="29"/>
    </row>
    <row r="76" spans="1:34" x14ac:dyDescent="0.2">
      <c r="C76" s="7">
        <v>5</v>
      </c>
      <c r="D76" s="7" t="s">
        <v>20</v>
      </c>
      <c r="F76" s="24">
        <v>0</v>
      </c>
      <c r="G76" s="24">
        <v>95.026979999999995</v>
      </c>
      <c r="H76" s="24">
        <v>620.69000000000005</v>
      </c>
      <c r="I76" s="24">
        <v>0</v>
      </c>
      <c r="J76" s="29">
        <f t="shared" si="69"/>
        <v>715.71698000000004</v>
      </c>
      <c r="K76" s="24">
        <v>2717.39</v>
      </c>
      <c r="L76" s="29">
        <f>K76+J76</f>
        <v>3433.10698</v>
      </c>
      <c r="M76" s="24">
        <v>3122.9</v>
      </c>
      <c r="N76" s="24">
        <v>0</v>
      </c>
      <c r="O76" s="29">
        <f t="shared" si="70"/>
        <v>3122.9</v>
      </c>
      <c r="P76" s="30">
        <v>0</v>
      </c>
      <c r="Q76" s="29">
        <f>P76+O76</f>
        <v>3122.9</v>
      </c>
      <c r="R76" s="30">
        <v>473.95699999999943</v>
      </c>
      <c r="S76" s="30">
        <v>0</v>
      </c>
      <c r="T76" s="24">
        <v>0</v>
      </c>
      <c r="U76" s="28">
        <v>0</v>
      </c>
      <c r="V76" s="28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9">
        <f>X76+Y76</f>
        <v>0</v>
      </c>
      <c r="AD76" s="29">
        <f>AA76+AB76</f>
        <v>0</v>
      </c>
      <c r="AE76" s="29">
        <f>W76+AC76</f>
        <v>0</v>
      </c>
      <c r="AF76" s="29">
        <f t="shared" si="71"/>
        <v>0</v>
      </c>
      <c r="AG76" s="29"/>
      <c r="AH76" s="29"/>
    </row>
    <row r="77" spans="1:34" x14ac:dyDescent="0.2">
      <c r="F77" s="25">
        <f t="shared" ref="F77:I77" si="72">SUM(F72:F76)</f>
        <v>0</v>
      </c>
      <c r="G77" s="25">
        <f t="shared" si="72"/>
        <v>1188.0759499999999</v>
      </c>
      <c r="H77" s="25">
        <f t="shared" si="72"/>
        <v>11720.1078</v>
      </c>
      <c r="I77" s="25">
        <f t="shared" si="72"/>
        <v>620.00960500000008</v>
      </c>
      <c r="J77" s="25">
        <f>SUM(J72:J76)</f>
        <v>13528.193354999998</v>
      </c>
      <c r="K77" s="25">
        <f t="shared" ref="K77:L77" si="73">SUM(K72:K76)</f>
        <v>4109.6072700000004</v>
      </c>
      <c r="L77" s="25">
        <f t="shared" si="73"/>
        <v>17637.800625</v>
      </c>
      <c r="M77" s="25">
        <f>SUM(M72:M76)</f>
        <v>12664.512000000001</v>
      </c>
      <c r="N77" s="25">
        <f t="shared" ref="N77:O77" si="74">SUM(N72:N76)</f>
        <v>0</v>
      </c>
      <c r="O77" s="25">
        <f t="shared" si="74"/>
        <v>12664.512000000001</v>
      </c>
      <c r="P77" s="25">
        <f>SUM(P72:P76)</f>
        <v>3763.2082</v>
      </c>
      <c r="Q77" s="25">
        <f t="shared" ref="Q77:AF77" si="75">SUM(Q72:Q76)</f>
        <v>16427.7202</v>
      </c>
      <c r="R77" s="25">
        <f t="shared" si="75"/>
        <v>2648.3767999999995</v>
      </c>
      <c r="S77" s="25">
        <f t="shared" si="75"/>
        <v>73.066299999999998</v>
      </c>
      <c r="T77" s="25">
        <f t="shared" si="75"/>
        <v>148.46325999999999</v>
      </c>
      <c r="U77" s="25">
        <f t="shared" si="75"/>
        <v>935.01244999999994</v>
      </c>
      <c r="V77" s="25">
        <f t="shared" si="75"/>
        <v>185.62817000000001</v>
      </c>
      <c r="W77" s="25">
        <f t="shared" si="75"/>
        <v>73.061279999999996</v>
      </c>
      <c r="X77" s="25">
        <f t="shared" si="75"/>
        <v>135.292496</v>
      </c>
      <c r="Y77" s="25">
        <f t="shared" si="75"/>
        <v>195.93208000000001</v>
      </c>
      <c r="Z77" s="25">
        <f t="shared" si="75"/>
        <v>73.066299999999998</v>
      </c>
      <c r="AA77" s="25">
        <f t="shared" si="75"/>
        <v>148.46325999999999</v>
      </c>
      <c r="AB77" s="25">
        <f t="shared" si="75"/>
        <v>0</v>
      </c>
      <c r="AC77" s="25">
        <f t="shared" si="75"/>
        <v>331.22457600000001</v>
      </c>
      <c r="AD77" s="25">
        <f t="shared" si="75"/>
        <v>148.46325999999999</v>
      </c>
      <c r="AE77" s="25">
        <f t="shared" si="75"/>
        <v>404.28585600000002</v>
      </c>
      <c r="AF77" s="25">
        <f t="shared" si="75"/>
        <v>221.52955999999998</v>
      </c>
      <c r="AG77" s="25"/>
      <c r="AH77" s="25"/>
    </row>
    <row r="79" spans="1:34" x14ac:dyDescent="0.2">
      <c r="A79" s="7">
        <v>2</v>
      </c>
      <c r="B79" s="21" t="s">
        <v>70</v>
      </c>
      <c r="C79" s="8">
        <v>1</v>
      </c>
      <c r="D79" s="15" t="s">
        <v>16</v>
      </c>
      <c r="F79" s="24">
        <v>0</v>
      </c>
      <c r="G79" s="24">
        <v>0</v>
      </c>
      <c r="H79" s="24">
        <v>0</v>
      </c>
      <c r="I79" s="24">
        <v>0</v>
      </c>
      <c r="J79" s="29">
        <f>F79+G79+H79+I79</f>
        <v>0</v>
      </c>
      <c r="K79" s="24">
        <v>0</v>
      </c>
      <c r="L79" s="29">
        <f>K79+J79</f>
        <v>0</v>
      </c>
      <c r="M79" s="24">
        <v>0</v>
      </c>
      <c r="N79" s="24">
        <v>0</v>
      </c>
      <c r="O79" s="29">
        <f>M79+N79</f>
        <v>0</v>
      </c>
      <c r="P79" s="30">
        <v>0</v>
      </c>
      <c r="Q79" s="29">
        <f>P79+O79</f>
        <v>0</v>
      </c>
      <c r="R79" s="30">
        <v>0</v>
      </c>
      <c r="S79" s="30">
        <v>0</v>
      </c>
      <c r="T79" s="30">
        <v>0</v>
      </c>
      <c r="U79" s="28">
        <v>0</v>
      </c>
      <c r="V79" s="28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9">
        <f>X79+Y79</f>
        <v>0</v>
      </c>
      <c r="AD79" s="29">
        <f>AA79+AB79</f>
        <v>0</v>
      </c>
      <c r="AE79" s="29">
        <f>W79+AC79</f>
        <v>0</v>
      </c>
      <c r="AF79" s="29">
        <f>Z79+AD79</f>
        <v>0</v>
      </c>
      <c r="AG79" s="29"/>
    </row>
    <row r="80" spans="1:34" x14ac:dyDescent="0.2">
      <c r="C80" s="8">
        <v>2</v>
      </c>
      <c r="D80" s="18" t="s">
        <v>17</v>
      </c>
      <c r="F80" s="24">
        <v>0</v>
      </c>
      <c r="G80" s="24">
        <v>0</v>
      </c>
      <c r="H80" s="24">
        <v>3368.2278000000001</v>
      </c>
      <c r="I80" s="24">
        <v>70.652405000000002</v>
      </c>
      <c r="J80" s="29">
        <f t="shared" ref="J80:J83" si="76">F80+G80+H80+I80</f>
        <v>3438.8802049999999</v>
      </c>
      <c r="K80" s="24">
        <v>195.93187</v>
      </c>
      <c r="L80" s="29">
        <f>K80+J80</f>
        <v>3634.8120749999998</v>
      </c>
      <c r="M80" s="24">
        <v>3231.37</v>
      </c>
      <c r="N80" s="24">
        <v>0</v>
      </c>
      <c r="O80" s="29">
        <f t="shared" ref="O80:O83" si="77">M80+N80</f>
        <v>3231.37</v>
      </c>
      <c r="P80" s="30">
        <v>0</v>
      </c>
      <c r="Q80" s="29">
        <f>P80+O80</f>
        <v>3231.37</v>
      </c>
      <c r="R80" s="30">
        <v>1864.8474000000001</v>
      </c>
      <c r="S80" s="30">
        <v>16.8491</v>
      </c>
      <c r="T80" s="30">
        <v>0</v>
      </c>
      <c r="U80" s="28">
        <v>935.01244999999994</v>
      </c>
      <c r="V80" s="28">
        <v>0</v>
      </c>
      <c r="W80" s="24">
        <v>0</v>
      </c>
      <c r="X80" s="24">
        <v>93.087906000000004</v>
      </c>
      <c r="Y80" s="24">
        <v>195.93208000000001</v>
      </c>
      <c r="Z80" s="24">
        <v>16.8491</v>
      </c>
      <c r="AA80" s="24">
        <v>0</v>
      </c>
      <c r="AB80" s="24">
        <v>0</v>
      </c>
      <c r="AC80" s="29">
        <f>X80+Y80</f>
        <v>289.01998600000002</v>
      </c>
      <c r="AD80" s="29">
        <f>AA80+AB80</f>
        <v>0</v>
      </c>
      <c r="AE80" s="29">
        <f>W80+AC80</f>
        <v>289.01998600000002</v>
      </c>
      <c r="AF80" s="29">
        <f t="shared" ref="AF80:AF83" si="78">Z80+AD80</f>
        <v>16.8491</v>
      </c>
      <c r="AG80" s="29"/>
    </row>
    <row r="81" spans="1:33" x14ac:dyDescent="0.2">
      <c r="C81" s="8">
        <v>3</v>
      </c>
      <c r="D81" s="13" t="s">
        <v>18</v>
      </c>
      <c r="F81" s="24">
        <v>0</v>
      </c>
      <c r="G81" s="24">
        <v>513.84699999999998</v>
      </c>
      <c r="H81" s="24">
        <v>3379.72</v>
      </c>
      <c r="I81" s="24">
        <v>472.30182000000002</v>
      </c>
      <c r="J81" s="29">
        <f t="shared" si="76"/>
        <v>4365.8688199999997</v>
      </c>
      <c r="K81" s="24">
        <v>0</v>
      </c>
      <c r="L81" s="29">
        <f>K81+J81</f>
        <v>4365.8688199999997</v>
      </c>
      <c r="M81" s="30">
        <v>2998.732</v>
      </c>
      <c r="N81" s="24">
        <v>0</v>
      </c>
      <c r="O81" s="29">
        <f t="shared" si="77"/>
        <v>2998.732</v>
      </c>
      <c r="P81" s="30">
        <v>1180.2782</v>
      </c>
      <c r="Q81" s="29">
        <f>P81+O81</f>
        <v>4179.0101999999997</v>
      </c>
      <c r="R81" s="30">
        <v>0</v>
      </c>
      <c r="S81" s="30">
        <v>0</v>
      </c>
      <c r="T81" s="43">
        <v>256.30599999999998</v>
      </c>
      <c r="U81" s="28">
        <v>0</v>
      </c>
      <c r="V81" s="28">
        <v>185.62817000000001</v>
      </c>
      <c r="W81" s="24">
        <v>73.061279999999996</v>
      </c>
      <c r="X81" s="24">
        <v>0</v>
      </c>
      <c r="Y81" s="24">
        <v>0</v>
      </c>
      <c r="Z81" s="24">
        <v>0</v>
      </c>
      <c r="AA81" s="24">
        <v>148.46325999999999</v>
      </c>
      <c r="AB81" s="33">
        <v>256.30603000000002</v>
      </c>
      <c r="AC81" s="29">
        <f>X81+Y81</f>
        <v>0</v>
      </c>
      <c r="AD81" s="29">
        <f>AA81+AB81</f>
        <v>404.76929000000001</v>
      </c>
      <c r="AE81" s="29">
        <f>W81+AC81</f>
        <v>73.061279999999996</v>
      </c>
      <c r="AF81" s="29">
        <f t="shared" si="78"/>
        <v>404.76929000000001</v>
      </c>
      <c r="AG81" s="29"/>
    </row>
    <row r="82" spans="1:33" x14ac:dyDescent="0.2">
      <c r="C82" s="8">
        <v>4</v>
      </c>
      <c r="D82" s="7" t="s">
        <v>19</v>
      </c>
      <c r="F82" s="24">
        <v>0</v>
      </c>
      <c r="G82" s="24">
        <v>579.20196999999996</v>
      </c>
      <c r="H82" s="24">
        <v>4351.47</v>
      </c>
      <c r="I82" s="24">
        <v>77.05538</v>
      </c>
      <c r="J82" s="29">
        <f t="shared" si="76"/>
        <v>5007.7273500000001</v>
      </c>
      <c r="K82" s="24">
        <v>1196.2854</v>
      </c>
      <c r="L82" s="29">
        <f>K82+J82</f>
        <v>6204.0127499999999</v>
      </c>
      <c r="M82" s="24">
        <v>3311.51</v>
      </c>
      <c r="N82" s="24">
        <v>0</v>
      </c>
      <c r="O82" s="29">
        <f t="shared" si="77"/>
        <v>3311.51</v>
      </c>
      <c r="P82" s="30">
        <v>2582.9299999999998</v>
      </c>
      <c r="Q82" s="29">
        <f>P82+O82</f>
        <v>5894.4400000000005</v>
      </c>
      <c r="R82" s="30">
        <v>309.57240000000002</v>
      </c>
      <c r="S82" s="30">
        <v>56.217199999999998</v>
      </c>
      <c r="T82" s="30">
        <v>0</v>
      </c>
      <c r="U82" s="28">
        <v>0</v>
      </c>
      <c r="V82" s="28">
        <v>0</v>
      </c>
      <c r="W82" s="24">
        <v>0</v>
      </c>
      <c r="X82" s="24">
        <v>42.204590000000003</v>
      </c>
      <c r="Y82" s="24">
        <v>0</v>
      </c>
      <c r="Z82" s="24">
        <v>56.217199999999998</v>
      </c>
      <c r="AA82" s="24">
        <v>0</v>
      </c>
      <c r="AB82" s="24">
        <v>0</v>
      </c>
      <c r="AC82" s="29">
        <f>X82+Y82</f>
        <v>42.204590000000003</v>
      </c>
      <c r="AD82" s="29">
        <f>AA82+AB82</f>
        <v>0</v>
      </c>
      <c r="AE82" s="29">
        <f>W82+AC82</f>
        <v>42.204590000000003</v>
      </c>
      <c r="AF82" s="29">
        <f t="shared" si="78"/>
        <v>56.217199999999998</v>
      </c>
      <c r="AG82" s="29"/>
    </row>
    <row r="83" spans="1:33" x14ac:dyDescent="0.2">
      <c r="C83" s="8">
        <v>5</v>
      </c>
      <c r="D83" s="7" t="s">
        <v>20</v>
      </c>
      <c r="F83" s="24">
        <v>0</v>
      </c>
      <c r="G83" s="24">
        <v>95.026979999999995</v>
      </c>
      <c r="H83" s="24">
        <v>620.69000000000005</v>
      </c>
      <c r="I83" s="24">
        <v>0</v>
      </c>
      <c r="J83" s="29">
        <f t="shared" si="76"/>
        <v>715.71698000000004</v>
      </c>
      <c r="K83" s="24">
        <v>2717.39</v>
      </c>
      <c r="L83" s="29">
        <f>K83+J83</f>
        <v>3433.10698</v>
      </c>
      <c r="M83" s="24">
        <v>3122.9</v>
      </c>
      <c r="N83" s="24">
        <v>0</v>
      </c>
      <c r="O83" s="29">
        <f t="shared" si="77"/>
        <v>3122.9</v>
      </c>
      <c r="P83" s="30">
        <v>0</v>
      </c>
      <c r="Q83" s="29">
        <f>P83+O83</f>
        <v>3122.9</v>
      </c>
      <c r="R83" s="30">
        <v>473.95699999999943</v>
      </c>
      <c r="S83" s="30">
        <v>0</v>
      </c>
      <c r="T83" s="30">
        <v>0</v>
      </c>
      <c r="U83" s="28">
        <v>0</v>
      </c>
      <c r="V83" s="28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9">
        <f>X83+Y83</f>
        <v>0</v>
      </c>
      <c r="AD83" s="29">
        <f>AA83+AB83</f>
        <v>0</v>
      </c>
      <c r="AE83" s="29">
        <f>W83+AC83</f>
        <v>0</v>
      </c>
      <c r="AF83" s="29">
        <f t="shared" si="78"/>
        <v>0</v>
      </c>
      <c r="AG83" s="29"/>
    </row>
    <row r="84" spans="1:33" x14ac:dyDescent="0.2">
      <c r="F84" s="25">
        <f t="shared" ref="F84:I84" si="79">SUM(F79:F83)</f>
        <v>0</v>
      </c>
      <c r="G84" s="25">
        <f t="shared" si="79"/>
        <v>1188.0759499999999</v>
      </c>
      <c r="H84" s="25">
        <f t="shared" si="79"/>
        <v>11720.1078</v>
      </c>
      <c r="I84" s="25">
        <f t="shared" si="79"/>
        <v>620.00960500000008</v>
      </c>
      <c r="J84" s="25">
        <f>SUM(J79:J83)</f>
        <v>13528.193354999998</v>
      </c>
      <c r="K84" s="25">
        <f t="shared" ref="K84:L84" si="80">SUM(K79:K83)</f>
        <v>4109.6072700000004</v>
      </c>
      <c r="L84" s="25">
        <f t="shared" si="80"/>
        <v>17637.800625</v>
      </c>
      <c r="M84" s="25">
        <f>SUM(M79:M83)</f>
        <v>12664.512000000001</v>
      </c>
      <c r="N84" s="25">
        <f t="shared" ref="N84:O84" si="81">SUM(N79:N83)</f>
        <v>0</v>
      </c>
      <c r="O84" s="25">
        <f t="shared" si="81"/>
        <v>12664.512000000001</v>
      </c>
      <c r="P84" s="25">
        <f>SUM(P79:P83)</f>
        <v>3763.2082</v>
      </c>
      <c r="Q84" s="25">
        <f t="shared" ref="Q84:AF84" si="82">SUM(Q79:Q83)</f>
        <v>16427.7202</v>
      </c>
      <c r="R84" s="25">
        <f t="shared" si="82"/>
        <v>2648.3767999999995</v>
      </c>
      <c r="S84" s="25">
        <f t="shared" si="82"/>
        <v>73.066299999999998</v>
      </c>
      <c r="T84" s="25">
        <f t="shared" si="82"/>
        <v>256.30599999999998</v>
      </c>
      <c r="U84" s="25">
        <f t="shared" si="82"/>
        <v>935.01244999999994</v>
      </c>
      <c r="V84" s="25">
        <f t="shared" si="82"/>
        <v>185.62817000000001</v>
      </c>
      <c r="W84" s="25">
        <f t="shared" si="82"/>
        <v>73.061279999999996</v>
      </c>
      <c r="X84" s="25">
        <f t="shared" si="82"/>
        <v>135.292496</v>
      </c>
      <c r="Y84" s="25">
        <f t="shared" si="82"/>
        <v>195.93208000000001</v>
      </c>
      <c r="Z84" s="25">
        <f t="shared" si="82"/>
        <v>73.066299999999998</v>
      </c>
      <c r="AA84" s="25">
        <f t="shared" si="82"/>
        <v>148.46325999999999</v>
      </c>
      <c r="AB84" s="25">
        <f t="shared" si="82"/>
        <v>256.30603000000002</v>
      </c>
      <c r="AC84" s="25">
        <f t="shared" si="82"/>
        <v>331.22457600000001</v>
      </c>
      <c r="AD84" s="25">
        <f t="shared" si="82"/>
        <v>404.76929000000001</v>
      </c>
      <c r="AE84" s="25">
        <f t="shared" si="82"/>
        <v>404.28585600000002</v>
      </c>
      <c r="AF84" s="25">
        <f t="shared" si="82"/>
        <v>477.83559000000002</v>
      </c>
      <c r="AG84" s="25"/>
    </row>
    <row r="86" spans="1:33" x14ac:dyDescent="0.2">
      <c r="A86" s="7">
        <v>2</v>
      </c>
      <c r="B86" s="21" t="s">
        <v>73</v>
      </c>
      <c r="C86" s="8">
        <v>1</v>
      </c>
      <c r="D86" s="15" t="s">
        <v>16</v>
      </c>
      <c r="F86" s="24">
        <v>0</v>
      </c>
      <c r="G86" s="24">
        <v>0</v>
      </c>
      <c r="H86" s="24">
        <v>0</v>
      </c>
      <c r="I86" s="24">
        <v>0</v>
      </c>
      <c r="J86" s="29">
        <f>F86+G86+H86+I86</f>
        <v>0</v>
      </c>
      <c r="K86" s="24">
        <v>0</v>
      </c>
      <c r="L86" s="29">
        <f>K86+J86</f>
        <v>0</v>
      </c>
      <c r="M86" s="24">
        <v>0</v>
      </c>
      <c r="N86" s="24">
        <v>0</v>
      </c>
      <c r="O86" s="29">
        <f>M86+N86</f>
        <v>0</v>
      </c>
      <c r="P86" s="30">
        <v>0</v>
      </c>
      <c r="Q86" s="29">
        <f>P86+O86</f>
        <v>0</v>
      </c>
      <c r="R86" s="40">
        <f>MAX(L86-Q86,0)</f>
        <v>0</v>
      </c>
      <c r="S86" s="30">
        <v>0</v>
      </c>
      <c r="T86" s="24">
        <v>0</v>
      </c>
      <c r="U86" s="28">
        <v>0</v>
      </c>
      <c r="V86" s="28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9">
        <f>X86+Y86</f>
        <v>0</v>
      </c>
      <c r="AD86" s="29">
        <f>AA86+AB86</f>
        <v>0</v>
      </c>
      <c r="AE86" s="29">
        <f>W86+AC86</f>
        <v>0</v>
      </c>
      <c r="AF86" s="29">
        <f>Z86+AD86</f>
        <v>0</v>
      </c>
      <c r="AG86" s="29"/>
    </row>
    <row r="87" spans="1:33" x14ac:dyDescent="0.2">
      <c r="C87" s="8">
        <v>2</v>
      </c>
      <c r="D87" s="18" t="s">
        <v>17</v>
      </c>
      <c r="F87" s="34">
        <v>0</v>
      </c>
      <c r="G87" s="34">
        <v>0</v>
      </c>
      <c r="H87" s="34">
        <v>0</v>
      </c>
      <c r="I87" s="34">
        <v>0</v>
      </c>
      <c r="J87" s="29">
        <f t="shared" ref="J87:J90" si="83">F87+G87+H87+I87</f>
        <v>0</v>
      </c>
      <c r="K87" s="34">
        <v>0</v>
      </c>
      <c r="L87" s="29">
        <f>K87+J87</f>
        <v>0</v>
      </c>
      <c r="M87" s="34">
        <v>0</v>
      </c>
      <c r="N87" s="34">
        <v>0</v>
      </c>
      <c r="O87" s="29">
        <f t="shared" ref="O87:O90" si="84">M87+N87</f>
        <v>0</v>
      </c>
      <c r="P87" s="44">
        <v>0</v>
      </c>
      <c r="Q87" s="29">
        <f>P87+O87</f>
        <v>0</v>
      </c>
      <c r="R87" s="40">
        <f t="shared" ref="R87:R90" si="85">MAX(L87-Q87,0)</f>
        <v>0</v>
      </c>
      <c r="S87" s="30">
        <v>16.8491</v>
      </c>
      <c r="T87" s="24">
        <v>0</v>
      </c>
      <c r="U87" s="28">
        <v>935.01244999999994</v>
      </c>
      <c r="V87" s="28">
        <v>0</v>
      </c>
      <c r="W87" s="24">
        <v>0</v>
      </c>
      <c r="X87" s="24">
        <v>93.087906000000004</v>
      </c>
      <c r="Y87" s="24">
        <v>195.93208000000001</v>
      </c>
      <c r="Z87" s="24">
        <v>16.8491</v>
      </c>
      <c r="AA87" s="24">
        <v>0</v>
      </c>
      <c r="AB87" s="24">
        <v>0</v>
      </c>
      <c r="AC87" s="29">
        <f>X87+Y87</f>
        <v>289.01998600000002</v>
      </c>
      <c r="AD87" s="29">
        <f>AA87+AB87</f>
        <v>0</v>
      </c>
      <c r="AE87" s="29">
        <f>W87+AC87</f>
        <v>289.01998600000002</v>
      </c>
      <c r="AF87" s="29">
        <f t="shared" ref="AF87:AF90" si="86">Z87+AD87</f>
        <v>16.8491</v>
      </c>
      <c r="AG87" s="29"/>
    </row>
    <row r="88" spans="1:33" x14ac:dyDescent="0.2">
      <c r="C88" s="8">
        <v>3</v>
      </c>
      <c r="D88" s="13" t="s">
        <v>18</v>
      </c>
      <c r="F88" s="34">
        <v>0</v>
      </c>
      <c r="G88" s="34">
        <v>0</v>
      </c>
      <c r="H88" s="34">
        <v>0</v>
      </c>
      <c r="I88" s="34">
        <v>0</v>
      </c>
      <c r="J88" s="29">
        <f t="shared" si="83"/>
        <v>0</v>
      </c>
      <c r="K88" s="34">
        <v>0</v>
      </c>
      <c r="L88" s="29">
        <f>K88+J88</f>
        <v>0</v>
      </c>
      <c r="M88" s="34">
        <v>0</v>
      </c>
      <c r="N88" s="34">
        <v>0</v>
      </c>
      <c r="O88" s="29">
        <f t="shared" si="84"/>
        <v>0</v>
      </c>
      <c r="P88" s="44">
        <v>0</v>
      </c>
      <c r="Q88" s="29">
        <f>P88+O88</f>
        <v>0</v>
      </c>
      <c r="R88" s="40">
        <f t="shared" si="85"/>
        <v>0</v>
      </c>
      <c r="S88" s="30">
        <v>0</v>
      </c>
      <c r="T88" s="24">
        <v>279.73899999999998</v>
      </c>
      <c r="U88" s="28">
        <v>0</v>
      </c>
      <c r="V88" s="28">
        <v>185.62817000000001</v>
      </c>
      <c r="W88" s="24">
        <v>73.061279999999996</v>
      </c>
      <c r="X88" s="24">
        <v>0</v>
      </c>
      <c r="Y88" s="24">
        <v>0</v>
      </c>
      <c r="Z88" s="24">
        <v>0</v>
      </c>
      <c r="AA88" s="24">
        <v>148.46325999999999</v>
      </c>
      <c r="AB88" s="24">
        <v>256.30603000000002</v>
      </c>
      <c r="AC88" s="29">
        <f>X88+Y88</f>
        <v>0</v>
      </c>
      <c r="AD88" s="29">
        <f>AA88+AB88</f>
        <v>404.76929000000001</v>
      </c>
      <c r="AE88" s="29">
        <f>W88+AC88</f>
        <v>73.061279999999996</v>
      </c>
      <c r="AF88" s="29">
        <f t="shared" si="86"/>
        <v>404.76929000000001</v>
      </c>
      <c r="AG88" s="29"/>
    </row>
    <row r="89" spans="1:33" x14ac:dyDescent="0.2">
      <c r="C89" s="8">
        <v>4</v>
      </c>
      <c r="D89" s="7" t="s">
        <v>19</v>
      </c>
      <c r="F89" s="24">
        <v>0</v>
      </c>
      <c r="G89" s="24">
        <v>579.20196999999996</v>
      </c>
      <c r="H89" s="24">
        <v>4351.47</v>
      </c>
      <c r="I89" s="34">
        <v>1100.8452</v>
      </c>
      <c r="J89" s="29">
        <f t="shared" si="83"/>
        <v>6031.5171700000001</v>
      </c>
      <c r="K89" s="34">
        <v>158.47999999999999</v>
      </c>
      <c r="L89" s="29">
        <f>K89+J89</f>
        <v>6189.9971699999996</v>
      </c>
      <c r="M89" s="24">
        <v>3311.51</v>
      </c>
      <c r="N89" s="24">
        <v>0</v>
      </c>
      <c r="O89" s="29">
        <f t="shared" si="84"/>
        <v>3311.51</v>
      </c>
      <c r="P89" s="30">
        <v>2717.39</v>
      </c>
      <c r="Q89" s="29">
        <f>P89+O89</f>
        <v>6028.9</v>
      </c>
      <c r="R89" s="40">
        <f t="shared" si="85"/>
        <v>161.09717000000001</v>
      </c>
      <c r="S89" s="30">
        <v>56.217199999999998</v>
      </c>
      <c r="T89" s="24">
        <v>0</v>
      </c>
      <c r="U89" s="28">
        <v>0</v>
      </c>
      <c r="V89" s="28">
        <v>0</v>
      </c>
      <c r="W89" s="24">
        <v>0</v>
      </c>
      <c r="X89" s="24">
        <v>42.204590000000003</v>
      </c>
      <c r="Y89" s="24">
        <v>0</v>
      </c>
      <c r="Z89" s="24">
        <v>56.217199999999998</v>
      </c>
      <c r="AA89" s="24">
        <v>0</v>
      </c>
      <c r="AB89" s="24">
        <v>0</v>
      </c>
      <c r="AC89" s="29">
        <f>X89+Y89</f>
        <v>42.204590000000003</v>
      </c>
      <c r="AD89" s="29">
        <f>AA89+AB89</f>
        <v>0</v>
      </c>
      <c r="AE89" s="29">
        <f>W89+AC89</f>
        <v>42.204590000000003</v>
      </c>
      <c r="AF89" s="29">
        <f t="shared" si="86"/>
        <v>56.217199999999998</v>
      </c>
      <c r="AG89" s="29"/>
    </row>
    <row r="90" spans="1:33" x14ac:dyDescent="0.2">
      <c r="C90" s="8">
        <v>5</v>
      </c>
      <c r="D90" s="7" t="s">
        <v>20</v>
      </c>
      <c r="F90" s="24">
        <v>0</v>
      </c>
      <c r="G90" s="24">
        <v>95.026979999999995</v>
      </c>
      <c r="H90" s="24">
        <v>620.69000000000005</v>
      </c>
      <c r="I90" s="24">
        <v>0</v>
      </c>
      <c r="J90" s="29">
        <f t="shared" si="83"/>
        <v>715.71698000000004</v>
      </c>
      <c r="K90" s="24">
        <v>2717.39</v>
      </c>
      <c r="L90" s="29">
        <f>K90+J90</f>
        <v>3433.10698</v>
      </c>
      <c r="M90" s="24">
        <v>3122.9</v>
      </c>
      <c r="N90" s="24">
        <v>0</v>
      </c>
      <c r="O90" s="29">
        <f t="shared" si="84"/>
        <v>3122.9</v>
      </c>
      <c r="P90" s="30">
        <v>158.47999999999999</v>
      </c>
      <c r="Q90" s="29">
        <f>P90+O90</f>
        <v>3281.38</v>
      </c>
      <c r="R90" s="40">
        <f t="shared" si="85"/>
        <v>151.72697999999991</v>
      </c>
      <c r="S90" s="30">
        <v>0</v>
      </c>
      <c r="T90" s="24">
        <v>0</v>
      </c>
      <c r="U90" s="28">
        <v>0</v>
      </c>
      <c r="V90" s="28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9">
        <f>X90+Y90</f>
        <v>0</v>
      </c>
      <c r="AD90" s="29">
        <f>AA90+AB90</f>
        <v>0</v>
      </c>
      <c r="AE90" s="29">
        <f>W90+AC90</f>
        <v>0</v>
      </c>
      <c r="AF90" s="29">
        <f t="shared" si="86"/>
        <v>0</v>
      </c>
      <c r="AG90" s="29"/>
    </row>
    <row r="91" spans="1:33" x14ac:dyDescent="0.2">
      <c r="F91" s="25">
        <f t="shared" ref="F91:I91" si="87">SUM(F86:F90)</f>
        <v>0</v>
      </c>
      <c r="G91" s="25">
        <f t="shared" si="87"/>
        <v>674.22894999999994</v>
      </c>
      <c r="H91" s="25">
        <f t="shared" si="87"/>
        <v>4972.16</v>
      </c>
      <c r="I91" s="25">
        <f t="shared" si="87"/>
        <v>1100.8452</v>
      </c>
      <c r="J91" s="25">
        <f>SUM(J86:J90)</f>
        <v>6747.2341500000002</v>
      </c>
      <c r="K91" s="25">
        <f t="shared" ref="K91:L91" si="88">SUM(K86:K90)</f>
        <v>2875.87</v>
      </c>
      <c r="L91" s="25">
        <f t="shared" si="88"/>
        <v>9623.1041499999992</v>
      </c>
      <c r="M91" s="25">
        <f>SUM(M86:M90)</f>
        <v>6434.41</v>
      </c>
      <c r="N91" s="25">
        <f t="shared" ref="N91:O91" si="89">SUM(N86:N90)</f>
        <v>0</v>
      </c>
      <c r="O91" s="25">
        <f t="shared" si="89"/>
        <v>6434.41</v>
      </c>
      <c r="P91" s="25">
        <f>SUM(P86:P90)</f>
        <v>2875.87</v>
      </c>
      <c r="Q91" s="25">
        <f t="shared" ref="Q91:AF91" si="90">SUM(Q86:Q90)</f>
        <v>9310.2799999999988</v>
      </c>
      <c r="R91" s="25">
        <f t="shared" si="90"/>
        <v>312.82414999999992</v>
      </c>
      <c r="S91" s="25">
        <f t="shared" si="90"/>
        <v>73.066299999999998</v>
      </c>
      <c r="T91" s="25">
        <f t="shared" si="90"/>
        <v>279.73899999999998</v>
      </c>
      <c r="U91" s="25">
        <f t="shared" si="90"/>
        <v>935.01244999999994</v>
      </c>
      <c r="V91" s="25">
        <f t="shared" si="90"/>
        <v>185.62817000000001</v>
      </c>
      <c r="W91" s="25">
        <f t="shared" si="90"/>
        <v>73.061279999999996</v>
      </c>
      <c r="X91" s="25">
        <f t="shared" si="90"/>
        <v>135.292496</v>
      </c>
      <c r="Y91" s="25">
        <f t="shared" si="90"/>
        <v>195.93208000000001</v>
      </c>
      <c r="Z91" s="25">
        <f t="shared" si="90"/>
        <v>73.066299999999998</v>
      </c>
      <c r="AA91" s="25">
        <f t="shared" si="90"/>
        <v>148.46325999999999</v>
      </c>
      <c r="AB91" s="25">
        <f t="shared" si="90"/>
        <v>256.30603000000002</v>
      </c>
      <c r="AC91" s="25">
        <f t="shared" si="90"/>
        <v>331.22457600000001</v>
      </c>
      <c r="AD91" s="25">
        <f t="shared" si="90"/>
        <v>404.76929000000001</v>
      </c>
      <c r="AE91" s="25">
        <f t="shared" si="90"/>
        <v>404.28585600000002</v>
      </c>
      <c r="AF91" s="25">
        <f t="shared" si="90"/>
        <v>477.83559000000002</v>
      </c>
      <c r="AG91" s="25"/>
    </row>
    <row r="92" spans="1:33" x14ac:dyDescent="0.2"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</row>
    <row r="93" spans="1:33" x14ac:dyDescent="0.2">
      <c r="A93" s="7">
        <v>3</v>
      </c>
      <c r="B93" s="21" t="s">
        <v>67</v>
      </c>
      <c r="C93" s="8">
        <v>1</v>
      </c>
      <c r="D93" s="15" t="s">
        <v>16</v>
      </c>
      <c r="F93" s="24">
        <v>0</v>
      </c>
      <c r="G93" s="24">
        <v>0</v>
      </c>
      <c r="H93" s="24">
        <v>0</v>
      </c>
      <c r="I93" s="24">
        <v>0</v>
      </c>
      <c r="J93" s="29">
        <f>F93+G93+H93+I93</f>
        <v>0</v>
      </c>
      <c r="K93" s="24">
        <v>0</v>
      </c>
      <c r="L93" s="29">
        <f>K93+J93</f>
        <v>0</v>
      </c>
      <c r="M93" s="24">
        <v>0</v>
      </c>
      <c r="N93" s="24">
        <v>0</v>
      </c>
      <c r="O93" s="29">
        <f>M93+N93</f>
        <v>0</v>
      </c>
      <c r="P93" s="30">
        <v>0</v>
      </c>
      <c r="Q93" s="29">
        <f>P93+O93</f>
        <v>0</v>
      </c>
      <c r="R93" s="30">
        <v>0</v>
      </c>
      <c r="S93" s="30">
        <v>0</v>
      </c>
      <c r="T93" s="24">
        <v>0</v>
      </c>
      <c r="U93" s="36">
        <v>0</v>
      </c>
      <c r="V93" s="36">
        <v>0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  <c r="AB93" s="36">
        <v>0</v>
      </c>
      <c r="AC93" s="29">
        <f>X93+Y93</f>
        <v>0</v>
      </c>
      <c r="AD93" s="29">
        <f>AA93+AB93</f>
        <v>0</v>
      </c>
      <c r="AE93" s="29">
        <f>W93+AC93</f>
        <v>0</v>
      </c>
      <c r="AF93" s="29">
        <f>Z93+AD93</f>
        <v>0</v>
      </c>
      <c r="AG93" s="29"/>
    </row>
    <row r="94" spans="1:33" x14ac:dyDescent="0.2">
      <c r="C94" s="8">
        <v>2</v>
      </c>
      <c r="D94" s="15" t="s">
        <v>17</v>
      </c>
      <c r="F94" s="24">
        <v>0</v>
      </c>
      <c r="G94" s="24">
        <v>0</v>
      </c>
      <c r="H94" s="24">
        <v>0</v>
      </c>
      <c r="I94" s="24">
        <v>0</v>
      </c>
      <c r="J94" s="29">
        <f t="shared" ref="J94:J97" si="91">F94+G94+H94+I94</f>
        <v>0</v>
      </c>
      <c r="K94" s="24">
        <v>0</v>
      </c>
      <c r="L94" s="29">
        <f>K94+J94</f>
        <v>0</v>
      </c>
      <c r="M94" s="24">
        <v>0</v>
      </c>
      <c r="N94" s="24">
        <v>0</v>
      </c>
      <c r="O94" s="29">
        <f t="shared" ref="O94:O97" si="92">M94+N94</f>
        <v>0</v>
      </c>
      <c r="P94" s="30">
        <v>0</v>
      </c>
      <c r="Q94" s="29">
        <f>P94+O94</f>
        <v>0</v>
      </c>
      <c r="R94" s="30">
        <v>0</v>
      </c>
      <c r="S94" s="30">
        <v>16.8491</v>
      </c>
      <c r="T94" s="24">
        <v>0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0</v>
      </c>
      <c r="AB94" s="36">
        <v>0</v>
      </c>
      <c r="AC94" s="29">
        <f>X94+Y94</f>
        <v>0</v>
      </c>
      <c r="AD94" s="29">
        <f>AA94+AB94</f>
        <v>0</v>
      </c>
      <c r="AE94" s="29">
        <f>W94+AC94</f>
        <v>0</v>
      </c>
      <c r="AF94" s="29">
        <f t="shared" ref="AF94:AF97" si="93">Z94+AD94</f>
        <v>0</v>
      </c>
      <c r="AG94" s="29"/>
    </row>
    <row r="95" spans="1:33" x14ac:dyDescent="0.2">
      <c r="C95" s="8">
        <v>3</v>
      </c>
      <c r="D95" s="15" t="s">
        <v>18</v>
      </c>
      <c r="F95" s="24">
        <v>0</v>
      </c>
      <c r="G95" s="24">
        <v>0</v>
      </c>
      <c r="H95" s="24">
        <v>0</v>
      </c>
      <c r="I95" s="24">
        <v>0</v>
      </c>
      <c r="J95" s="29">
        <f t="shared" si="91"/>
        <v>0</v>
      </c>
      <c r="K95" s="24">
        <v>0</v>
      </c>
      <c r="L95" s="29">
        <f>K95+J95</f>
        <v>0</v>
      </c>
      <c r="M95" s="24">
        <v>0</v>
      </c>
      <c r="N95" s="24">
        <v>0</v>
      </c>
      <c r="O95" s="29">
        <f t="shared" si="92"/>
        <v>0</v>
      </c>
      <c r="P95" s="30">
        <v>0</v>
      </c>
      <c r="Q95" s="29">
        <f>P95+O95</f>
        <v>0</v>
      </c>
      <c r="R95" s="30">
        <v>0</v>
      </c>
      <c r="S95" s="30">
        <v>0</v>
      </c>
      <c r="T95" s="24">
        <v>279.73899999999998</v>
      </c>
      <c r="U95" s="45">
        <v>0</v>
      </c>
      <c r="V95" s="45">
        <v>0</v>
      </c>
      <c r="W95" s="45">
        <v>0</v>
      </c>
      <c r="X95" s="36">
        <v>0</v>
      </c>
      <c r="Y95" s="36">
        <v>0</v>
      </c>
      <c r="Z95" s="36">
        <v>0</v>
      </c>
      <c r="AA95" s="36">
        <v>0</v>
      </c>
      <c r="AB95" s="36">
        <v>0</v>
      </c>
      <c r="AC95" s="29">
        <f>X95+Y95</f>
        <v>0</v>
      </c>
      <c r="AD95" s="29">
        <f>AA95+AB95</f>
        <v>0</v>
      </c>
      <c r="AE95" s="29">
        <f>W95+AC95</f>
        <v>0</v>
      </c>
      <c r="AF95" s="29">
        <f t="shared" si="93"/>
        <v>0</v>
      </c>
      <c r="AG95" s="29"/>
    </row>
    <row r="96" spans="1:33" x14ac:dyDescent="0.2">
      <c r="C96" s="8">
        <v>4</v>
      </c>
      <c r="D96" s="7" t="s">
        <v>19</v>
      </c>
      <c r="F96" s="24">
        <v>0</v>
      </c>
      <c r="G96" s="24">
        <v>579.20196999999996</v>
      </c>
      <c r="H96" s="24">
        <v>4351.47</v>
      </c>
      <c r="I96" s="24">
        <v>1100.8452</v>
      </c>
      <c r="J96" s="29">
        <f t="shared" si="91"/>
        <v>6031.5171700000001</v>
      </c>
      <c r="K96" s="24">
        <v>158.47999999999999</v>
      </c>
      <c r="L96" s="29">
        <f>K96+J96</f>
        <v>6189.9971699999996</v>
      </c>
      <c r="M96" s="24">
        <v>3311.51</v>
      </c>
      <c r="N96" s="24">
        <v>0</v>
      </c>
      <c r="O96" s="29">
        <f t="shared" si="92"/>
        <v>3311.51</v>
      </c>
      <c r="P96" s="30">
        <v>2717.39</v>
      </c>
      <c r="Q96" s="29">
        <f>P96+O96</f>
        <v>6028.9</v>
      </c>
      <c r="R96" s="30">
        <v>161.09717000000001</v>
      </c>
      <c r="S96" s="30">
        <v>56.217199999999998</v>
      </c>
      <c r="T96" s="24">
        <v>0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  <c r="AB96" s="36">
        <v>0</v>
      </c>
      <c r="AC96" s="29">
        <f>X96+Y96</f>
        <v>0</v>
      </c>
      <c r="AD96" s="29">
        <f>AA96+AB96</f>
        <v>0</v>
      </c>
      <c r="AE96" s="29">
        <f>W96+AC96</f>
        <v>0</v>
      </c>
      <c r="AF96" s="29">
        <f t="shared" si="93"/>
        <v>0</v>
      </c>
      <c r="AG96" s="29"/>
    </row>
    <row r="97" spans="1:33" x14ac:dyDescent="0.2">
      <c r="C97" s="8">
        <v>5</v>
      </c>
      <c r="D97" s="7" t="s">
        <v>20</v>
      </c>
      <c r="F97" s="24">
        <v>0</v>
      </c>
      <c r="G97" s="24">
        <v>95.026979999999995</v>
      </c>
      <c r="H97" s="24">
        <v>620.69000000000005</v>
      </c>
      <c r="I97" s="24">
        <v>0</v>
      </c>
      <c r="J97" s="29">
        <f t="shared" si="91"/>
        <v>715.71698000000004</v>
      </c>
      <c r="K97" s="24">
        <v>2717.39</v>
      </c>
      <c r="L97" s="29">
        <f>K97+J97</f>
        <v>3433.10698</v>
      </c>
      <c r="M97" s="24">
        <v>3122.9</v>
      </c>
      <c r="N97" s="24">
        <v>0</v>
      </c>
      <c r="O97" s="29">
        <f t="shared" si="92"/>
        <v>3122.9</v>
      </c>
      <c r="P97" s="30">
        <v>158.47999999999999</v>
      </c>
      <c r="Q97" s="29">
        <f>P97+O97</f>
        <v>3281.38</v>
      </c>
      <c r="R97" s="30">
        <v>151.71706</v>
      </c>
      <c r="S97" s="30">
        <v>0</v>
      </c>
      <c r="T97" s="24">
        <v>0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  <c r="AB97" s="36">
        <v>0</v>
      </c>
      <c r="AC97" s="29">
        <f>X97+Y97</f>
        <v>0</v>
      </c>
      <c r="AD97" s="29">
        <f>AA97+AB97</f>
        <v>0</v>
      </c>
      <c r="AE97" s="29">
        <f>W97+AC97</f>
        <v>0</v>
      </c>
      <c r="AF97" s="29">
        <f t="shared" si="93"/>
        <v>0</v>
      </c>
      <c r="AG97" s="29"/>
    </row>
    <row r="98" spans="1:33" x14ac:dyDescent="0.2">
      <c r="C98" s="8"/>
      <c r="F98" s="25">
        <f t="shared" ref="F98:I98" si="94">SUM(F93:F97)</f>
        <v>0</v>
      </c>
      <c r="G98" s="25">
        <f t="shared" si="94"/>
        <v>674.22894999999994</v>
      </c>
      <c r="H98" s="25">
        <f t="shared" si="94"/>
        <v>4972.16</v>
      </c>
      <c r="I98" s="25">
        <f t="shared" si="94"/>
        <v>1100.8452</v>
      </c>
      <c r="J98" s="25">
        <f>SUM(J93:J97)</f>
        <v>6747.2341500000002</v>
      </c>
      <c r="K98" s="25">
        <f t="shared" ref="K98:L98" si="95">SUM(K93:K97)</f>
        <v>2875.87</v>
      </c>
      <c r="L98" s="25">
        <f t="shared" si="95"/>
        <v>9623.1041499999992</v>
      </c>
      <c r="M98" s="25">
        <f>SUM(M93:M97)</f>
        <v>6434.41</v>
      </c>
      <c r="N98" s="25">
        <f t="shared" ref="N98:O98" si="96">SUM(N93:N97)</f>
        <v>0</v>
      </c>
      <c r="O98" s="25">
        <f t="shared" si="96"/>
        <v>6434.41</v>
      </c>
      <c r="P98" s="25">
        <f>SUM(P93:P97)</f>
        <v>2875.87</v>
      </c>
      <c r="Q98" s="25">
        <f t="shared" ref="Q98:AF98" si="97">SUM(Q93:Q97)</f>
        <v>9310.2799999999988</v>
      </c>
      <c r="R98" s="25">
        <f t="shared" si="97"/>
        <v>312.81423000000001</v>
      </c>
      <c r="S98" s="25">
        <f t="shared" si="97"/>
        <v>73.066299999999998</v>
      </c>
      <c r="T98" s="25">
        <f t="shared" si="97"/>
        <v>279.73899999999998</v>
      </c>
      <c r="U98" s="25">
        <f t="shared" si="97"/>
        <v>0</v>
      </c>
      <c r="V98" s="25">
        <f t="shared" si="97"/>
        <v>0</v>
      </c>
      <c r="W98" s="25">
        <f t="shared" si="97"/>
        <v>0</v>
      </c>
      <c r="X98" s="25">
        <f t="shared" si="97"/>
        <v>0</v>
      </c>
      <c r="Y98" s="25">
        <f t="shared" si="97"/>
        <v>0</v>
      </c>
      <c r="Z98" s="25">
        <f t="shared" si="97"/>
        <v>0</v>
      </c>
      <c r="AA98" s="25">
        <f t="shared" si="97"/>
        <v>0</v>
      </c>
      <c r="AB98" s="25">
        <f t="shared" si="97"/>
        <v>0</v>
      </c>
      <c r="AC98" s="25">
        <f t="shared" si="97"/>
        <v>0</v>
      </c>
      <c r="AD98" s="25">
        <f t="shared" si="97"/>
        <v>0</v>
      </c>
      <c r="AE98" s="25">
        <f t="shared" si="97"/>
        <v>0</v>
      </c>
      <c r="AF98" s="25">
        <f t="shared" si="97"/>
        <v>0</v>
      </c>
      <c r="AG98" s="25"/>
    </row>
    <row r="99" spans="1:33" x14ac:dyDescent="0.2">
      <c r="C99" s="8"/>
    </row>
    <row r="100" spans="1:33" x14ac:dyDescent="0.2">
      <c r="A100" s="7">
        <v>3</v>
      </c>
      <c r="B100" s="21" t="s">
        <v>68</v>
      </c>
      <c r="C100" s="8">
        <v>1</v>
      </c>
      <c r="D100" s="15" t="s">
        <v>16</v>
      </c>
      <c r="F100" s="24">
        <v>0</v>
      </c>
      <c r="G100" s="24">
        <v>0</v>
      </c>
      <c r="H100" s="24">
        <v>0</v>
      </c>
      <c r="I100" s="24">
        <v>0</v>
      </c>
      <c r="J100" s="29">
        <f>F100+G100+H100+I100</f>
        <v>0</v>
      </c>
      <c r="K100" s="24">
        <v>0</v>
      </c>
      <c r="L100" s="29">
        <f>K100+J100</f>
        <v>0</v>
      </c>
      <c r="M100" s="24">
        <v>0</v>
      </c>
      <c r="N100" s="24">
        <v>0</v>
      </c>
      <c r="O100" s="29">
        <f>M100+N100</f>
        <v>0</v>
      </c>
      <c r="P100" s="30">
        <v>0</v>
      </c>
      <c r="Q100" s="29">
        <f>P100+O100</f>
        <v>0</v>
      </c>
      <c r="R100" s="30">
        <v>0</v>
      </c>
      <c r="S100" s="30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29">
        <f>X100+Y100</f>
        <v>0</v>
      </c>
      <c r="AD100" s="29">
        <f>AA100+AB100</f>
        <v>0</v>
      </c>
      <c r="AE100" s="29">
        <f>W100+AC100</f>
        <v>0</v>
      </c>
      <c r="AF100" s="29">
        <f>Z100+AD100</f>
        <v>0</v>
      </c>
      <c r="AG100" s="29"/>
    </row>
    <row r="101" spans="1:33" x14ac:dyDescent="0.2">
      <c r="C101" s="8">
        <v>2</v>
      </c>
      <c r="D101" s="15" t="s">
        <v>17</v>
      </c>
      <c r="F101" s="24">
        <v>0</v>
      </c>
      <c r="G101" s="24">
        <v>0</v>
      </c>
      <c r="H101" s="24">
        <v>0</v>
      </c>
      <c r="I101" s="24">
        <v>0</v>
      </c>
      <c r="J101" s="29">
        <f t="shared" ref="J101:J104" si="98">F101+G101+H101+I101</f>
        <v>0</v>
      </c>
      <c r="K101" s="24">
        <v>0</v>
      </c>
      <c r="L101" s="29">
        <f>K101+J101</f>
        <v>0</v>
      </c>
      <c r="M101" s="24">
        <v>0</v>
      </c>
      <c r="N101" s="24">
        <v>0</v>
      </c>
      <c r="O101" s="29">
        <f t="shared" ref="O101:O104" si="99">M101+N101</f>
        <v>0</v>
      </c>
      <c r="P101" s="30">
        <v>0</v>
      </c>
      <c r="Q101" s="29">
        <f>P101+O101</f>
        <v>0</v>
      </c>
      <c r="R101" s="30">
        <v>0</v>
      </c>
      <c r="S101" s="30">
        <v>16.8491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29">
        <f>X101+Y101</f>
        <v>0</v>
      </c>
      <c r="AD101" s="29">
        <f>AA101+AB101</f>
        <v>0</v>
      </c>
      <c r="AE101" s="29">
        <f>W101+AC101</f>
        <v>0</v>
      </c>
      <c r="AF101" s="29">
        <f t="shared" ref="AF101:AF104" si="100">Z101+AD101</f>
        <v>0</v>
      </c>
      <c r="AG101" s="29"/>
    </row>
    <row r="102" spans="1:33" x14ac:dyDescent="0.2">
      <c r="C102" s="8">
        <v>3</v>
      </c>
      <c r="D102" s="15" t="s">
        <v>18</v>
      </c>
      <c r="F102" s="24">
        <v>0</v>
      </c>
      <c r="G102" s="24">
        <v>0</v>
      </c>
      <c r="H102" s="24">
        <v>0</v>
      </c>
      <c r="I102" s="24">
        <v>0</v>
      </c>
      <c r="J102" s="29">
        <f t="shared" si="98"/>
        <v>0</v>
      </c>
      <c r="K102" s="24">
        <v>0</v>
      </c>
      <c r="L102" s="29">
        <f>K102+J102</f>
        <v>0</v>
      </c>
      <c r="M102" s="24">
        <v>0</v>
      </c>
      <c r="N102" s="24">
        <v>0</v>
      </c>
      <c r="O102" s="29">
        <f t="shared" si="99"/>
        <v>0</v>
      </c>
      <c r="P102" s="30">
        <v>0</v>
      </c>
      <c r="Q102" s="29">
        <f>P102+O102</f>
        <v>0</v>
      </c>
      <c r="R102" s="30">
        <v>0</v>
      </c>
      <c r="S102" s="30">
        <v>0</v>
      </c>
      <c r="T102" s="24">
        <v>279.73899999999998</v>
      </c>
      <c r="U102" s="30">
        <v>0</v>
      </c>
      <c r="V102" s="30">
        <v>0</v>
      </c>
      <c r="W102" s="30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9">
        <f>X102+Y102</f>
        <v>0</v>
      </c>
      <c r="AD102" s="29">
        <f>AA102+AB102</f>
        <v>0</v>
      </c>
      <c r="AE102" s="29">
        <f>W102+AC102</f>
        <v>0</v>
      </c>
      <c r="AF102" s="29">
        <f t="shared" si="100"/>
        <v>0</v>
      </c>
      <c r="AG102" s="29"/>
    </row>
    <row r="103" spans="1:33" x14ac:dyDescent="0.2">
      <c r="C103" s="8">
        <v>4</v>
      </c>
      <c r="D103" s="7" t="s">
        <v>19</v>
      </c>
      <c r="F103" s="24">
        <v>0</v>
      </c>
      <c r="G103" s="24">
        <v>579.20196999999996</v>
      </c>
      <c r="H103" s="24">
        <v>4351.47</v>
      </c>
      <c r="I103" s="24">
        <v>1100.8452</v>
      </c>
      <c r="J103" s="29">
        <f t="shared" si="98"/>
        <v>6031.5171700000001</v>
      </c>
      <c r="K103" s="31">
        <v>102.26626</v>
      </c>
      <c r="L103" s="29">
        <f>K103+J103</f>
        <v>6133.7834300000004</v>
      </c>
      <c r="M103" s="24">
        <v>3311.51</v>
      </c>
      <c r="N103" s="24">
        <v>0</v>
      </c>
      <c r="O103" s="29">
        <f t="shared" si="99"/>
        <v>3311.51</v>
      </c>
      <c r="P103" s="30">
        <v>2717.39</v>
      </c>
      <c r="Q103" s="29">
        <f>P103+O103</f>
        <v>6028.9</v>
      </c>
      <c r="R103" s="42">
        <v>104.87978</v>
      </c>
      <c r="S103" s="30">
        <v>56.217199999999998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9">
        <f>X103+Y103</f>
        <v>0</v>
      </c>
      <c r="AD103" s="29">
        <f>AA103+AB103</f>
        <v>0</v>
      </c>
      <c r="AE103" s="29">
        <f>W103+AC103</f>
        <v>0</v>
      </c>
      <c r="AF103" s="29">
        <f t="shared" si="100"/>
        <v>0</v>
      </c>
      <c r="AG103" s="29"/>
    </row>
    <row r="104" spans="1:33" x14ac:dyDescent="0.2">
      <c r="C104" s="8">
        <v>5</v>
      </c>
      <c r="D104" s="7" t="s">
        <v>20</v>
      </c>
      <c r="F104" s="24">
        <v>0</v>
      </c>
      <c r="G104" s="24">
        <v>95.026979999999995</v>
      </c>
      <c r="H104" s="24">
        <v>620.69000000000005</v>
      </c>
      <c r="I104" s="24">
        <v>0</v>
      </c>
      <c r="J104" s="29">
        <f t="shared" si="98"/>
        <v>715.71698000000004</v>
      </c>
      <c r="K104" s="24">
        <v>2717.39</v>
      </c>
      <c r="L104" s="29">
        <f>K104+J104</f>
        <v>3433.10698</v>
      </c>
      <c r="M104" s="24">
        <v>3122.9</v>
      </c>
      <c r="N104" s="24">
        <v>0</v>
      </c>
      <c r="O104" s="29">
        <f t="shared" si="99"/>
        <v>3122.9</v>
      </c>
      <c r="P104" s="30">
        <v>158.47999999999999</v>
      </c>
      <c r="Q104" s="29">
        <f>P104+O104</f>
        <v>3281.38</v>
      </c>
      <c r="R104" s="30">
        <v>151.71706</v>
      </c>
      <c r="S104" s="30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9">
        <f>X104+Y104</f>
        <v>0</v>
      </c>
      <c r="AD104" s="29">
        <f>AA104+AB104</f>
        <v>0</v>
      </c>
      <c r="AE104" s="29">
        <f>W104+AC104</f>
        <v>0</v>
      </c>
      <c r="AF104" s="29">
        <f t="shared" si="100"/>
        <v>0</v>
      </c>
      <c r="AG104" s="29"/>
    </row>
    <row r="105" spans="1:33" x14ac:dyDescent="0.2">
      <c r="C105" s="8"/>
      <c r="F105" s="25">
        <f t="shared" ref="F105:I105" si="101">SUM(F100:F104)</f>
        <v>0</v>
      </c>
      <c r="G105" s="25">
        <f t="shared" si="101"/>
        <v>674.22894999999994</v>
      </c>
      <c r="H105" s="25">
        <f t="shared" si="101"/>
        <v>4972.16</v>
      </c>
      <c r="I105" s="25">
        <f t="shared" si="101"/>
        <v>1100.8452</v>
      </c>
      <c r="J105" s="25">
        <f>SUM(J100:J104)</f>
        <v>6747.2341500000002</v>
      </c>
      <c r="K105" s="25">
        <f t="shared" ref="K105:L105" si="102">SUM(K100:K104)</f>
        <v>2819.6562599999997</v>
      </c>
      <c r="L105" s="25">
        <f t="shared" si="102"/>
        <v>9566.89041</v>
      </c>
      <c r="M105" s="25">
        <f>SUM(M100:M104)</f>
        <v>6434.41</v>
      </c>
      <c r="N105" s="25">
        <f t="shared" ref="N105:O105" si="103">SUM(N100:N104)</f>
        <v>0</v>
      </c>
      <c r="O105" s="25">
        <f t="shared" si="103"/>
        <v>6434.41</v>
      </c>
      <c r="P105" s="25">
        <f>SUM(P100:P104)</f>
        <v>2875.87</v>
      </c>
      <c r="Q105" s="25">
        <f t="shared" ref="Q105:AF105" si="104">SUM(Q100:Q104)</f>
        <v>9310.2799999999988</v>
      </c>
      <c r="R105" s="25">
        <f t="shared" si="104"/>
        <v>256.59683999999999</v>
      </c>
      <c r="S105" s="25">
        <f t="shared" si="104"/>
        <v>73.066299999999998</v>
      </c>
      <c r="T105" s="25">
        <f t="shared" si="104"/>
        <v>279.73899999999998</v>
      </c>
      <c r="U105" s="25">
        <f t="shared" si="104"/>
        <v>0</v>
      </c>
      <c r="V105" s="25">
        <f t="shared" si="104"/>
        <v>0</v>
      </c>
      <c r="W105" s="25">
        <f t="shared" si="104"/>
        <v>0</v>
      </c>
      <c r="X105" s="25">
        <f t="shared" si="104"/>
        <v>0</v>
      </c>
      <c r="Y105" s="25">
        <f t="shared" si="104"/>
        <v>0</v>
      </c>
      <c r="Z105" s="25">
        <f t="shared" si="104"/>
        <v>0</v>
      </c>
      <c r="AA105" s="25">
        <f t="shared" si="104"/>
        <v>0</v>
      </c>
      <c r="AB105" s="25">
        <f t="shared" si="104"/>
        <v>0</v>
      </c>
      <c r="AC105" s="25">
        <f t="shared" si="104"/>
        <v>0</v>
      </c>
      <c r="AD105" s="25">
        <f t="shared" si="104"/>
        <v>0</v>
      </c>
      <c r="AE105" s="25">
        <f t="shared" si="104"/>
        <v>0</v>
      </c>
      <c r="AF105" s="25">
        <f t="shared" si="104"/>
        <v>0</v>
      </c>
      <c r="AG105" s="25"/>
    </row>
    <row r="107" spans="1:33" x14ac:dyDescent="0.2">
      <c r="A107" s="7">
        <v>3</v>
      </c>
      <c r="B107" s="21" t="s">
        <v>68</v>
      </c>
      <c r="C107" s="8">
        <v>1</v>
      </c>
      <c r="D107" s="15" t="s">
        <v>16</v>
      </c>
      <c r="F107" s="24">
        <v>0</v>
      </c>
      <c r="G107" s="24">
        <v>0</v>
      </c>
      <c r="H107" s="24">
        <v>0</v>
      </c>
      <c r="I107" s="24">
        <v>0</v>
      </c>
      <c r="J107" s="29">
        <f>F107+G107+H107+I107</f>
        <v>0</v>
      </c>
      <c r="K107" s="24">
        <v>0</v>
      </c>
      <c r="L107" s="29">
        <f>K107+J107</f>
        <v>0</v>
      </c>
      <c r="M107" s="24">
        <v>0</v>
      </c>
      <c r="N107" s="24">
        <v>0</v>
      </c>
      <c r="O107" s="29">
        <f>M107+N107</f>
        <v>0</v>
      </c>
      <c r="P107" s="30">
        <v>0</v>
      </c>
      <c r="Q107" s="29">
        <f>P107+O107</f>
        <v>0</v>
      </c>
      <c r="R107" s="30">
        <v>0</v>
      </c>
      <c r="S107" s="30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9">
        <f>X107+Y107</f>
        <v>0</v>
      </c>
      <c r="AD107" s="29">
        <f>AA107+AB107</f>
        <v>0</v>
      </c>
      <c r="AE107" s="29">
        <f>W107+AC107</f>
        <v>0</v>
      </c>
      <c r="AF107" s="29">
        <f>Z107+AD107</f>
        <v>0</v>
      </c>
      <c r="AG107" s="29"/>
    </row>
    <row r="108" spans="1:33" x14ac:dyDescent="0.2">
      <c r="C108" s="8">
        <v>2</v>
      </c>
      <c r="D108" s="15" t="s">
        <v>17</v>
      </c>
      <c r="F108" s="24">
        <v>0</v>
      </c>
      <c r="G108" s="24">
        <v>0</v>
      </c>
      <c r="H108" s="24">
        <v>0</v>
      </c>
      <c r="I108" s="24">
        <v>0</v>
      </c>
      <c r="J108" s="29">
        <f t="shared" ref="J108:J111" si="105">F108+G108+H108+I108</f>
        <v>0</v>
      </c>
      <c r="K108" s="24">
        <v>0</v>
      </c>
      <c r="L108" s="29">
        <f>K108+J108</f>
        <v>0</v>
      </c>
      <c r="M108" s="24">
        <v>0</v>
      </c>
      <c r="N108" s="24">
        <v>0</v>
      </c>
      <c r="O108" s="29">
        <f t="shared" ref="O108:O111" si="106">M108+N108</f>
        <v>0</v>
      </c>
      <c r="P108" s="30">
        <v>0</v>
      </c>
      <c r="Q108" s="29">
        <f>P108+O108</f>
        <v>0</v>
      </c>
      <c r="R108" s="30">
        <v>0</v>
      </c>
      <c r="S108" s="30">
        <v>16.8491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29">
        <f>X108+Y108</f>
        <v>0</v>
      </c>
      <c r="AD108" s="29">
        <f>AA108+AB108</f>
        <v>0</v>
      </c>
      <c r="AE108" s="29">
        <f>W108+AC108</f>
        <v>0</v>
      </c>
      <c r="AF108" s="29">
        <f t="shared" ref="AF108:AF111" si="107">Z108+AD108</f>
        <v>0</v>
      </c>
      <c r="AG108" s="29"/>
    </row>
    <row r="109" spans="1:33" x14ac:dyDescent="0.2">
      <c r="C109" s="8">
        <v>3</v>
      </c>
      <c r="D109" s="15" t="s">
        <v>18</v>
      </c>
      <c r="F109" s="24">
        <v>0</v>
      </c>
      <c r="G109" s="24">
        <v>0</v>
      </c>
      <c r="H109" s="24">
        <v>0</v>
      </c>
      <c r="I109" s="24">
        <v>0</v>
      </c>
      <c r="J109" s="29">
        <f t="shared" si="105"/>
        <v>0</v>
      </c>
      <c r="K109" s="24">
        <v>0</v>
      </c>
      <c r="L109" s="29">
        <f>K109+J109</f>
        <v>0</v>
      </c>
      <c r="M109" s="24">
        <v>0</v>
      </c>
      <c r="N109" s="24">
        <v>0</v>
      </c>
      <c r="O109" s="29">
        <f t="shared" si="106"/>
        <v>0</v>
      </c>
      <c r="P109" s="30">
        <v>0</v>
      </c>
      <c r="Q109" s="29">
        <f>P109+O109</f>
        <v>0</v>
      </c>
      <c r="R109" s="30">
        <v>0</v>
      </c>
      <c r="S109" s="30">
        <v>0</v>
      </c>
      <c r="T109" s="24">
        <v>279.73899999999998</v>
      </c>
      <c r="U109" s="30">
        <v>0</v>
      </c>
      <c r="V109" s="30">
        <v>0</v>
      </c>
      <c r="W109" s="30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9">
        <f>X109+Y109</f>
        <v>0</v>
      </c>
      <c r="AD109" s="29">
        <f>AA109+AB109</f>
        <v>0</v>
      </c>
      <c r="AE109" s="29">
        <f>W109+AC109</f>
        <v>0</v>
      </c>
      <c r="AF109" s="29">
        <f t="shared" si="107"/>
        <v>0</v>
      </c>
      <c r="AG109" s="29"/>
    </row>
    <row r="110" spans="1:33" x14ac:dyDescent="0.2">
      <c r="C110" s="8">
        <v>4</v>
      </c>
      <c r="D110" s="7" t="s">
        <v>19</v>
      </c>
      <c r="F110" s="24">
        <v>0</v>
      </c>
      <c r="G110" s="24">
        <v>579.20196999999996</v>
      </c>
      <c r="H110" s="24">
        <v>4351.47</v>
      </c>
      <c r="I110" s="24">
        <v>1100.8452</v>
      </c>
      <c r="J110" s="29">
        <f t="shared" si="105"/>
        <v>6031.5171700000001</v>
      </c>
      <c r="K110" s="31">
        <v>102.26626</v>
      </c>
      <c r="L110" s="29">
        <f>K110+J110</f>
        <v>6133.7834300000004</v>
      </c>
      <c r="M110" s="24">
        <v>3311.51</v>
      </c>
      <c r="N110" s="24">
        <v>0</v>
      </c>
      <c r="O110" s="29">
        <f t="shared" si="106"/>
        <v>3311.51</v>
      </c>
      <c r="P110" s="30">
        <v>2717.39</v>
      </c>
      <c r="Q110" s="29">
        <f>P110+O110</f>
        <v>6028.9</v>
      </c>
      <c r="R110" s="42">
        <v>104.87978</v>
      </c>
      <c r="S110" s="30">
        <v>56.217199999999998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46">
        <v>56.213737000000002</v>
      </c>
      <c r="Z110" s="24">
        <v>0</v>
      </c>
      <c r="AA110" s="24">
        <v>0</v>
      </c>
      <c r="AB110" s="24">
        <v>0</v>
      </c>
      <c r="AC110" s="29">
        <f>X110+Y110</f>
        <v>56.213737000000002</v>
      </c>
      <c r="AD110" s="29">
        <f>AA110+AB110</f>
        <v>0</v>
      </c>
      <c r="AE110" s="29">
        <f>W110+AC110</f>
        <v>56.213737000000002</v>
      </c>
      <c r="AF110" s="29">
        <f t="shared" si="107"/>
        <v>0</v>
      </c>
      <c r="AG110" s="29"/>
    </row>
    <row r="111" spans="1:33" x14ac:dyDescent="0.2">
      <c r="C111" s="8">
        <v>5</v>
      </c>
      <c r="D111" s="7" t="s">
        <v>20</v>
      </c>
      <c r="F111" s="24">
        <v>0</v>
      </c>
      <c r="G111" s="24">
        <v>95.026979999999995</v>
      </c>
      <c r="H111" s="24">
        <v>620.69000000000005</v>
      </c>
      <c r="I111" s="24">
        <v>0</v>
      </c>
      <c r="J111" s="29">
        <f t="shared" si="105"/>
        <v>715.71698000000004</v>
      </c>
      <c r="K111" s="24">
        <v>2717.39</v>
      </c>
      <c r="L111" s="29">
        <f>K111+J111</f>
        <v>3433.10698</v>
      </c>
      <c r="M111" s="24">
        <v>3122.9</v>
      </c>
      <c r="N111" s="24">
        <v>0</v>
      </c>
      <c r="O111" s="29">
        <f t="shared" si="106"/>
        <v>3122.9</v>
      </c>
      <c r="P111" s="30">
        <v>158.47999999999999</v>
      </c>
      <c r="Q111" s="29">
        <f>P111+O111</f>
        <v>3281.38</v>
      </c>
      <c r="R111" s="30">
        <v>151.71706</v>
      </c>
      <c r="S111" s="30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9">
        <f>X111+Y111</f>
        <v>0</v>
      </c>
      <c r="AD111" s="29">
        <f>AA111+AB111</f>
        <v>0</v>
      </c>
      <c r="AE111" s="29">
        <f>W111+AC111</f>
        <v>0</v>
      </c>
      <c r="AF111" s="29">
        <f t="shared" si="107"/>
        <v>0</v>
      </c>
      <c r="AG111" s="29"/>
    </row>
    <row r="112" spans="1:33" x14ac:dyDescent="0.2">
      <c r="C112" s="8"/>
      <c r="F112" s="25">
        <f t="shared" ref="F112:I112" si="108">SUM(F107:F111)</f>
        <v>0</v>
      </c>
      <c r="G112" s="25">
        <f t="shared" si="108"/>
        <v>674.22894999999994</v>
      </c>
      <c r="H112" s="25">
        <f t="shared" si="108"/>
        <v>4972.16</v>
      </c>
      <c r="I112" s="25">
        <f t="shared" si="108"/>
        <v>1100.8452</v>
      </c>
      <c r="J112" s="25">
        <f>SUM(J107:J111)</f>
        <v>6747.2341500000002</v>
      </c>
      <c r="K112" s="25">
        <f t="shared" ref="K112:L112" si="109">SUM(K107:K111)</f>
        <v>2819.6562599999997</v>
      </c>
      <c r="L112" s="25">
        <f t="shared" si="109"/>
        <v>9566.89041</v>
      </c>
      <c r="M112" s="25">
        <f>SUM(M107:M111)</f>
        <v>6434.41</v>
      </c>
      <c r="N112" s="25">
        <f t="shared" ref="N112:O112" si="110">SUM(N107:N111)</f>
        <v>0</v>
      </c>
      <c r="O112" s="25">
        <f t="shared" si="110"/>
        <v>6434.41</v>
      </c>
      <c r="P112" s="25">
        <f>SUM(P107:P111)</f>
        <v>2875.87</v>
      </c>
      <c r="Q112" s="25">
        <f t="shared" ref="Q112:AF112" si="111">SUM(Q107:Q111)</f>
        <v>9310.2799999999988</v>
      </c>
      <c r="R112" s="25">
        <f t="shared" si="111"/>
        <v>256.59683999999999</v>
      </c>
      <c r="S112" s="25">
        <f t="shared" si="111"/>
        <v>73.066299999999998</v>
      </c>
      <c r="T112" s="25">
        <f t="shared" si="111"/>
        <v>279.73899999999998</v>
      </c>
      <c r="U112" s="25">
        <f t="shared" si="111"/>
        <v>0</v>
      </c>
      <c r="V112" s="25">
        <f t="shared" si="111"/>
        <v>0</v>
      </c>
      <c r="W112" s="25">
        <f t="shared" si="111"/>
        <v>0</v>
      </c>
      <c r="X112" s="25">
        <f t="shared" si="111"/>
        <v>0</v>
      </c>
      <c r="Y112" s="25">
        <f t="shared" si="111"/>
        <v>56.213737000000002</v>
      </c>
      <c r="Z112" s="25">
        <f t="shared" si="111"/>
        <v>0</v>
      </c>
      <c r="AA112" s="25">
        <f t="shared" si="111"/>
        <v>0</v>
      </c>
      <c r="AB112" s="25">
        <f t="shared" si="111"/>
        <v>0</v>
      </c>
      <c r="AC112" s="25">
        <f t="shared" si="111"/>
        <v>56.213737000000002</v>
      </c>
      <c r="AD112" s="25">
        <f t="shared" si="111"/>
        <v>0</v>
      </c>
      <c r="AE112" s="25">
        <f t="shared" si="111"/>
        <v>56.213737000000002</v>
      </c>
      <c r="AF112" s="25">
        <f t="shared" si="111"/>
        <v>0</v>
      </c>
      <c r="AG112" s="25"/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CCF9-471C-BC40-9055-134B46AB0A15}">
  <dimension ref="A1:AS84"/>
  <sheetViews>
    <sheetView zoomScale="135" zoomScaleNormal="100" workbookViewId="0">
      <pane xSplit="3" ySplit="1" topLeftCell="D3" activePane="bottomRight" state="frozen"/>
      <selection pane="topRight" activeCell="C1" sqref="C1"/>
      <selection pane="bottomLeft" activeCell="A2" sqref="A2"/>
      <selection pane="bottomRight" activeCell="H80" sqref="H80"/>
    </sheetView>
  </sheetViews>
  <sheetFormatPr baseColWidth="10" defaultRowHeight="16" x14ac:dyDescent="0.2"/>
  <cols>
    <col min="1" max="1" width="2.85546875" style="6" customWidth="1"/>
    <col min="2" max="2" width="3" style="6" bestFit="1" customWidth="1"/>
    <col min="3" max="3" width="3.28515625" style="21" bestFit="1" customWidth="1"/>
    <col min="4" max="4" width="4.85546875" style="6" bestFit="1" customWidth="1"/>
    <col min="5" max="5" width="5.7109375" style="28" bestFit="1" customWidth="1"/>
    <col min="6" max="8" width="6.5703125" style="28" bestFit="1" customWidth="1"/>
    <col min="9" max="9" width="5.7109375" style="28" bestFit="1" customWidth="1"/>
    <col min="10" max="10" width="6.5703125" style="28" bestFit="1" customWidth="1"/>
    <col min="11" max="11" width="7.5703125" style="26" customWidth="1"/>
    <col min="12" max="12" width="6.5703125" style="28" bestFit="1" customWidth="1"/>
    <col min="13" max="14" width="5.7109375" style="28" bestFit="1" customWidth="1"/>
    <col min="15" max="17" width="6.5703125" style="28" bestFit="1" customWidth="1"/>
    <col min="18" max="18" width="7.5703125" style="26" customWidth="1"/>
    <col min="19" max="19" width="6.5703125" style="28" customWidth="1"/>
    <col min="20" max="20" width="4" style="28" bestFit="1" customWidth="1"/>
    <col min="21" max="21" width="4.85546875" style="28" bestFit="1" customWidth="1"/>
    <col min="22" max="23" width="4" style="28" bestFit="1" customWidth="1"/>
    <col min="24" max="24" width="5.7109375" style="28" bestFit="1" customWidth="1"/>
    <col min="25" max="25" width="7.5703125" style="26" customWidth="1"/>
    <col min="26" max="26" width="7.28515625" style="28" bestFit="1" customWidth="1"/>
    <col min="27" max="27" width="5.7109375" style="28" bestFit="1" customWidth="1"/>
    <col min="28" max="30" width="4" style="28" bestFit="1" customWidth="1"/>
    <col min="31" max="31" width="5.7109375" style="28" bestFit="1" customWidth="1"/>
    <col min="32" max="32" width="7.5703125" style="26" customWidth="1"/>
    <col min="33" max="33" width="6.7109375" style="28" customWidth="1"/>
    <col min="34" max="34" width="5.7109375" style="28" bestFit="1" customWidth="1"/>
    <col min="35" max="37" width="4" style="28" bestFit="1" customWidth="1"/>
    <col min="38" max="38" width="6.5703125" style="28" bestFit="1" customWidth="1"/>
    <col min="39" max="39" width="7.5703125" style="26" customWidth="1"/>
    <col min="40" max="40" width="6.5703125" style="28" bestFit="1" customWidth="1"/>
    <col min="41" max="41" width="5.7109375" style="28" bestFit="1" customWidth="1"/>
    <col min="42" max="44" width="4" style="28" bestFit="1" customWidth="1"/>
    <col min="45" max="45" width="6.5703125" style="28" bestFit="1" customWidth="1"/>
    <col min="46" max="16384" width="10.7109375" style="7"/>
  </cols>
  <sheetData>
    <row r="1" spans="1:45" s="16" customFormat="1" ht="51" x14ac:dyDescent="0.2">
      <c r="A1" s="17" t="s">
        <v>14</v>
      </c>
      <c r="B1" s="17" t="s">
        <v>42</v>
      </c>
      <c r="C1" s="48" t="s">
        <v>29</v>
      </c>
      <c r="D1" s="17"/>
      <c r="E1" s="22" t="s">
        <v>6</v>
      </c>
      <c r="F1" s="23"/>
      <c r="G1" s="23"/>
      <c r="H1" s="23"/>
      <c r="I1" s="23"/>
      <c r="J1" s="23"/>
      <c r="K1" s="22"/>
      <c r="L1" s="22" t="s">
        <v>1</v>
      </c>
      <c r="M1" s="23"/>
      <c r="N1" s="23"/>
      <c r="O1" s="23"/>
      <c r="P1" s="23"/>
      <c r="Q1" s="23"/>
      <c r="R1" s="22"/>
      <c r="S1" s="22" t="s">
        <v>33</v>
      </c>
      <c r="T1" s="23"/>
      <c r="U1" s="23"/>
      <c r="V1" s="23"/>
      <c r="W1" s="23"/>
      <c r="X1" s="23"/>
      <c r="Y1" s="22"/>
      <c r="Z1" s="23" t="s">
        <v>36</v>
      </c>
      <c r="AA1" s="23"/>
      <c r="AB1" s="23"/>
      <c r="AC1" s="23"/>
      <c r="AD1" s="23"/>
      <c r="AE1" s="23"/>
      <c r="AF1" s="22"/>
      <c r="AG1" s="23" t="s">
        <v>35</v>
      </c>
      <c r="AH1" s="23"/>
      <c r="AI1" s="23"/>
      <c r="AJ1" s="23"/>
      <c r="AK1" s="23"/>
      <c r="AL1" s="23"/>
      <c r="AM1" s="22"/>
      <c r="AN1" s="23" t="s">
        <v>37</v>
      </c>
      <c r="AO1" s="23"/>
      <c r="AP1" s="23"/>
      <c r="AQ1" s="23"/>
      <c r="AR1" s="23"/>
      <c r="AS1" s="23"/>
    </row>
    <row r="2" spans="1:45" x14ac:dyDescent="0.2">
      <c r="B2" s="6">
        <v>1</v>
      </c>
      <c r="C2" s="21">
        <v>0</v>
      </c>
      <c r="E2" s="24">
        <v>0</v>
      </c>
      <c r="F2" s="24">
        <v>1728.55</v>
      </c>
      <c r="G2" s="24">
        <v>0</v>
      </c>
      <c r="H2" s="24">
        <v>134.46</v>
      </c>
      <c r="I2" s="24">
        <v>322.23</v>
      </c>
      <c r="J2" s="25">
        <f>SUM(E2:I2)</f>
        <v>2185.2399999999998</v>
      </c>
      <c r="L2" s="24">
        <v>0</v>
      </c>
      <c r="M2" s="24">
        <v>109.35</v>
      </c>
      <c r="N2" s="27">
        <v>730.99</v>
      </c>
      <c r="O2" s="24">
        <v>119.26</v>
      </c>
      <c r="P2" s="24">
        <v>0</v>
      </c>
      <c r="Q2" s="25">
        <f>SUM(L2:P2)</f>
        <v>959.6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5">
        <f>SUM(S2:W2)</f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5">
        <f>SUM(Z2:AD2)</f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5">
        <f>SUM(AG2:AK2)</f>
        <v>0</v>
      </c>
      <c r="AN2" s="29">
        <f t="shared" ref="AN2:AR6" si="0">AG2+Z2</f>
        <v>0</v>
      </c>
      <c r="AO2" s="29">
        <f t="shared" si="0"/>
        <v>0</v>
      </c>
      <c r="AP2" s="29">
        <f t="shared" si="0"/>
        <v>0</v>
      </c>
      <c r="AQ2" s="29">
        <f t="shared" si="0"/>
        <v>0</v>
      </c>
      <c r="AR2" s="29">
        <f t="shared" si="0"/>
        <v>0</v>
      </c>
      <c r="AS2" s="25">
        <f>SUM(AN2:AR2)</f>
        <v>0</v>
      </c>
    </row>
    <row r="3" spans="1:45" x14ac:dyDescent="0.2">
      <c r="E3" s="24">
        <v>109.35</v>
      </c>
      <c r="F3" s="24">
        <v>0</v>
      </c>
      <c r="G3" s="24">
        <v>289.02</v>
      </c>
      <c r="H3" s="24">
        <v>0</v>
      </c>
      <c r="I3" s="24">
        <v>0</v>
      </c>
      <c r="J3" s="25">
        <f>SUM(E3:I3)</f>
        <v>398.37</v>
      </c>
      <c r="L3" s="24">
        <v>1728.55</v>
      </c>
      <c r="M3" s="24">
        <v>0</v>
      </c>
      <c r="N3" s="24">
        <v>0</v>
      </c>
      <c r="O3" s="24">
        <v>115.69</v>
      </c>
      <c r="P3" s="24">
        <v>0</v>
      </c>
      <c r="Q3" s="25">
        <f t="shared" ref="Q3:Q6" si="1">SUM(L3:P3)</f>
        <v>1844.24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5">
        <f t="shared" ref="X3:X6" si="2">SUM(S3:W3)</f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5">
        <f>SUM(Z3:AD3)</f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5">
        <f t="shared" ref="AL3:AL6" si="3">SUM(AG3:AK3)</f>
        <v>0</v>
      </c>
      <c r="AN3" s="29">
        <f t="shared" si="0"/>
        <v>0</v>
      </c>
      <c r="AO3" s="29">
        <f t="shared" si="0"/>
        <v>0</v>
      </c>
      <c r="AP3" s="29">
        <f t="shared" si="0"/>
        <v>0</v>
      </c>
      <c r="AQ3" s="29">
        <f t="shared" si="0"/>
        <v>0</v>
      </c>
      <c r="AR3" s="29">
        <f t="shared" si="0"/>
        <v>0</v>
      </c>
      <c r="AS3" s="25">
        <f t="shared" ref="AS3:AS6" si="4">SUM(AN3:AR3)</f>
        <v>0</v>
      </c>
    </row>
    <row r="4" spans="1:45" x14ac:dyDescent="0.2">
      <c r="E4" s="27">
        <v>730.99</v>
      </c>
      <c r="F4" s="24">
        <v>0</v>
      </c>
      <c r="G4" s="24">
        <v>0</v>
      </c>
      <c r="H4" s="24">
        <v>0</v>
      </c>
      <c r="I4" s="24">
        <v>0</v>
      </c>
      <c r="J4" s="25">
        <f>SUM(E4:I4)</f>
        <v>730.99</v>
      </c>
      <c r="L4" s="24">
        <v>0</v>
      </c>
      <c r="M4" s="24">
        <v>289.02</v>
      </c>
      <c r="N4" s="24">
        <v>0</v>
      </c>
      <c r="O4" s="24">
        <v>964.32</v>
      </c>
      <c r="P4" s="24">
        <v>0</v>
      </c>
      <c r="Q4" s="25">
        <f t="shared" si="1"/>
        <v>1253.3400000000001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5">
        <f t="shared" si="2"/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5">
        <f>SUM(Z4:AD4)</f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5">
        <f t="shared" si="3"/>
        <v>0</v>
      </c>
      <c r="AN4" s="29">
        <f t="shared" si="0"/>
        <v>0</v>
      </c>
      <c r="AO4" s="29">
        <f t="shared" si="0"/>
        <v>0</v>
      </c>
      <c r="AP4" s="29">
        <f t="shared" si="0"/>
        <v>0</v>
      </c>
      <c r="AQ4" s="29">
        <f t="shared" si="0"/>
        <v>0</v>
      </c>
      <c r="AR4" s="29">
        <f t="shared" si="0"/>
        <v>0</v>
      </c>
      <c r="AS4" s="25">
        <f t="shared" si="4"/>
        <v>0</v>
      </c>
    </row>
    <row r="5" spans="1:45" x14ac:dyDescent="0.2">
      <c r="E5" s="24">
        <v>119.26</v>
      </c>
      <c r="F5" s="24">
        <v>115.69</v>
      </c>
      <c r="G5" s="24">
        <v>964.32</v>
      </c>
      <c r="H5" s="24">
        <v>0</v>
      </c>
      <c r="I5" s="24">
        <v>158.47999999999999</v>
      </c>
      <c r="J5" s="25">
        <f>SUM(E5:I5)</f>
        <v>1357.75</v>
      </c>
      <c r="L5" s="24">
        <v>134.46</v>
      </c>
      <c r="M5" s="24">
        <v>0</v>
      </c>
      <c r="N5" s="24">
        <v>0</v>
      </c>
      <c r="O5" s="24">
        <v>0</v>
      </c>
      <c r="P5" s="24">
        <v>2717.39</v>
      </c>
      <c r="Q5" s="25">
        <f t="shared" si="1"/>
        <v>2851.85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5">
        <f t="shared" si="2"/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5">
        <f>SUM(Z5:AD5)</f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5">
        <f t="shared" si="3"/>
        <v>0</v>
      </c>
      <c r="AN5" s="29">
        <f t="shared" si="0"/>
        <v>0</v>
      </c>
      <c r="AO5" s="29">
        <f t="shared" si="0"/>
        <v>0</v>
      </c>
      <c r="AP5" s="29">
        <f t="shared" si="0"/>
        <v>0</v>
      </c>
      <c r="AQ5" s="29">
        <f t="shared" si="0"/>
        <v>0</v>
      </c>
      <c r="AR5" s="29">
        <f t="shared" si="0"/>
        <v>0</v>
      </c>
      <c r="AS5" s="25">
        <f t="shared" si="4"/>
        <v>0</v>
      </c>
    </row>
    <row r="6" spans="1:45" x14ac:dyDescent="0.2">
      <c r="E6" s="24">
        <v>0</v>
      </c>
      <c r="F6" s="24">
        <v>0</v>
      </c>
      <c r="G6" s="24">
        <v>0</v>
      </c>
      <c r="H6" s="24">
        <v>2717.39</v>
      </c>
      <c r="I6" s="24">
        <v>0</v>
      </c>
      <c r="J6" s="25">
        <f>SUM(E6:I6)</f>
        <v>2717.39</v>
      </c>
      <c r="L6" s="24">
        <v>322.23</v>
      </c>
      <c r="M6" s="24">
        <v>0</v>
      </c>
      <c r="N6" s="24">
        <v>0</v>
      </c>
      <c r="O6" s="24">
        <v>158.47999999999999</v>
      </c>
      <c r="P6" s="24">
        <v>0</v>
      </c>
      <c r="Q6" s="25">
        <f t="shared" si="1"/>
        <v>480.71000000000004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5">
        <f t="shared" si="2"/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5">
        <f>SUM(Z6:AD6)</f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5">
        <f t="shared" si="3"/>
        <v>0</v>
      </c>
      <c r="AN6" s="29">
        <f t="shared" si="0"/>
        <v>0</v>
      </c>
      <c r="AO6" s="29">
        <f t="shared" si="0"/>
        <v>0</v>
      </c>
      <c r="AP6" s="29">
        <f t="shared" si="0"/>
        <v>0</v>
      </c>
      <c r="AQ6" s="29">
        <f t="shared" si="0"/>
        <v>0</v>
      </c>
      <c r="AR6" s="29">
        <f t="shared" si="0"/>
        <v>0</v>
      </c>
      <c r="AS6" s="25">
        <f t="shared" si="4"/>
        <v>0</v>
      </c>
    </row>
    <row r="7" spans="1:45" s="9" customFormat="1" x14ac:dyDescent="0.2">
      <c r="A7" s="12"/>
      <c r="B7" s="12"/>
      <c r="C7" s="49"/>
      <c r="D7" s="12"/>
      <c r="E7" s="25">
        <f t="shared" ref="E7:J7" si="5">SUM(E2:E6)</f>
        <v>959.6</v>
      </c>
      <c r="F7" s="25">
        <f t="shared" si="5"/>
        <v>1844.24</v>
      </c>
      <c r="G7" s="25">
        <f t="shared" si="5"/>
        <v>1253.3400000000001</v>
      </c>
      <c r="H7" s="25">
        <f t="shared" si="5"/>
        <v>2851.85</v>
      </c>
      <c r="I7" s="25">
        <f t="shared" si="5"/>
        <v>480.71000000000004</v>
      </c>
      <c r="J7" s="25">
        <f t="shared" si="5"/>
        <v>7389.74</v>
      </c>
      <c r="K7" s="30"/>
      <c r="L7" s="25">
        <f t="shared" ref="L7:Q7" si="6">SUM(L2:L6)</f>
        <v>2185.2399999999998</v>
      </c>
      <c r="M7" s="25">
        <f t="shared" si="6"/>
        <v>398.37</v>
      </c>
      <c r="N7" s="25">
        <f t="shared" si="6"/>
        <v>730.99</v>
      </c>
      <c r="O7" s="25">
        <f t="shared" si="6"/>
        <v>1357.75</v>
      </c>
      <c r="P7" s="25">
        <f t="shared" si="6"/>
        <v>2717.39</v>
      </c>
      <c r="Q7" s="25">
        <f t="shared" si="6"/>
        <v>7389.7400000000007</v>
      </c>
      <c r="R7" s="30"/>
      <c r="S7" s="25">
        <f t="shared" ref="S7:X7" si="7">SUM(S2:S6)</f>
        <v>0</v>
      </c>
      <c r="T7" s="25">
        <f t="shared" si="7"/>
        <v>0</v>
      </c>
      <c r="U7" s="25">
        <f t="shared" si="7"/>
        <v>0</v>
      </c>
      <c r="V7" s="25">
        <f t="shared" si="7"/>
        <v>0</v>
      </c>
      <c r="W7" s="25">
        <f t="shared" si="7"/>
        <v>0</v>
      </c>
      <c r="X7" s="25">
        <f t="shared" si="7"/>
        <v>0</v>
      </c>
      <c r="Y7" s="30"/>
      <c r="Z7" s="25">
        <f t="shared" ref="Z7:AE7" si="8">SUM(Z2:Z6)</f>
        <v>0</v>
      </c>
      <c r="AA7" s="25">
        <f t="shared" si="8"/>
        <v>0</v>
      </c>
      <c r="AB7" s="25">
        <f t="shared" si="8"/>
        <v>0</v>
      </c>
      <c r="AC7" s="25">
        <f t="shared" si="8"/>
        <v>0</v>
      </c>
      <c r="AD7" s="25">
        <f t="shared" si="8"/>
        <v>0</v>
      </c>
      <c r="AE7" s="25">
        <f t="shared" si="8"/>
        <v>0</v>
      </c>
      <c r="AF7" s="30"/>
      <c r="AG7" s="25">
        <f t="shared" ref="AG7:AL7" si="9">SUM(AG2:AG6)</f>
        <v>0</v>
      </c>
      <c r="AH7" s="25">
        <f t="shared" si="9"/>
        <v>0</v>
      </c>
      <c r="AI7" s="25">
        <f t="shared" si="9"/>
        <v>0</v>
      </c>
      <c r="AJ7" s="25">
        <f t="shared" si="9"/>
        <v>0</v>
      </c>
      <c r="AK7" s="25">
        <f t="shared" si="9"/>
        <v>0</v>
      </c>
      <c r="AL7" s="25">
        <f t="shared" si="9"/>
        <v>0</v>
      </c>
      <c r="AM7" s="30"/>
      <c r="AN7" s="25">
        <f>SUM(AN2:AN6)</f>
        <v>0</v>
      </c>
      <c r="AO7" s="25">
        <f t="shared" ref="AO7:AS7" si="10">SUM(AO2:AO6)</f>
        <v>0</v>
      </c>
      <c r="AP7" s="25">
        <f t="shared" si="10"/>
        <v>0</v>
      </c>
      <c r="AQ7" s="25">
        <f t="shared" si="10"/>
        <v>0</v>
      </c>
      <c r="AR7" s="25">
        <f t="shared" si="10"/>
        <v>0</v>
      </c>
      <c r="AS7" s="25">
        <f t="shared" si="10"/>
        <v>0</v>
      </c>
    </row>
    <row r="8" spans="1:45" s="12" customFormat="1" x14ac:dyDescent="0.2">
      <c r="C8" s="49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</row>
    <row r="9" spans="1:45" x14ac:dyDescent="0.2">
      <c r="B9" s="6">
        <v>1</v>
      </c>
      <c r="C9" s="21" t="s">
        <v>64</v>
      </c>
      <c r="E9" s="24">
        <v>0</v>
      </c>
      <c r="F9" s="24">
        <v>1728.55</v>
      </c>
      <c r="G9" s="24">
        <v>0</v>
      </c>
      <c r="H9" s="24">
        <v>134.46</v>
      </c>
      <c r="I9" s="24">
        <v>322.23</v>
      </c>
      <c r="J9" s="25">
        <f>SUM(E9:I9)</f>
        <v>2185.2399999999998</v>
      </c>
      <c r="L9" s="24">
        <v>0</v>
      </c>
      <c r="M9" s="31">
        <v>70.652000000000001</v>
      </c>
      <c r="N9" s="32">
        <v>472.30200000000002</v>
      </c>
      <c r="O9" s="31">
        <v>77.055000000000007</v>
      </c>
      <c r="P9" s="24">
        <v>0</v>
      </c>
      <c r="Q9" s="25">
        <f>SUM(L9:P9)</f>
        <v>620.00900000000001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5">
        <f>SUM(S9:W9)</f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5">
        <f>SUM(Z9:AD9)</f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5">
        <f>SUM(AG9:AK9)</f>
        <v>0</v>
      </c>
      <c r="AN9" s="29">
        <f t="shared" ref="AN9:AR13" si="11">AG9+Z9</f>
        <v>0</v>
      </c>
      <c r="AO9" s="29">
        <f t="shared" si="11"/>
        <v>0</v>
      </c>
      <c r="AP9" s="29">
        <f t="shared" si="11"/>
        <v>0</v>
      </c>
      <c r="AQ9" s="29">
        <f t="shared" si="11"/>
        <v>0</v>
      </c>
      <c r="AR9" s="29">
        <f t="shared" si="11"/>
        <v>0</v>
      </c>
      <c r="AS9" s="25">
        <f>SUM(AN9:AR9)</f>
        <v>0</v>
      </c>
    </row>
    <row r="10" spans="1:45" x14ac:dyDescent="0.2">
      <c r="E10" s="31">
        <v>70.652000000000001</v>
      </c>
      <c r="F10" s="24">
        <v>0</v>
      </c>
      <c r="G10" s="24">
        <v>289.02</v>
      </c>
      <c r="H10" s="24">
        <v>0</v>
      </c>
      <c r="I10" s="24">
        <v>0</v>
      </c>
      <c r="J10" s="25">
        <f>SUM(E10:I10)</f>
        <v>359.67199999999997</v>
      </c>
      <c r="L10" s="24">
        <v>1728.55</v>
      </c>
      <c r="M10" s="24">
        <v>0</v>
      </c>
      <c r="N10" s="24">
        <v>0</v>
      </c>
      <c r="O10" s="24">
        <v>115.69</v>
      </c>
      <c r="P10" s="24">
        <v>0</v>
      </c>
      <c r="Q10" s="25">
        <f t="shared" ref="Q10:Q13" si="12">SUM(L10:P10)</f>
        <v>1844.24</v>
      </c>
      <c r="S10" s="31">
        <v>38.698</v>
      </c>
      <c r="T10" s="28">
        <v>0</v>
      </c>
      <c r="U10" s="28">
        <v>0</v>
      </c>
      <c r="V10" s="28">
        <v>0</v>
      </c>
      <c r="W10" s="28">
        <v>0</v>
      </c>
      <c r="X10" s="25">
        <f t="shared" ref="X10:X13" si="13">SUM(S10:W10)</f>
        <v>38.698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5">
        <f>SUM(Z10:AD10)</f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5">
        <f t="shared" ref="AL10:AL13" si="14">SUM(AG10:AK10)</f>
        <v>0</v>
      </c>
      <c r="AN10" s="29">
        <f t="shared" si="11"/>
        <v>0</v>
      </c>
      <c r="AO10" s="29">
        <f t="shared" si="11"/>
        <v>0</v>
      </c>
      <c r="AP10" s="29">
        <f t="shared" si="11"/>
        <v>0</v>
      </c>
      <c r="AQ10" s="29">
        <f t="shared" si="11"/>
        <v>0</v>
      </c>
      <c r="AR10" s="29">
        <f t="shared" si="11"/>
        <v>0</v>
      </c>
      <c r="AS10" s="25">
        <f t="shared" ref="AS10:AS13" si="15">SUM(AN10:AR10)</f>
        <v>0</v>
      </c>
    </row>
    <row r="11" spans="1:45" x14ac:dyDescent="0.2">
      <c r="E11" s="32">
        <v>472.30200000000002</v>
      </c>
      <c r="F11" s="24">
        <v>0</v>
      </c>
      <c r="G11" s="24">
        <v>0</v>
      </c>
      <c r="H11" s="24">
        <v>0</v>
      </c>
      <c r="I11" s="24">
        <v>0</v>
      </c>
      <c r="J11" s="25">
        <f>SUM(E11:I11)</f>
        <v>472.30200000000002</v>
      </c>
      <c r="L11" s="24">
        <v>0</v>
      </c>
      <c r="M11" s="24">
        <v>289.02</v>
      </c>
      <c r="N11" s="24">
        <v>0</v>
      </c>
      <c r="O11" s="24">
        <v>964.32</v>
      </c>
      <c r="P11" s="24">
        <v>0</v>
      </c>
      <c r="Q11" s="25">
        <f t="shared" si="12"/>
        <v>1253.3400000000001</v>
      </c>
      <c r="S11" s="31">
        <v>258.68799999999999</v>
      </c>
      <c r="T11" s="28">
        <v>0</v>
      </c>
      <c r="U11" s="28">
        <v>0</v>
      </c>
      <c r="V11" s="28">
        <v>0</v>
      </c>
      <c r="W11" s="28">
        <v>0</v>
      </c>
      <c r="X11" s="25">
        <f t="shared" si="13"/>
        <v>258.68799999999999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5">
        <f>SUM(Z11:AD11)</f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5">
        <f t="shared" si="14"/>
        <v>0</v>
      </c>
      <c r="AN11" s="29">
        <f t="shared" si="11"/>
        <v>0</v>
      </c>
      <c r="AO11" s="29">
        <f t="shared" si="11"/>
        <v>0</v>
      </c>
      <c r="AP11" s="29">
        <f t="shared" si="11"/>
        <v>0</v>
      </c>
      <c r="AQ11" s="29">
        <f t="shared" si="11"/>
        <v>0</v>
      </c>
      <c r="AR11" s="29">
        <f t="shared" si="11"/>
        <v>0</v>
      </c>
      <c r="AS11" s="25">
        <f t="shared" si="15"/>
        <v>0</v>
      </c>
    </row>
    <row r="12" spans="1:45" x14ac:dyDescent="0.2">
      <c r="E12" s="31">
        <v>77.055000000000007</v>
      </c>
      <c r="F12" s="24">
        <v>115.69</v>
      </c>
      <c r="G12" s="24">
        <v>964.32</v>
      </c>
      <c r="H12" s="24">
        <v>0</v>
      </c>
      <c r="I12" s="24">
        <v>158.47999999999999</v>
      </c>
      <c r="J12" s="25">
        <f>SUM(E12:I12)</f>
        <v>1315.5450000000001</v>
      </c>
      <c r="L12" s="24">
        <v>134.46</v>
      </c>
      <c r="M12" s="24">
        <v>0</v>
      </c>
      <c r="N12" s="24">
        <v>0</v>
      </c>
      <c r="O12" s="24">
        <v>0</v>
      </c>
      <c r="P12" s="24">
        <v>2717.39</v>
      </c>
      <c r="Q12" s="25">
        <f t="shared" si="12"/>
        <v>2851.85</v>
      </c>
      <c r="S12" s="31">
        <v>42.204999999999998</v>
      </c>
      <c r="T12" s="28">
        <v>0</v>
      </c>
      <c r="U12" s="28">
        <v>0</v>
      </c>
      <c r="V12" s="28">
        <v>0</v>
      </c>
      <c r="W12" s="28">
        <v>0</v>
      </c>
      <c r="X12" s="25">
        <f t="shared" si="13"/>
        <v>42.204999999999998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5">
        <f>SUM(Z12:AD12)</f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5">
        <f t="shared" si="14"/>
        <v>0</v>
      </c>
      <c r="AN12" s="29">
        <f t="shared" si="11"/>
        <v>0</v>
      </c>
      <c r="AO12" s="29">
        <f t="shared" si="11"/>
        <v>0</v>
      </c>
      <c r="AP12" s="29">
        <f t="shared" si="11"/>
        <v>0</v>
      </c>
      <c r="AQ12" s="29">
        <f t="shared" si="11"/>
        <v>0</v>
      </c>
      <c r="AR12" s="29">
        <f t="shared" si="11"/>
        <v>0</v>
      </c>
      <c r="AS12" s="25">
        <f t="shared" si="15"/>
        <v>0</v>
      </c>
    </row>
    <row r="13" spans="1:45" x14ac:dyDescent="0.2">
      <c r="E13" s="24">
        <v>0</v>
      </c>
      <c r="F13" s="24">
        <v>0</v>
      </c>
      <c r="G13" s="24">
        <v>0</v>
      </c>
      <c r="H13" s="24">
        <v>2717.39</v>
      </c>
      <c r="I13" s="24">
        <v>0</v>
      </c>
      <c r="J13" s="25">
        <f>SUM(E13:I13)</f>
        <v>2717.39</v>
      </c>
      <c r="L13" s="24">
        <v>322.23</v>
      </c>
      <c r="M13" s="24">
        <v>0</v>
      </c>
      <c r="N13" s="24">
        <v>0</v>
      </c>
      <c r="O13" s="24">
        <v>158.47999999999999</v>
      </c>
      <c r="P13" s="24">
        <v>0</v>
      </c>
      <c r="Q13" s="25">
        <f t="shared" si="12"/>
        <v>480.71000000000004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5">
        <f t="shared" si="13"/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5">
        <f>SUM(Z13:AD13)</f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5">
        <f t="shared" si="14"/>
        <v>0</v>
      </c>
      <c r="AN13" s="29">
        <f t="shared" si="11"/>
        <v>0</v>
      </c>
      <c r="AO13" s="29">
        <f t="shared" si="11"/>
        <v>0</v>
      </c>
      <c r="AP13" s="29">
        <f t="shared" si="11"/>
        <v>0</v>
      </c>
      <c r="AQ13" s="29">
        <f t="shared" si="11"/>
        <v>0</v>
      </c>
      <c r="AR13" s="29">
        <f t="shared" si="11"/>
        <v>0</v>
      </c>
      <c r="AS13" s="25">
        <f t="shared" si="15"/>
        <v>0</v>
      </c>
    </row>
    <row r="14" spans="1:45" s="9" customFormat="1" x14ac:dyDescent="0.2">
      <c r="A14" s="12"/>
      <c r="B14" s="12"/>
      <c r="C14" s="49"/>
      <c r="D14" s="12"/>
      <c r="E14" s="25">
        <f t="shared" ref="E14:J14" si="16">SUM(E9:E13)</f>
        <v>620.00900000000001</v>
      </c>
      <c r="F14" s="25">
        <f t="shared" si="16"/>
        <v>1844.24</v>
      </c>
      <c r="G14" s="25">
        <f t="shared" si="16"/>
        <v>1253.3400000000001</v>
      </c>
      <c r="H14" s="25">
        <f t="shared" si="16"/>
        <v>2851.85</v>
      </c>
      <c r="I14" s="25">
        <f t="shared" si="16"/>
        <v>480.71000000000004</v>
      </c>
      <c r="J14" s="25">
        <f t="shared" si="16"/>
        <v>7050.1489999999994</v>
      </c>
      <c r="K14" s="30"/>
      <c r="L14" s="25">
        <f t="shared" ref="L14:Q14" si="17">SUM(L9:L13)</f>
        <v>2185.2399999999998</v>
      </c>
      <c r="M14" s="25">
        <f t="shared" si="17"/>
        <v>359.67199999999997</v>
      </c>
      <c r="N14" s="25">
        <f t="shared" si="17"/>
        <v>472.30200000000002</v>
      </c>
      <c r="O14" s="25">
        <f t="shared" si="17"/>
        <v>1315.5450000000001</v>
      </c>
      <c r="P14" s="25">
        <f t="shared" si="17"/>
        <v>2717.39</v>
      </c>
      <c r="Q14" s="25">
        <f t="shared" si="17"/>
        <v>7050.1490000000003</v>
      </c>
      <c r="R14" s="30"/>
      <c r="S14" s="25">
        <f t="shared" ref="S14:X14" si="18">SUM(S9:S13)</f>
        <v>339.59099999999995</v>
      </c>
      <c r="T14" s="25">
        <f t="shared" si="18"/>
        <v>0</v>
      </c>
      <c r="U14" s="25">
        <f t="shared" si="18"/>
        <v>0</v>
      </c>
      <c r="V14" s="25">
        <f t="shared" si="18"/>
        <v>0</v>
      </c>
      <c r="W14" s="25">
        <f t="shared" si="18"/>
        <v>0</v>
      </c>
      <c r="X14" s="25">
        <f t="shared" si="18"/>
        <v>339.59099999999995</v>
      </c>
      <c r="Y14" s="30"/>
      <c r="Z14" s="25">
        <f t="shared" ref="Z14:AE14" si="19">SUM(Z9:Z13)</f>
        <v>0</v>
      </c>
      <c r="AA14" s="25">
        <f t="shared" si="19"/>
        <v>0</v>
      </c>
      <c r="AB14" s="25">
        <f t="shared" si="19"/>
        <v>0</v>
      </c>
      <c r="AC14" s="25">
        <f t="shared" si="19"/>
        <v>0</v>
      </c>
      <c r="AD14" s="25">
        <f t="shared" si="19"/>
        <v>0</v>
      </c>
      <c r="AE14" s="25">
        <f t="shared" si="19"/>
        <v>0</v>
      </c>
      <c r="AF14" s="30"/>
      <c r="AG14" s="25">
        <f t="shared" ref="AG14:AL14" si="20">SUM(AG9:AG13)</f>
        <v>0</v>
      </c>
      <c r="AH14" s="25">
        <f t="shared" si="20"/>
        <v>0</v>
      </c>
      <c r="AI14" s="25">
        <f t="shared" si="20"/>
        <v>0</v>
      </c>
      <c r="AJ14" s="25">
        <f t="shared" si="20"/>
        <v>0</v>
      </c>
      <c r="AK14" s="25">
        <f t="shared" si="20"/>
        <v>0</v>
      </c>
      <c r="AL14" s="25">
        <f t="shared" si="20"/>
        <v>0</v>
      </c>
      <c r="AM14" s="30"/>
      <c r="AN14" s="25">
        <f>SUM(AN9:AN13)</f>
        <v>0</v>
      </c>
      <c r="AO14" s="25">
        <f t="shared" ref="AO14:AS14" si="21">SUM(AO9:AO13)</f>
        <v>0</v>
      </c>
      <c r="AP14" s="25">
        <f t="shared" si="21"/>
        <v>0</v>
      </c>
      <c r="AQ14" s="25">
        <f t="shared" si="21"/>
        <v>0</v>
      </c>
      <c r="AR14" s="25">
        <f t="shared" si="21"/>
        <v>0</v>
      </c>
      <c r="AS14" s="25">
        <f t="shared" si="21"/>
        <v>0</v>
      </c>
    </row>
    <row r="15" spans="1:45" s="12" customFormat="1" x14ac:dyDescent="0.2">
      <c r="C15" s="49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</row>
    <row r="16" spans="1:45" x14ac:dyDescent="0.2">
      <c r="B16" s="6">
        <v>1</v>
      </c>
      <c r="C16" s="21" t="s">
        <v>66</v>
      </c>
      <c r="E16" s="24">
        <v>0</v>
      </c>
      <c r="F16" s="24">
        <v>1728.55</v>
      </c>
      <c r="G16" s="24">
        <v>0</v>
      </c>
      <c r="H16" s="24">
        <v>134.46</v>
      </c>
      <c r="I16" s="24">
        <v>322.23</v>
      </c>
      <c r="J16" s="25">
        <f>SUM(E16:I16)</f>
        <v>2185.2399999999998</v>
      </c>
      <c r="K16" s="30"/>
      <c r="L16" s="24">
        <v>0</v>
      </c>
      <c r="M16" s="24">
        <v>70.652000000000001</v>
      </c>
      <c r="N16" s="27">
        <v>472.30200000000002</v>
      </c>
      <c r="O16" s="24">
        <v>77.055000000000007</v>
      </c>
      <c r="P16" s="24">
        <v>0</v>
      </c>
      <c r="Q16" s="25">
        <f>SUM(L16:P16)</f>
        <v>620.00900000000001</v>
      </c>
      <c r="R16" s="30"/>
      <c r="S16" s="24">
        <v>0</v>
      </c>
      <c r="T16" s="28">
        <v>0</v>
      </c>
      <c r="U16" s="28">
        <v>0</v>
      </c>
      <c r="V16" s="28">
        <v>0</v>
      </c>
      <c r="W16" s="28">
        <v>0</v>
      </c>
      <c r="X16" s="25">
        <f>SUM(S16:W16)</f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5">
        <f>SUM(Z16:AD16)</f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5">
        <f>SUM(AG16:AK16)</f>
        <v>0</v>
      </c>
      <c r="AN16" s="29">
        <f t="shared" ref="AN16:AR20" si="22">AG16+Z16</f>
        <v>0</v>
      </c>
      <c r="AO16" s="29">
        <f t="shared" si="22"/>
        <v>0</v>
      </c>
      <c r="AP16" s="29">
        <f t="shared" si="22"/>
        <v>0</v>
      </c>
      <c r="AQ16" s="29">
        <f t="shared" si="22"/>
        <v>0</v>
      </c>
      <c r="AR16" s="29">
        <f t="shared" si="22"/>
        <v>0</v>
      </c>
      <c r="AS16" s="25">
        <f>SUM(AN16:AR16)</f>
        <v>0</v>
      </c>
    </row>
    <row r="17" spans="1:45" x14ac:dyDescent="0.2">
      <c r="E17" s="24">
        <v>70.652000000000001</v>
      </c>
      <c r="F17" s="24">
        <v>0</v>
      </c>
      <c r="G17" s="24">
        <v>289.02</v>
      </c>
      <c r="H17" s="24">
        <v>0</v>
      </c>
      <c r="I17" s="24">
        <v>0</v>
      </c>
      <c r="J17" s="25">
        <f>SUM(E17:I17)</f>
        <v>359.67199999999997</v>
      </c>
      <c r="K17" s="30"/>
      <c r="L17" s="24">
        <v>1728.55</v>
      </c>
      <c r="M17" s="24">
        <v>0</v>
      </c>
      <c r="N17" s="24">
        <v>0</v>
      </c>
      <c r="O17" s="24">
        <v>115.69</v>
      </c>
      <c r="P17" s="24">
        <v>0</v>
      </c>
      <c r="Q17" s="25">
        <f t="shared" ref="Q17:Q20" si="23">SUM(L17:P17)</f>
        <v>1844.24</v>
      </c>
      <c r="R17" s="30"/>
      <c r="S17" s="24">
        <v>38.698</v>
      </c>
      <c r="T17" s="28">
        <v>0</v>
      </c>
      <c r="U17" s="28">
        <v>0</v>
      </c>
      <c r="V17" s="28">
        <v>0</v>
      </c>
      <c r="W17" s="28">
        <v>0</v>
      </c>
      <c r="X17" s="25">
        <f t="shared" ref="X17:X20" si="24">SUM(S17:W17)</f>
        <v>38.698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5">
        <f>SUM(Z17:AD17)</f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5">
        <f t="shared" ref="AL17:AL20" si="25">SUM(AG17:AK17)</f>
        <v>0</v>
      </c>
      <c r="AN17" s="29">
        <f t="shared" si="22"/>
        <v>0</v>
      </c>
      <c r="AO17" s="29">
        <f t="shared" si="22"/>
        <v>0</v>
      </c>
      <c r="AP17" s="29">
        <f t="shared" si="22"/>
        <v>0</v>
      </c>
      <c r="AQ17" s="29">
        <f t="shared" si="22"/>
        <v>0</v>
      </c>
      <c r="AR17" s="29">
        <f t="shared" si="22"/>
        <v>0</v>
      </c>
      <c r="AS17" s="25">
        <f t="shared" ref="AS17:AS20" si="26">SUM(AN17:AR17)</f>
        <v>0</v>
      </c>
    </row>
    <row r="18" spans="1:45" x14ac:dyDescent="0.2">
      <c r="E18" s="27">
        <v>472.30200000000002</v>
      </c>
      <c r="F18" s="24">
        <v>0</v>
      </c>
      <c r="G18" s="24">
        <v>0</v>
      </c>
      <c r="H18" s="24">
        <v>0</v>
      </c>
      <c r="I18" s="24">
        <v>0</v>
      </c>
      <c r="J18" s="25">
        <f>SUM(E18:I18)</f>
        <v>472.30200000000002</v>
      </c>
      <c r="K18" s="30"/>
      <c r="L18" s="24">
        <v>0</v>
      </c>
      <c r="M18" s="24">
        <v>289.02</v>
      </c>
      <c r="N18" s="24">
        <v>0</v>
      </c>
      <c r="O18" s="24">
        <v>964.32</v>
      </c>
      <c r="P18" s="24">
        <v>0</v>
      </c>
      <c r="Q18" s="25">
        <f t="shared" si="23"/>
        <v>1253.3400000000001</v>
      </c>
      <c r="R18" s="30"/>
      <c r="S18" s="24">
        <v>258.68799999999999</v>
      </c>
      <c r="T18" s="28">
        <v>0</v>
      </c>
      <c r="U18" s="28">
        <v>0</v>
      </c>
      <c r="V18" s="28">
        <v>0</v>
      </c>
      <c r="W18" s="28">
        <v>0</v>
      </c>
      <c r="X18" s="25">
        <f t="shared" si="24"/>
        <v>258.68799999999999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5">
        <f>SUM(Z18:AD18)</f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5">
        <f t="shared" si="25"/>
        <v>0</v>
      </c>
      <c r="AN18" s="29">
        <f t="shared" si="22"/>
        <v>0</v>
      </c>
      <c r="AO18" s="29">
        <f t="shared" si="22"/>
        <v>0</v>
      </c>
      <c r="AP18" s="29">
        <f t="shared" si="22"/>
        <v>0</v>
      </c>
      <c r="AQ18" s="29">
        <f t="shared" si="22"/>
        <v>0</v>
      </c>
      <c r="AR18" s="29">
        <f t="shared" si="22"/>
        <v>0</v>
      </c>
      <c r="AS18" s="25">
        <f t="shared" si="26"/>
        <v>0</v>
      </c>
    </row>
    <row r="19" spans="1:45" x14ac:dyDescent="0.2">
      <c r="E19" s="24">
        <v>77.055000000000007</v>
      </c>
      <c r="F19" s="24">
        <v>115.69</v>
      </c>
      <c r="G19" s="24">
        <v>964.32</v>
      </c>
      <c r="H19" s="24">
        <v>0</v>
      </c>
      <c r="I19" s="24">
        <v>158.47999999999999</v>
      </c>
      <c r="J19" s="25">
        <f>SUM(E19:I19)</f>
        <v>1315.5450000000001</v>
      </c>
      <c r="K19" s="30"/>
      <c r="L19" s="24">
        <v>134.46</v>
      </c>
      <c r="M19" s="24">
        <v>0</v>
      </c>
      <c r="N19" s="24">
        <v>0</v>
      </c>
      <c r="O19" s="24">
        <v>0</v>
      </c>
      <c r="P19" s="24">
        <v>2717.39</v>
      </c>
      <c r="Q19" s="25">
        <f t="shared" si="23"/>
        <v>2851.85</v>
      </c>
      <c r="R19" s="30"/>
      <c r="S19" s="24">
        <v>42.204999999999998</v>
      </c>
      <c r="T19" s="28">
        <v>0</v>
      </c>
      <c r="U19" s="28">
        <v>0</v>
      </c>
      <c r="V19" s="28">
        <v>0</v>
      </c>
      <c r="W19" s="28">
        <v>0</v>
      </c>
      <c r="X19" s="25">
        <f t="shared" si="24"/>
        <v>42.204999999999998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5">
        <f>SUM(Z19:AD19)</f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5">
        <f t="shared" si="25"/>
        <v>0</v>
      </c>
      <c r="AN19" s="29">
        <f t="shared" si="22"/>
        <v>0</v>
      </c>
      <c r="AO19" s="29">
        <f t="shared" si="22"/>
        <v>0</v>
      </c>
      <c r="AP19" s="29">
        <f t="shared" si="22"/>
        <v>0</v>
      </c>
      <c r="AQ19" s="29">
        <f t="shared" si="22"/>
        <v>0</v>
      </c>
      <c r="AR19" s="29">
        <f t="shared" si="22"/>
        <v>0</v>
      </c>
      <c r="AS19" s="25">
        <f t="shared" si="26"/>
        <v>0</v>
      </c>
    </row>
    <row r="20" spans="1:45" x14ac:dyDescent="0.2">
      <c r="E20" s="24">
        <v>0</v>
      </c>
      <c r="F20" s="24">
        <v>0</v>
      </c>
      <c r="G20" s="24">
        <v>0</v>
      </c>
      <c r="H20" s="24">
        <v>2717.39</v>
      </c>
      <c r="I20" s="24">
        <v>0</v>
      </c>
      <c r="J20" s="25">
        <f>SUM(E20:I20)</f>
        <v>2717.39</v>
      </c>
      <c r="K20" s="30"/>
      <c r="L20" s="24">
        <v>322.23</v>
      </c>
      <c r="M20" s="24">
        <v>0</v>
      </c>
      <c r="N20" s="24">
        <v>0</v>
      </c>
      <c r="O20" s="24">
        <v>158.47999999999999</v>
      </c>
      <c r="P20" s="24">
        <v>0</v>
      </c>
      <c r="Q20" s="25">
        <f t="shared" si="23"/>
        <v>480.71000000000004</v>
      </c>
      <c r="R20" s="30"/>
      <c r="S20" s="24">
        <v>0</v>
      </c>
      <c r="T20" s="28">
        <v>0</v>
      </c>
      <c r="U20" s="28">
        <v>0</v>
      </c>
      <c r="V20" s="28">
        <v>0</v>
      </c>
      <c r="W20" s="28">
        <v>0</v>
      </c>
      <c r="X20" s="25">
        <f t="shared" si="24"/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5">
        <f>SUM(Z20:AD20)</f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5">
        <f t="shared" si="25"/>
        <v>0</v>
      </c>
      <c r="AN20" s="29">
        <f t="shared" si="22"/>
        <v>0</v>
      </c>
      <c r="AO20" s="29">
        <f t="shared" si="22"/>
        <v>0</v>
      </c>
      <c r="AP20" s="29">
        <f t="shared" si="22"/>
        <v>0</v>
      </c>
      <c r="AQ20" s="29">
        <f t="shared" si="22"/>
        <v>0</v>
      </c>
      <c r="AR20" s="29">
        <f t="shared" si="22"/>
        <v>0</v>
      </c>
      <c r="AS20" s="25">
        <f t="shared" si="26"/>
        <v>0</v>
      </c>
    </row>
    <row r="21" spans="1:45" s="9" customFormat="1" x14ac:dyDescent="0.2">
      <c r="A21" s="12"/>
      <c r="B21" s="12"/>
      <c r="C21" s="49"/>
      <c r="D21" s="12"/>
      <c r="E21" s="25">
        <f t="shared" ref="E21:J21" si="27">SUM(E16:E20)</f>
        <v>620.00900000000001</v>
      </c>
      <c r="F21" s="25">
        <f t="shared" si="27"/>
        <v>1844.24</v>
      </c>
      <c r="G21" s="25">
        <f t="shared" si="27"/>
        <v>1253.3400000000001</v>
      </c>
      <c r="H21" s="25">
        <f t="shared" si="27"/>
        <v>2851.85</v>
      </c>
      <c r="I21" s="25">
        <f t="shared" si="27"/>
        <v>480.71000000000004</v>
      </c>
      <c r="J21" s="25">
        <f t="shared" si="27"/>
        <v>7050.1489999999994</v>
      </c>
      <c r="K21" s="30"/>
      <c r="L21" s="25">
        <f t="shared" ref="L21:Q21" si="28">SUM(L16:L20)</f>
        <v>2185.2399999999998</v>
      </c>
      <c r="M21" s="25">
        <f t="shared" si="28"/>
        <v>359.67199999999997</v>
      </c>
      <c r="N21" s="25">
        <f t="shared" si="28"/>
        <v>472.30200000000002</v>
      </c>
      <c r="O21" s="25">
        <f t="shared" si="28"/>
        <v>1315.5450000000001</v>
      </c>
      <c r="P21" s="25">
        <f t="shared" si="28"/>
        <v>2717.39</v>
      </c>
      <c r="Q21" s="25">
        <f t="shared" si="28"/>
        <v>7050.1490000000003</v>
      </c>
      <c r="R21" s="30"/>
      <c r="S21" s="25">
        <f t="shared" ref="S21:X21" si="29">SUM(S16:S20)</f>
        <v>339.59099999999995</v>
      </c>
      <c r="T21" s="25">
        <f t="shared" si="29"/>
        <v>0</v>
      </c>
      <c r="U21" s="25">
        <f t="shared" si="29"/>
        <v>0</v>
      </c>
      <c r="V21" s="25">
        <f t="shared" si="29"/>
        <v>0</v>
      </c>
      <c r="W21" s="25">
        <f t="shared" si="29"/>
        <v>0</v>
      </c>
      <c r="X21" s="25">
        <f t="shared" si="29"/>
        <v>339.59099999999995</v>
      </c>
      <c r="Y21" s="30"/>
      <c r="Z21" s="25">
        <f t="shared" ref="Z21:AE21" si="30">SUM(Z16:Z20)</f>
        <v>0</v>
      </c>
      <c r="AA21" s="25">
        <f t="shared" si="30"/>
        <v>0</v>
      </c>
      <c r="AB21" s="25">
        <f t="shared" si="30"/>
        <v>0</v>
      </c>
      <c r="AC21" s="25">
        <f t="shared" si="30"/>
        <v>0</v>
      </c>
      <c r="AD21" s="25">
        <f t="shared" si="30"/>
        <v>0</v>
      </c>
      <c r="AE21" s="25">
        <f t="shared" si="30"/>
        <v>0</v>
      </c>
      <c r="AF21" s="30"/>
      <c r="AG21" s="25">
        <f t="shared" ref="AG21:AL21" si="31">SUM(AG16:AG20)</f>
        <v>0</v>
      </c>
      <c r="AH21" s="25">
        <f t="shared" si="31"/>
        <v>0</v>
      </c>
      <c r="AI21" s="25">
        <f t="shared" si="31"/>
        <v>0</v>
      </c>
      <c r="AJ21" s="25">
        <f t="shared" si="31"/>
        <v>0</v>
      </c>
      <c r="AK21" s="25">
        <f t="shared" si="31"/>
        <v>0</v>
      </c>
      <c r="AL21" s="25">
        <f t="shared" si="31"/>
        <v>0</v>
      </c>
      <c r="AM21" s="30"/>
      <c r="AN21" s="25">
        <f>SUM(AN16:AN20)</f>
        <v>0</v>
      </c>
      <c r="AO21" s="25">
        <f t="shared" ref="AO21:AS21" si="32">SUM(AO16:AO20)</f>
        <v>0</v>
      </c>
      <c r="AP21" s="25">
        <f t="shared" si="32"/>
        <v>0</v>
      </c>
      <c r="AQ21" s="25">
        <f t="shared" si="32"/>
        <v>0</v>
      </c>
      <c r="AR21" s="25">
        <f t="shared" si="32"/>
        <v>0</v>
      </c>
      <c r="AS21" s="25">
        <f t="shared" si="32"/>
        <v>0</v>
      </c>
    </row>
    <row r="22" spans="1:45" s="12" customFormat="1" x14ac:dyDescent="0.2">
      <c r="C22" s="4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</row>
    <row r="23" spans="1:45" x14ac:dyDescent="0.2">
      <c r="B23" s="6">
        <v>1</v>
      </c>
      <c r="C23" s="21" t="s">
        <v>70</v>
      </c>
      <c r="E23" s="24">
        <v>0</v>
      </c>
      <c r="F23" s="33">
        <v>0</v>
      </c>
      <c r="G23" s="24">
        <v>0</v>
      </c>
      <c r="H23" s="33">
        <v>0</v>
      </c>
      <c r="I23" s="33">
        <v>0</v>
      </c>
      <c r="J23" s="25">
        <f>SUM(E23:I23)</f>
        <v>0</v>
      </c>
      <c r="L23" s="24">
        <v>0</v>
      </c>
      <c r="M23" s="24">
        <v>70.652000000000001</v>
      </c>
      <c r="N23" s="27">
        <v>472.30200000000002</v>
      </c>
      <c r="O23" s="24">
        <v>77.055000000000007</v>
      </c>
      <c r="P23" s="24">
        <v>0</v>
      </c>
      <c r="Q23" s="25">
        <f>SUM(L23:P23)</f>
        <v>620.00900000000001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5">
        <f>SUM(S23:W23)</f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5">
        <f>SUM(Z23:AD23)</f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5">
        <f>SUM(AG23:AK23)</f>
        <v>0</v>
      </c>
      <c r="AN23" s="29">
        <f t="shared" ref="AN23:AR27" si="33">AG23+Z23</f>
        <v>0</v>
      </c>
      <c r="AO23" s="29">
        <f t="shared" si="33"/>
        <v>0</v>
      </c>
      <c r="AP23" s="29">
        <f t="shared" si="33"/>
        <v>0</v>
      </c>
      <c r="AQ23" s="29">
        <f t="shared" si="33"/>
        <v>0</v>
      </c>
      <c r="AR23" s="29">
        <f t="shared" si="33"/>
        <v>0</v>
      </c>
      <c r="AS23" s="25">
        <f>SUM(AN23:AR23)</f>
        <v>0</v>
      </c>
    </row>
    <row r="24" spans="1:45" x14ac:dyDescent="0.2">
      <c r="E24" s="24">
        <v>70.652000000000001</v>
      </c>
      <c r="F24" s="24">
        <v>0</v>
      </c>
      <c r="G24" s="24">
        <v>289.02</v>
      </c>
      <c r="H24" s="24">
        <v>0</v>
      </c>
      <c r="I24" s="24">
        <v>0</v>
      </c>
      <c r="J24" s="25">
        <f>SUM(E24:I24)</f>
        <v>359.67199999999997</v>
      </c>
      <c r="L24" s="33">
        <v>0</v>
      </c>
      <c r="M24" s="24">
        <v>0</v>
      </c>
      <c r="N24" s="24">
        <v>0</v>
      </c>
      <c r="O24" s="24">
        <v>115.69</v>
      </c>
      <c r="P24" s="24">
        <v>0</v>
      </c>
      <c r="Q24" s="25">
        <f t="shared" ref="Q24:Q27" si="34">SUM(L24:P24)</f>
        <v>115.69</v>
      </c>
      <c r="S24" s="24">
        <v>38.698</v>
      </c>
      <c r="T24" s="28">
        <v>0</v>
      </c>
      <c r="U24" s="28">
        <v>0</v>
      </c>
      <c r="V24" s="28">
        <v>0</v>
      </c>
      <c r="W24" s="28">
        <v>0</v>
      </c>
      <c r="X24" s="25">
        <f t="shared" ref="X24:X27" si="35">SUM(S24:W24)</f>
        <v>38.698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5">
        <f>SUM(Z24:AD24)</f>
        <v>0</v>
      </c>
      <c r="AG24" s="33">
        <v>1728.55</v>
      </c>
      <c r="AH24" s="28">
        <v>0</v>
      </c>
      <c r="AI24" s="28">
        <v>0</v>
      </c>
      <c r="AJ24" s="28">
        <v>0</v>
      </c>
      <c r="AK24" s="28">
        <v>0</v>
      </c>
      <c r="AL24" s="25">
        <f t="shared" ref="AL24:AL27" si="36">SUM(AG24:AK24)</f>
        <v>1728.55</v>
      </c>
      <c r="AN24" s="29">
        <f t="shared" si="33"/>
        <v>1728.55</v>
      </c>
      <c r="AO24" s="29">
        <f t="shared" si="33"/>
        <v>0</v>
      </c>
      <c r="AP24" s="29">
        <f t="shared" si="33"/>
        <v>0</v>
      </c>
      <c r="AQ24" s="29">
        <f t="shared" si="33"/>
        <v>0</v>
      </c>
      <c r="AR24" s="29">
        <f t="shared" si="33"/>
        <v>0</v>
      </c>
      <c r="AS24" s="25">
        <f t="shared" ref="AS24:AS27" si="37">SUM(AN24:AR24)</f>
        <v>1728.55</v>
      </c>
    </row>
    <row r="25" spans="1:45" x14ac:dyDescent="0.2">
      <c r="E25" s="27">
        <v>472.30200000000002</v>
      </c>
      <c r="F25" s="24">
        <v>0</v>
      </c>
      <c r="G25" s="24">
        <v>0</v>
      </c>
      <c r="H25" s="24">
        <v>0</v>
      </c>
      <c r="I25" s="24">
        <v>0</v>
      </c>
      <c r="J25" s="25">
        <f>SUM(E25:I25)</f>
        <v>472.30200000000002</v>
      </c>
      <c r="L25" s="24">
        <v>0</v>
      </c>
      <c r="M25" s="24">
        <v>289.02</v>
      </c>
      <c r="N25" s="24">
        <v>0</v>
      </c>
      <c r="O25" s="24">
        <v>964.32</v>
      </c>
      <c r="P25" s="24">
        <v>0</v>
      </c>
      <c r="Q25" s="25">
        <f t="shared" si="34"/>
        <v>1253.3400000000001</v>
      </c>
      <c r="S25" s="24">
        <v>258.68799999999999</v>
      </c>
      <c r="T25" s="28">
        <v>0</v>
      </c>
      <c r="U25" s="28">
        <v>0</v>
      </c>
      <c r="V25" s="28">
        <v>0</v>
      </c>
      <c r="W25" s="28">
        <v>0</v>
      </c>
      <c r="X25" s="25">
        <f t="shared" si="35"/>
        <v>258.68799999999999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5">
        <f>SUM(Z25:AD25)</f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5">
        <f t="shared" si="36"/>
        <v>0</v>
      </c>
      <c r="AN25" s="29">
        <f t="shared" si="33"/>
        <v>0</v>
      </c>
      <c r="AO25" s="29">
        <f t="shared" si="33"/>
        <v>0</v>
      </c>
      <c r="AP25" s="29">
        <f t="shared" si="33"/>
        <v>0</v>
      </c>
      <c r="AQ25" s="29">
        <f t="shared" si="33"/>
        <v>0</v>
      </c>
      <c r="AR25" s="29">
        <f t="shared" si="33"/>
        <v>0</v>
      </c>
      <c r="AS25" s="25">
        <f t="shared" si="37"/>
        <v>0</v>
      </c>
    </row>
    <row r="26" spans="1:45" x14ac:dyDescent="0.2">
      <c r="E26" s="24">
        <v>77.055000000000007</v>
      </c>
      <c r="F26" s="24">
        <v>115.69</v>
      </c>
      <c r="G26" s="24">
        <v>964.32</v>
      </c>
      <c r="H26" s="24">
        <v>0</v>
      </c>
      <c r="I26" s="24">
        <v>158.47999999999999</v>
      </c>
      <c r="J26" s="25">
        <f>SUM(E26:I26)</f>
        <v>1315.5450000000001</v>
      </c>
      <c r="L26" s="33">
        <v>0</v>
      </c>
      <c r="M26" s="24">
        <v>0</v>
      </c>
      <c r="N26" s="24">
        <v>0</v>
      </c>
      <c r="O26" s="24">
        <v>0</v>
      </c>
      <c r="P26" s="24">
        <v>2717.39</v>
      </c>
      <c r="Q26" s="25">
        <f t="shared" si="34"/>
        <v>2717.39</v>
      </c>
      <c r="S26" s="24">
        <v>42.204999999999998</v>
      </c>
      <c r="T26" s="28">
        <v>0</v>
      </c>
      <c r="U26" s="28">
        <v>0</v>
      </c>
      <c r="V26" s="28">
        <v>0</v>
      </c>
      <c r="W26" s="28">
        <v>0</v>
      </c>
      <c r="X26" s="25">
        <f t="shared" si="35"/>
        <v>42.204999999999998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5">
        <f>SUM(Z26:AD26)</f>
        <v>0</v>
      </c>
      <c r="AG26" s="33">
        <v>134.46</v>
      </c>
      <c r="AH26" s="28">
        <v>0</v>
      </c>
      <c r="AI26" s="28">
        <v>0</v>
      </c>
      <c r="AJ26" s="28">
        <v>0</v>
      </c>
      <c r="AK26" s="28">
        <v>0</v>
      </c>
      <c r="AL26" s="25">
        <f t="shared" si="36"/>
        <v>134.46</v>
      </c>
      <c r="AN26" s="29">
        <f t="shared" si="33"/>
        <v>134.46</v>
      </c>
      <c r="AO26" s="29">
        <f t="shared" si="33"/>
        <v>0</v>
      </c>
      <c r="AP26" s="29">
        <f t="shared" si="33"/>
        <v>0</v>
      </c>
      <c r="AQ26" s="29">
        <f t="shared" si="33"/>
        <v>0</v>
      </c>
      <c r="AR26" s="29">
        <f t="shared" si="33"/>
        <v>0</v>
      </c>
      <c r="AS26" s="25">
        <f t="shared" si="37"/>
        <v>134.46</v>
      </c>
    </row>
    <row r="27" spans="1:45" x14ac:dyDescent="0.2">
      <c r="E27" s="24">
        <v>0</v>
      </c>
      <c r="F27" s="24">
        <v>0</v>
      </c>
      <c r="G27" s="24">
        <v>0</v>
      </c>
      <c r="H27" s="24">
        <v>2717.39</v>
      </c>
      <c r="I27" s="24">
        <v>0</v>
      </c>
      <c r="J27" s="25">
        <f>SUM(E27:I27)</f>
        <v>2717.39</v>
      </c>
      <c r="L27" s="33">
        <v>0</v>
      </c>
      <c r="M27" s="24">
        <v>0</v>
      </c>
      <c r="N27" s="24">
        <v>0</v>
      </c>
      <c r="O27" s="24">
        <v>158.47999999999999</v>
      </c>
      <c r="P27" s="24">
        <v>0</v>
      </c>
      <c r="Q27" s="25">
        <f t="shared" si="34"/>
        <v>158.47999999999999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5">
        <f t="shared" si="35"/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5">
        <f>SUM(Z27:AD27)</f>
        <v>0</v>
      </c>
      <c r="AG27" s="33">
        <v>322.23</v>
      </c>
      <c r="AH27" s="28">
        <v>0</v>
      </c>
      <c r="AI27" s="28">
        <v>0</v>
      </c>
      <c r="AJ27" s="28">
        <v>0</v>
      </c>
      <c r="AK27" s="28">
        <v>0</v>
      </c>
      <c r="AL27" s="25">
        <f t="shared" si="36"/>
        <v>322.23</v>
      </c>
      <c r="AN27" s="29">
        <f t="shared" si="33"/>
        <v>322.23</v>
      </c>
      <c r="AO27" s="29">
        <f t="shared" si="33"/>
        <v>0</v>
      </c>
      <c r="AP27" s="29">
        <f t="shared" si="33"/>
        <v>0</v>
      </c>
      <c r="AQ27" s="29">
        <f t="shared" si="33"/>
        <v>0</v>
      </c>
      <c r="AR27" s="29">
        <f t="shared" si="33"/>
        <v>0</v>
      </c>
      <c r="AS27" s="25">
        <f t="shared" si="37"/>
        <v>322.23</v>
      </c>
    </row>
    <row r="28" spans="1:45" s="9" customFormat="1" x14ac:dyDescent="0.2">
      <c r="A28" s="12"/>
      <c r="B28" s="12"/>
      <c r="C28" s="49"/>
      <c r="D28" s="12"/>
      <c r="E28" s="25">
        <f t="shared" ref="E28:J28" si="38">SUM(E23:E27)</f>
        <v>620.00900000000001</v>
      </c>
      <c r="F28" s="25">
        <f t="shared" si="38"/>
        <v>115.69</v>
      </c>
      <c r="G28" s="25">
        <f t="shared" si="38"/>
        <v>1253.3400000000001</v>
      </c>
      <c r="H28" s="25">
        <f t="shared" si="38"/>
        <v>2717.39</v>
      </c>
      <c r="I28" s="25">
        <f t="shared" si="38"/>
        <v>158.47999999999999</v>
      </c>
      <c r="J28" s="25">
        <f t="shared" si="38"/>
        <v>4864.9089999999997</v>
      </c>
      <c r="K28" s="30"/>
      <c r="L28" s="25">
        <f t="shared" ref="L28:Q28" si="39">SUM(L23:L27)</f>
        <v>0</v>
      </c>
      <c r="M28" s="25">
        <f t="shared" si="39"/>
        <v>359.67199999999997</v>
      </c>
      <c r="N28" s="25">
        <f t="shared" si="39"/>
        <v>472.30200000000002</v>
      </c>
      <c r="O28" s="25">
        <f t="shared" si="39"/>
        <v>1315.5450000000001</v>
      </c>
      <c r="P28" s="25">
        <f t="shared" si="39"/>
        <v>2717.39</v>
      </c>
      <c r="Q28" s="25">
        <f t="shared" si="39"/>
        <v>4864.9089999999997</v>
      </c>
      <c r="R28" s="30"/>
      <c r="S28" s="25">
        <f t="shared" ref="S28:X28" si="40">SUM(S23:S27)</f>
        <v>339.59099999999995</v>
      </c>
      <c r="T28" s="25">
        <f t="shared" si="40"/>
        <v>0</v>
      </c>
      <c r="U28" s="25">
        <f t="shared" si="40"/>
        <v>0</v>
      </c>
      <c r="V28" s="25">
        <f t="shared" si="40"/>
        <v>0</v>
      </c>
      <c r="W28" s="25">
        <f t="shared" si="40"/>
        <v>0</v>
      </c>
      <c r="X28" s="25">
        <f t="shared" si="40"/>
        <v>339.59099999999995</v>
      </c>
      <c r="Y28" s="30"/>
      <c r="Z28" s="25">
        <f t="shared" ref="Z28:AE28" si="41">SUM(Z23:Z27)</f>
        <v>0</v>
      </c>
      <c r="AA28" s="25">
        <f t="shared" si="41"/>
        <v>0</v>
      </c>
      <c r="AB28" s="25">
        <f t="shared" si="41"/>
        <v>0</v>
      </c>
      <c r="AC28" s="25">
        <f t="shared" si="41"/>
        <v>0</v>
      </c>
      <c r="AD28" s="25">
        <f t="shared" si="41"/>
        <v>0</v>
      </c>
      <c r="AE28" s="25">
        <f t="shared" si="41"/>
        <v>0</v>
      </c>
      <c r="AF28" s="30"/>
      <c r="AG28" s="25">
        <f>SUM(AG23:AG27)</f>
        <v>2185.2399999999998</v>
      </c>
      <c r="AH28" s="25">
        <f t="shared" ref="AH28:AK28" si="42">SUM(AH23:AH27)</f>
        <v>0</v>
      </c>
      <c r="AI28" s="25">
        <f t="shared" si="42"/>
        <v>0</v>
      </c>
      <c r="AJ28" s="25">
        <f t="shared" si="42"/>
        <v>0</v>
      </c>
      <c r="AK28" s="25">
        <f t="shared" si="42"/>
        <v>0</v>
      </c>
      <c r="AL28" s="25">
        <f>SUM(AL23:AL27)</f>
        <v>2185.2399999999998</v>
      </c>
      <c r="AM28" s="30"/>
      <c r="AN28" s="25">
        <f>SUM(AN23:AN27)</f>
        <v>2185.2399999999998</v>
      </c>
      <c r="AO28" s="25">
        <f t="shared" ref="AO28:AS28" si="43">SUM(AO23:AO27)</f>
        <v>0</v>
      </c>
      <c r="AP28" s="25">
        <f t="shared" si="43"/>
        <v>0</v>
      </c>
      <c r="AQ28" s="25">
        <f t="shared" si="43"/>
        <v>0</v>
      </c>
      <c r="AR28" s="25">
        <f t="shared" si="43"/>
        <v>0</v>
      </c>
      <c r="AS28" s="25">
        <f t="shared" si="43"/>
        <v>2185.2399999999998</v>
      </c>
    </row>
    <row r="29" spans="1:45" s="12" customFormat="1" x14ac:dyDescent="0.2">
      <c r="C29" s="4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</row>
    <row r="30" spans="1:45" x14ac:dyDescent="0.2">
      <c r="B30" s="6">
        <v>1</v>
      </c>
      <c r="C30" s="21" t="s">
        <v>73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5">
        <f>SUM(E30:I30)</f>
        <v>0</v>
      </c>
      <c r="L30" s="24">
        <v>0</v>
      </c>
      <c r="M30" s="34">
        <v>0</v>
      </c>
      <c r="N30" s="35">
        <v>0</v>
      </c>
      <c r="O30" s="34">
        <v>0</v>
      </c>
      <c r="P30" s="24">
        <v>0</v>
      </c>
      <c r="Q30" s="25">
        <f>SUM(L30:P30)</f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5">
        <f>SUM(S30:W30)</f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5">
        <f>SUM(Z30:AD30)</f>
        <v>0</v>
      </c>
      <c r="AG30" s="24">
        <v>0</v>
      </c>
      <c r="AH30" s="28">
        <v>0</v>
      </c>
      <c r="AI30" s="28">
        <v>0</v>
      </c>
      <c r="AJ30" s="28">
        <v>0</v>
      </c>
      <c r="AK30" s="28">
        <v>0</v>
      </c>
      <c r="AL30" s="25">
        <f>SUM(AG30:AK30)</f>
        <v>0</v>
      </c>
      <c r="AN30" s="29">
        <f t="shared" ref="AN30:AR34" si="44">AG30+Z30</f>
        <v>0</v>
      </c>
      <c r="AO30" s="29">
        <f t="shared" si="44"/>
        <v>0</v>
      </c>
      <c r="AP30" s="29">
        <f t="shared" si="44"/>
        <v>0</v>
      </c>
      <c r="AQ30" s="29">
        <f t="shared" si="44"/>
        <v>0</v>
      </c>
      <c r="AR30" s="29">
        <f t="shared" si="44"/>
        <v>0</v>
      </c>
      <c r="AS30" s="25">
        <f>SUM(AN30:AR30)</f>
        <v>0</v>
      </c>
    </row>
    <row r="31" spans="1:45" x14ac:dyDescent="0.2">
      <c r="E31" s="34">
        <v>0</v>
      </c>
      <c r="F31" s="24">
        <v>0</v>
      </c>
      <c r="G31" s="24">
        <v>289.02</v>
      </c>
      <c r="H31" s="24">
        <v>0</v>
      </c>
      <c r="I31" s="24">
        <v>0</v>
      </c>
      <c r="J31" s="25">
        <f>SUM(E31:I31)</f>
        <v>289.02</v>
      </c>
      <c r="L31" s="24">
        <v>0</v>
      </c>
      <c r="M31" s="24">
        <v>0</v>
      </c>
      <c r="N31" s="24">
        <v>0</v>
      </c>
      <c r="O31" s="24">
        <v>115.69</v>
      </c>
      <c r="P31" s="24">
        <v>0</v>
      </c>
      <c r="Q31" s="25">
        <f t="shared" ref="Q31:Q34" si="45">SUM(L31:P31)</f>
        <v>115.69</v>
      </c>
      <c r="S31" s="24">
        <v>38.698</v>
      </c>
      <c r="T31" s="28">
        <v>0</v>
      </c>
      <c r="U31" s="28">
        <v>0</v>
      </c>
      <c r="V31" s="28">
        <v>0</v>
      </c>
      <c r="W31" s="28">
        <v>0</v>
      </c>
      <c r="X31" s="25">
        <f t="shared" ref="X31:X34" si="46">SUM(S31:W31)</f>
        <v>38.698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5">
        <f>SUM(Z31:AD31)</f>
        <v>0</v>
      </c>
      <c r="AG31" s="24">
        <v>1728.55</v>
      </c>
      <c r="AH31" s="28">
        <v>0</v>
      </c>
      <c r="AI31" s="28">
        <v>0</v>
      </c>
      <c r="AJ31" s="28">
        <v>0</v>
      </c>
      <c r="AK31" s="28">
        <v>0</v>
      </c>
      <c r="AL31" s="25">
        <f t="shared" ref="AL31:AL34" si="47">SUM(AG31:AK31)</f>
        <v>1728.55</v>
      </c>
      <c r="AN31" s="29">
        <f t="shared" si="44"/>
        <v>1728.55</v>
      </c>
      <c r="AO31" s="29">
        <f t="shared" si="44"/>
        <v>0</v>
      </c>
      <c r="AP31" s="29">
        <f t="shared" si="44"/>
        <v>0</v>
      </c>
      <c r="AQ31" s="29">
        <f t="shared" si="44"/>
        <v>0</v>
      </c>
      <c r="AR31" s="29">
        <f t="shared" si="44"/>
        <v>0</v>
      </c>
      <c r="AS31" s="25">
        <f t="shared" ref="AS31:AS34" si="48">SUM(AN31:AR31)</f>
        <v>1728.55</v>
      </c>
    </row>
    <row r="32" spans="1:45" x14ac:dyDescent="0.2">
      <c r="E32" s="35">
        <v>0</v>
      </c>
      <c r="F32" s="24">
        <v>0</v>
      </c>
      <c r="G32" s="24">
        <v>0</v>
      </c>
      <c r="H32" s="24">
        <v>0</v>
      </c>
      <c r="I32" s="24">
        <v>0</v>
      </c>
      <c r="J32" s="25">
        <f>SUM(E32:I32)</f>
        <v>0</v>
      </c>
      <c r="L32" s="24">
        <v>0</v>
      </c>
      <c r="M32" s="24">
        <v>289.02</v>
      </c>
      <c r="N32" s="24">
        <v>0</v>
      </c>
      <c r="O32" s="24">
        <v>964.32</v>
      </c>
      <c r="P32" s="24">
        <v>0</v>
      </c>
      <c r="Q32" s="25">
        <f t="shared" si="45"/>
        <v>1253.3400000000001</v>
      </c>
      <c r="S32" s="24">
        <v>258.68799999999999</v>
      </c>
      <c r="T32" s="28">
        <v>0</v>
      </c>
      <c r="U32" s="28">
        <v>0</v>
      </c>
      <c r="V32" s="28">
        <v>0</v>
      </c>
      <c r="W32" s="28">
        <v>0</v>
      </c>
      <c r="X32" s="25">
        <f t="shared" si="46"/>
        <v>258.68799999999999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5">
        <f>SUM(Z32:AD32)</f>
        <v>0</v>
      </c>
      <c r="AG32" s="24">
        <v>0</v>
      </c>
      <c r="AH32" s="28">
        <v>0</v>
      </c>
      <c r="AI32" s="28">
        <v>0</v>
      </c>
      <c r="AJ32" s="28">
        <v>0</v>
      </c>
      <c r="AK32" s="28">
        <v>0</v>
      </c>
      <c r="AL32" s="25">
        <f t="shared" si="47"/>
        <v>0</v>
      </c>
      <c r="AN32" s="29">
        <f t="shared" si="44"/>
        <v>0</v>
      </c>
      <c r="AO32" s="29">
        <f t="shared" si="44"/>
        <v>0</v>
      </c>
      <c r="AP32" s="29">
        <f t="shared" si="44"/>
        <v>0</v>
      </c>
      <c r="AQ32" s="29">
        <f t="shared" si="44"/>
        <v>0</v>
      </c>
      <c r="AR32" s="29">
        <f t="shared" si="44"/>
        <v>0</v>
      </c>
      <c r="AS32" s="25">
        <f t="shared" si="48"/>
        <v>0</v>
      </c>
    </row>
    <row r="33" spans="1:45" x14ac:dyDescent="0.2">
      <c r="E33" s="34">
        <v>0</v>
      </c>
      <c r="F33" s="24">
        <v>115.69</v>
      </c>
      <c r="G33" s="24">
        <v>964.32</v>
      </c>
      <c r="H33" s="24">
        <v>0</v>
      </c>
      <c r="I33" s="24">
        <v>158.47999999999999</v>
      </c>
      <c r="J33" s="25">
        <f>SUM(E33:I33)</f>
        <v>1238.49</v>
      </c>
      <c r="L33" s="24">
        <v>0</v>
      </c>
      <c r="M33" s="24">
        <v>0</v>
      </c>
      <c r="N33" s="24">
        <v>0</v>
      </c>
      <c r="O33" s="24">
        <v>0</v>
      </c>
      <c r="P33" s="24">
        <v>2717.39</v>
      </c>
      <c r="Q33" s="25">
        <f t="shared" si="45"/>
        <v>2717.39</v>
      </c>
      <c r="S33" s="24">
        <v>42.204999999999998</v>
      </c>
      <c r="T33" s="28">
        <v>0</v>
      </c>
      <c r="U33" s="28">
        <v>0</v>
      </c>
      <c r="V33" s="28">
        <v>0</v>
      </c>
      <c r="W33" s="28">
        <v>0</v>
      </c>
      <c r="X33" s="25">
        <f t="shared" si="46"/>
        <v>42.204999999999998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5">
        <f>SUM(Z33:AD33)</f>
        <v>0</v>
      </c>
      <c r="AG33" s="24">
        <v>134.46</v>
      </c>
      <c r="AH33" s="28">
        <v>0</v>
      </c>
      <c r="AI33" s="28">
        <v>0</v>
      </c>
      <c r="AJ33" s="28">
        <v>0</v>
      </c>
      <c r="AK33" s="28">
        <v>0</v>
      </c>
      <c r="AL33" s="25">
        <f t="shared" si="47"/>
        <v>134.46</v>
      </c>
      <c r="AN33" s="29">
        <f t="shared" si="44"/>
        <v>134.46</v>
      </c>
      <c r="AO33" s="29">
        <f t="shared" si="44"/>
        <v>0</v>
      </c>
      <c r="AP33" s="29">
        <f t="shared" si="44"/>
        <v>0</v>
      </c>
      <c r="AQ33" s="29">
        <f t="shared" si="44"/>
        <v>0</v>
      </c>
      <c r="AR33" s="29">
        <f t="shared" si="44"/>
        <v>0</v>
      </c>
      <c r="AS33" s="25">
        <f t="shared" si="48"/>
        <v>134.46</v>
      </c>
    </row>
    <row r="34" spans="1:45" x14ac:dyDescent="0.2">
      <c r="E34" s="24">
        <v>0</v>
      </c>
      <c r="F34" s="24">
        <v>0</v>
      </c>
      <c r="G34" s="24">
        <v>0</v>
      </c>
      <c r="H34" s="24">
        <v>2717.39</v>
      </c>
      <c r="I34" s="24">
        <v>0</v>
      </c>
      <c r="J34" s="25">
        <f>SUM(E34:I34)</f>
        <v>2717.39</v>
      </c>
      <c r="L34" s="24">
        <v>0</v>
      </c>
      <c r="M34" s="24">
        <v>0</v>
      </c>
      <c r="N34" s="24">
        <v>0</v>
      </c>
      <c r="O34" s="24">
        <v>158.47999999999999</v>
      </c>
      <c r="P34" s="24">
        <v>0</v>
      </c>
      <c r="Q34" s="25">
        <f t="shared" si="45"/>
        <v>158.47999999999999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5">
        <f t="shared" si="46"/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5">
        <f>SUM(Z34:AD34)</f>
        <v>0</v>
      </c>
      <c r="AG34" s="24">
        <v>322.23</v>
      </c>
      <c r="AH34" s="28">
        <v>0</v>
      </c>
      <c r="AI34" s="28">
        <v>0</v>
      </c>
      <c r="AJ34" s="28">
        <v>0</v>
      </c>
      <c r="AK34" s="28">
        <v>0</v>
      </c>
      <c r="AL34" s="25">
        <f t="shared" si="47"/>
        <v>322.23</v>
      </c>
      <c r="AN34" s="29">
        <f t="shared" si="44"/>
        <v>322.23</v>
      </c>
      <c r="AO34" s="29">
        <f t="shared" si="44"/>
        <v>0</v>
      </c>
      <c r="AP34" s="29">
        <f t="shared" si="44"/>
        <v>0</v>
      </c>
      <c r="AQ34" s="29">
        <f t="shared" si="44"/>
        <v>0</v>
      </c>
      <c r="AR34" s="29">
        <f t="shared" si="44"/>
        <v>0</v>
      </c>
      <c r="AS34" s="25">
        <f t="shared" si="48"/>
        <v>322.23</v>
      </c>
    </row>
    <row r="35" spans="1:45" s="9" customFormat="1" x14ac:dyDescent="0.2">
      <c r="A35" s="12"/>
      <c r="B35" s="12"/>
      <c r="C35" s="49"/>
      <c r="D35" s="12"/>
      <c r="E35" s="25">
        <f t="shared" ref="E35:J35" si="49">SUM(E30:E34)</f>
        <v>0</v>
      </c>
      <c r="F35" s="25">
        <f t="shared" si="49"/>
        <v>115.69</v>
      </c>
      <c r="G35" s="25">
        <f t="shared" si="49"/>
        <v>1253.3400000000001</v>
      </c>
      <c r="H35" s="25">
        <f t="shared" si="49"/>
        <v>2717.39</v>
      </c>
      <c r="I35" s="25">
        <f t="shared" si="49"/>
        <v>158.47999999999999</v>
      </c>
      <c r="J35" s="25">
        <f t="shared" si="49"/>
        <v>4244.8999999999996</v>
      </c>
      <c r="K35" s="30"/>
      <c r="L35" s="25">
        <f t="shared" ref="L35:Q35" si="50">SUM(L30:L34)</f>
        <v>0</v>
      </c>
      <c r="M35" s="25">
        <f t="shared" si="50"/>
        <v>289.02</v>
      </c>
      <c r="N35" s="25">
        <f t="shared" si="50"/>
        <v>0</v>
      </c>
      <c r="O35" s="25">
        <f t="shared" si="50"/>
        <v>1238.49</v>
      </c>
      <c r="P35" s="25">
        <f t="shared" si="50"/>
        <v>2717.39</v>
      </c>
      <c r="Q35" s="25">
        <f t="shared" si="50"/>
        <v>4244.8999999999996</v>
      </c>
      <c r="R35" s="30"/>
      <c r="S35" s="25">
        <f t="shared" ref="S35:X35" si="51">SUM(S30:S34)</f>
        <v>339.59099999999995</v>
      </c>
      <c r="T35" s="25">
        <f t="shared" si="51"/>
        <v>0</v>
      </c>
      <c r="U35" s="25">
        <f t="shared" si="51"/>
        <v>0</v>
      </c>
      <c r="V35" s="25">
        <f t="shared" si="51"/>
        <v>0</v>
      </c>
      <c r="W35" s="25">
        <f t="shared" si="51"/>
        <v>0</v>
      </c>
      <c r="X35" s="25">
        <f t="shared" si="51"/>
        <v>339.59099999999995</v>
      </c>
      <c r="Y35" s="30"/>
      <c r="Z35" s="25">
        <f t="shared" ref="Z35:AE35" si="52">SUM(Z30:Z34)</f>
        <v>0</v>
      </c>
      <c r="AA35" s="25">
        <f t="shared" si="52"/>
        <v>0</v>
      </c>
      <c r="AB35" s="25">
        <f t="shared" si="52"/>
        <v>0</v>
      </c>
      <c r="AC35" s="25">
        <f t="shared" si="52"/>
        <v>0</v>
      </c>
      <c r="AD35" s="25">
        <f t="shared" si="52"/>
        <v>0</v>
      </c>
      <c r="AE35" s="25">
        <f t="shared" si="52"/>
        <v>0</v>
      </c>
      <c r="AF35" s="30"/>
      <c r="AG35" s="25">
        <f>SUM(AG30:AG34)</f>
        <v>2185.2399999999998</v>
      </c>
      <c r="AH35" s="25">
        <f t="shared" ref="AH35:AK35" si="53">SUM(AH30:AH34)</f>
        <v>0</v>
      </c>
      <c r="AI35" s="25">
        <f t="shared" si="53"/>
        <v>0</v>
      </c>
      <c r="AJ35" s="25">
        <f t="shared" si="53"/>
        <v>0</v>
      </c>
      <c r="AK35" s="25">
        <f t="shared" si="53"/>
        <v>0</v>
      </c>
      <c r="AL35" s="25">
        <f>SUM(AL30:AL34)</f>
        <v>2185.2399999999998</v>
      </c>
      <c r="AM35" s="30"/>
      <c r="AN35" s="25">
        <f>SUM(AN30:AN34)</f>
        <v>2185.2399999999998</v>
      </c>
      <c r="AO35" s="25">
        <f t="shared" ref="AO35:AS35" si="54">SUM(AO30:AO34)</f>
        <v>0</v>
      </c>
      <c r="AP35" s="25">
        <f t="shared" si="54"/>
        <v>0</v>
      </c>
      <c r="AQ35" s="25">
        <f t="shared" si="54"/>
        <v>0</v>
      </c>
      <c r="AR35" s="25">
        <f t="shared" si="54"/>
        <v>0</v>
      </c>
      <c r="AS35" s="25">
        <f t="shared" si="54"/>
        <v>2185.2399999999998</v>
      </c>
    </row>
    <row r="36" spans="1:45" s="12" customFormat="1" x14ac:dyDescent="0.2">
      <c r="C36" s="4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</row>
    <row r="37" spans="1:45" x14ac:dyDescent="0.2">
      <c r="B37" s="6">
        <v>2</v>
      </c>
      <c r="C37" s="21" t="s">
        <v>67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5">
        <f>SUM(E37:I37)</f>
        <v>0</v>
      </c>
      <c r="L37" s="24">
        <v>0</v>
      </c>
      <c r="M37" s="36">
        <v>0</v>
      </c>
      <c r="N37" s="37">
        <v>0</v>
      </c>
      <c r="O37" s="36">
        <v>0</v>
      </c>
      <c r="P37" s="24">
        <v>0</v>
      </c>
      <c r="Q37" s="25">
        <f>SUM(L37:P37)</f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25">
        <f>SUM(S37:W37)</f>
        <v>0</v>
      </c>
      <c r="Z37" s="36">
        <v>0</v>
      </c>
      <c r="AA37" s="36">
        <v>0</v>
      </c>
      <c r="AB37" s="36">
        <v>0</v>
      </c>
      <c r="AC37" s="36">
        <v>0</v>
      </c>
      <c r="AD37" s="36">
        <v>0</v>
      </c>
      <c r="AE37" s="25">
        <f>SUM(Z37:AD37)</f>
        <v>0</v>
      </c>
      <c r="AG37" s="36">
        <v>0</v>
      </c>
      <c r="AH37" s="36">
        <v>0</v>
      </c>
      <c r="AI37" s="36">
        <v>0</v>
      </c>
      <c r="AJ37" s="36">
        <v>0</v>
      </c>
      <c r="AK37" s="36">
        <v>0</v>
      </c>
      <c r="AL37" s="25">
        <f>SUM(AG37:AK37)</f>
        <v>0</v>
      </c>
      <c r="AN37" s="29">
        <f t="shared" ref="AN37:AR41" si="55">AG37+Z37</f>
        <v>0</v>
      </c>
      <c r="AO37" s="29">
        <f t="shared" si="55"/>
        <v>0</v>
      </c>
      <c r="AP37" s="29">
        <f t="shared" si="55"/>
        <v>0</v>
      </c>
      <c r="AQ37" s="29">
        <f t="shared" si="55"/>
        <v>0</v>
      </c>
      <c r="AR37" s="29">
        <f t="shared" si="55"/>
        <v>0</v>
      </c>
      <c r="AS37" s="25">
        <f>SUM(AN37:AR37)</f>
        <v>0</v>
      </c>
    </row>
    <row r="38" spans="1:45" x14ac:dyDescent="0.2">
      <c r="E38" s="36">
        <v>0</v>
      </c>
      <c r="F38" s="24">
        <v>0</v>
      </c>
      <c r="G38" s="24">
        <v>289.02</v>
      </c>
      <c r="H38" s="24">
        <v>0</v>
      </c>
      <c r="I38" s="24">
        <v>0</v>
      </c>
      <c r="J38" s="25">
        <f>SUM(E38:I38)</f>
        <v>289.02</v>
      </c>
      <c r="L38" s="24">
        <v>0</v>
      </c>
      <c r="M38" s="24">
        <v>0</v>
      </c>
      <c r="N38" s="24">
        <v>0</v>
      </c>
      <c r="O38" s="24">
        <v>115.69</v>
      </c>
      <c r="P38" s="24">
        <v>0</v>
      </c>
      <c r="Q38" s="25">
        <f t="shared" ref="Q38:Q41" si="56">SUM(L38:P38)</f>
        <v>115.69</v>
      </c>
      <c r="S38" s="36">
        <v>0</v>
      </c>
      <c r="T38" s="36">
        <v>0</v>
      </c>
      <c r="U38" s="36">
        <v>0</v>
      </c>
      <c r="V38" s="36">
        <v>0</v>
      </c>
      <c r="W38" s="36">
        <v>0</v>
      </c>
      <c r="X38" s="25">
        <f t="shared" ref="X38:X41" si="57">SUM(S38:W38)</f>
        <v>0</v>
      </c>
      <c r="Z38" s="36">
        <v>0</v>
      </c>
      <c r="AA38" s="36">
        <v>0</v>
      </c>
      <c r="AB38" s="36">
        <v>0</v>
      </c>
      <c r="AC38" s="36">
        <v>0</v>
      </c>
      <c r="AD38" s="36">
        <v>0</v>
      </c>
      <c r="AE38" s="25">
        <f>SUM(Z38:AD38)</f>
        <v>0</v>
      </c>
      <c r="AG38" s="36">
        <v>0</v>
      </c>
      <c r="AH38" s="36">
        <v>0</v>
      </c>
      <c r="AI38" s="36">
        <v>0</v>
      </c>
      <c r="AJ38" s="36">
        <v>0</v>
      </c>
      <c r="AK38" s="36">
        <v>0</v>
      </c>
      <c r="AL38" s="25">
        <f t="shared" ref="AL38:AL41" si="58">SUM(AG38:AK38)</f>
        <v>0</v>
      </c>
      <c r="AN38" s="29">
        <f t="shared" si="55"/>
        <v>0</v>
      </c>
      <c r="AO38" s="29">
        <f t="shared" si="55"/>
        <v>0</v>
      </c>
      <c r="AP38" s="29">
        <f t="shared" si="55"/>
        <v>0</v>
      </c>
      <c r="AQ38" s="29">
        <f t="shared" si="55"/>
        <v>0</v>
      </c>
      <c r="AR38" s="29">
        <f t="shared" si="55"/>
        <v>0</v>
      </c>
      <c r="AS38" s="25">
        <f t="shared" ref="AS38:AS41" si="59">SUM(AN38:AR38)</f>
        <v>0</v>
      </c>
    </row>
    <row r="39" spans="1:45" x14ac:dyDescent="0.2">
      <c r="E39" s="37">
        <v>0</v>
      </c>
      <c r="F39" s="24">
        <v>0</v>
      </c>
      <c r="G39" s="24">
        <v>0</v>
      </c>
      <c r="H39" s="24">
        <v>0</v>
      </c>
      <c r="I39" s="24">
        <v>0</v>
      </c>
      <c r="J39" s="25">
        <f>SUM(E39:I39)</f>
        <v>0</v>
      </c>
      <c r="L39" s="24">
        <v>0</v>
      </c>
      <c r="M39" s="24">
        <v>289.02</v>
      </c>
      <c r="N39" s="24">
        <v>0</v>
      </c>
      <c r="O39" s="24">
        <v>964.32</v>
      </c>
      <c r="P39" s="24">
        <v>0</v>
      </c>
      <c r="Q39" s="25">
        <f t="shared" si="56"/>
        <v>1253.3400000000001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25">
        <f t="shared" si="57"/>
        <v>0</v>
      </c>
      <c r="Z39" s="36">
        <v>0</v>
      </c>
      <c r="AA39" s="36">
        <v>0</v>
      </c>
      <c r="AB39" s="36">
        <v>0</v>
      </c>
      <c r="AC39" s="36">
        <v>0</v>
      </c>
      <c r="AD39" s="36">
        <v>0</v>
      </c>
      <c r="AE39" s="25">
        <f>SUM(Z39:AD39)</f>
        <v>0</v>
      </c>
      <c r="AG39" s="36">
        <v>0</v>
      </c>
      <c r="AH39" s="36">
        <v>0</v>
      </c>
      <c r="AI39" s="36">
        <v>0</v>
      </c>
      <c r="AJ39" s="36">
        <v>0</v>
      </c>
      <c r="AK39" s="36">
        <v>0</v>
      </c>
      <c r="AL39" s="25">
        <f t="shared" si="58"/>
        <v>0</v>
      </c>
      <c r="AN39" s="29">
        <f t="shared" si="55"/>
        <v>0</v>
      </c>
      <c r="AO39" s="29">
        <f t="shared" si="55"/>
        <v>0</v>
      </c>
      <c r="AP39" s="29">
        <f t="shared" si="55"/>
        <v>0</v>
      </c>
      <c r="AQ39" s="29">
        <f t="shared" si="55"/>
        <v>0</v>
      </c>
      <c r="AR39" s="29">
        <f t="shared" si="55"/>
        <v>0</v>
      </c>
      <c r="AS39" s="25">
        <f t="shared" si="59"/>
        <v>0</v>
      </c>
    </row>
    <row r="40" spans="1:45" x14ac:dyDescent="0.2">
      <c r="E40" s="36">
        <v>0</v>
      </c>
      <c r="F40" s="24">
        <v>115.69</v>
      </c>
      <c r="G40" s="24">
        <v>964.32</v>
      </c>
      <c r="H40" s="24">
        <v>0</v>
      </c>
      <c r="I40" s="24">
        <v>158.47999999999999</v>
      </c>
      <c r="J40" s="25">
        <f>SUM(E40:I40)</f>
        <v>1238.49</v>
      </c>
      <c r="L40" s="24">
        <v>0</v>
      </c>
      <c r="M40" s="24">
        <v>0</v>
      </c>
      <c r="N40" s="24">
        <v>0</v>
      </c>
      <c r="O40" s="24">
        <v>0</v>
      </c>
      <c r="P40" s="24">
        <v>2717.39</v>
      </c>
      <c r="Q40" s="25">
        <f t="shared" si="56"/>
        <v>2717.39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25">
        <f t="shared" si="57"/>
        <v>0</v>
      </c>
      <c r="Z40" s="36">
        <v>0</v>
      </c>
      <c r="AA40" s="36">
        <v>0</v>
      </c>
      <c r="AB40" s="36">
        <v>0</v>
      </c>
      <c r="AC40" s="36">
        <v>0</v>
      </c>
      <c r="AD40" s="36">
        <v>0</v>
      </c>
      <c r="AE40" s="25">
        <f>SUM(Z40:AD40)</f>
        <v>0</v>
      </c>
      <c r="AG40" s="36">
        <v>0</v>
      </c>
      <c r="AH40" s="36">
        <v>0</v>
      </c>
      <c r="AI40" s="36">
        <v>0</v>
      </c>
      <c r="AJ40" s="36">
        <v>0</v>
      </c>
      <c r="AK40" s="36">
        <v>0</v>
      </c>
      <c r="AL40" s="25">
        <f t="shared" si="58"/>
        <v>0</v>
      </c>
      <c r="AN40" s="29">
        <f t="shared" si="55"/>
        <v>0</v>
      </c>
      <c r="AO40" s="29">
        <f t="shared" si="55"/>
        <v>0</v>
      </c>
      <c r="AP40" s="29">
        <f t="shared" si="55"/>
        <v>0</v>
      </c>
      <c r="AQ40" s="29">
        <f t="shared" si="55"/>
        <v>0</v>
      </c>
      <c r="AR40" s="29">
        <f t="shared" si="55"/>
        <v>0</v>
      </c>
      <c r="AS40" s="25">
        <f t="shared" si="59"/>
        <v>0</v>
      </c>
    </row>
    <row r="41" spans="1:45" x14ac:dyDescent="0.2">
      <c r="E41" s="24">
        <v>0</v>
      </c>
      <c r="F41" s="24">
        <v>0</v>
      </c>
      <c r="G41" s="24">
        <v>0</v>
      </c>
      <c r="H41" s="24">
        <v>2717.39</v>
      </c>
      <c r="I41" s="24">
        <v>0</v>
      </c>
      <c r="J41" s="25">
        <f>SUM(E41:I41)</f>
        <v>2717.39</v>
      </c>
      <c r="L41" s="24">
        <v>0</v>
      </c>
      <c r="M41" s="24">
        <v>0</v>
      </c>
      <c r="N41" s="24">
        <v>0</v>
      </c>
      <c r="O41" s="24">
        <v>158.47999999999999</v>
      </c>
      <c r="P41" s="24">
        <v>0</v>
      </c>
      <c r="Q41" s="25">
        <f t="shared" si="56"/>
        <v>158.47999999999999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25">
        <f t="shared" si="57"/>
        <v>0</v>
      </c>
      <c r="Z41" s="36">
        <v>0</v>
      </c>
      <c r="AA41" s="36">
        <v>0</v>
      </c>
      <c r="AB41" s="36">
        <v>0</v>
      </c>
      <c r="AC41" s="36">
        <v>0</v>
      </c>
      <c r="AD41" s="36">
        <v>0</v>
      </c>
      <c r="AE41" s="25">
        <f>SUM(Z41:AD41)</f>
        <v>0</v>
      </c>
      <c r="AG41" s="36">
        <v>0</v>
      </c>
      <c r="AH41" s="36">
        <v>0</v>
      </c>
      <c r="AI41" s="36">
        <v>0</v>
      </c>
      <c r="AJ41" s="36">
        <v>0</v>
      </c>
      <c r="AK41" s="36">
        <v>0</v>
      </c>
      <c r="AL41" s="25">
        <f t="shared" si="58"/>
        <v>0</v>
      </c>
      <c r="AN41" s="29">
        <f t="shared" si="55"/>
        <v>0</v>
      </c>
      <c r="AO41" s="29">
        <f t="shared" si="55"/>
        <v>0</v>
      </c>
      <c r="AP41" s="29">
        <f t="shared" si="55"/>
        <v>0</v>
      </c>
      <c r="AQ41" s="29">
        <f t="shared" si="55"/>
        <v>0</v>
      </c>
      <c r="AR41" s="29">
        <f t="shared" si="55"/>
        <v>0</v>
      </c>
      <c r="AS41" s="25">
        <f t="shared" si="59"/>
        <v>0</v>
      </c>
    </row>
    <row r="42" spans="1:45" s="9" customFormat="1" x14ac:dyDescent="0.2">
      <c r="A42" s="12"/>
      <c r="B42" s="12"/>
      <c r="C42" s="49"/>
      <c r="D42" s="12"/>
      <c r="E42" s="25">
        <f t="shared" ref="E42:J42" si="60">SUM(E37:E41)</f>
        <v>0</v>
      </c>
      <c r="F42" s="25">
        <f t="shared" si="60"/>
        <v>115.69</v>
      </c>
      <c r="G42" s="25">
        <f t="shared" si="60"/>
        <v>1253.3400000000001</v>
      </c>
      <c r="H42" s="25">
        <f t="shared" si="60"/>
        <v>2717.39</v>
      </c>
      <c r="I42" s="25">
        <f t="shared" si="60"/>
        <v>158.47999999999999</v>
      </c>
      <c r="J42" s="25">
        <f t="shared" si="60"/>
        <v>4244.8999999999996</v>
      </c>
      <c r="K42" s="30"/>
      <c r="L42" s="25">
        <f t="shared" ref="L42:Q42" si="61">SUM(L37:L41)</f>
        <v>0</v>
      </c>
      <c r="M42" s="25">
        <f t="shared" si="61"/>
        <v>289.02</v>
      </c>
      <c r="N42" s="25">
        <f t="shared" si="61"/>
        <v>0</v>
      </c>
      <c r="O42" s="25">
        <f t="shared" si="61"/>
        <v>1238.49</v>
      </c>
      <c r="P42" s="25">
        <f t="shared" si="61"/>
        <v>2717.39</v>
      </c>
      <c r="Q42" s="25">
        <f t="shared" si="61"/>
        <v>4244.8999999999996</v>
      </c>
      <c r="R42" s="30"/>
      <c r="S42" s="25">
        <f t="shared" ref="S42:X42" si="62">SUM(S37:S41)</f>
        <v>0</v>
      </c>
      <c r="T42" s="25">
        <f t="shared" si="62"/>
        <v>0</v>
      </c>
      <c r="U42" s="25">
        <f t="shared" si="62"/>
        <v>0</v>
      </c>
      <c r="V42" s="25">
        <f t="shared" si="62"/>
        <v>0</v>
      </c>
      <c r="W42" s="25">
        <f t="shared" si="62"/>
        <v>0</v>
      </c>
      <c r="X42" s="25">
        <f t="shared" si="62"/>
        <v>0</v>
      </c>
      <c r="Y42" s="30"/>
      <c r="Z42" s="25">
        <f t="shared" ref="Z42:AE42" si="63">SUM(Z37:Z41)</f>
        <v>0</v>
      </c>
      <c r="AA42" s="25">
        <f t="shared" si="63"/>
        <v>0</v>
      </c>
      <c r="AB42" s="25">
        <f t="shared" si="63"/>
        <v>0</v>
      </c>
      <c r="AC42" s="25">
        <f t="shared" si="63"/>
        <v>0</v>
      </c>
      <c r="AD42" s="25">
        <f t="shared" si="63"/>
        <v>0</v>
      </c>
      <c r="AE42" s="25">
        <f t="shared" si="63"/>
        <v>0</v>
      </c>
      <c r="AF42" s="30"/>
      <c r="AG42" s="25">
        <f>SUM(AG37:AG41)</f>
        <v>0</v>
      </c>
      <c r="AH42" s="25">
        <f t="shared" ref="AH42:AK42" si="64">SUM(AH37:AH41)</f>
        <v>0</v>
      </c>
      <c r="AI42" s="25">
        <f t="shared" si="64"/>
        <v>0</v>
      </c>
      <c r="AJ42" s="25">
        <f t="shared" si="64"/>
        <v>0</v>
      </c>
      <c r="AK42" s="25">
        <f t="shared" si="64"/>
        <v>0</v>
      </c>
      <c r="AL42" s="25">
        <f>SUM(AL37:AL41)</f>
        <v>0</v>
      </c>
      <c r="AM42" s="30"/>
      <c r="AN42" s="25">
        <f>SUM(AN37:AN41)</f>
        <v>0</v>
      </c>
      <c r="AO42" s="25">
        <f t="shared" ref="AO42:AS42" si="65">SUM(AO37:AO41)</f>
        <v>0</v>
      </c>
      <c r="AP42" s="25">
        <f t="shared" si="65"/>
        <v>0</v>
      </c>
      <c r="AQ42" s="25">
        <f t="shared" si="65"/>
        <v>0</v>
      </c>
      <c r="AR42" s="25">
        <f t="shared" si="65"/>
        <v>0</v>
      </c>
      <c r="AS42" s="25">
        <f t="shared" si="65"/>
        <v>0</v>
      </c>
    </row>
    <row r="44" spans="1:45" x14ac:dyDescent="0.2">
      <c r="B44" s="6">
        <v>2</v>
      </c>
      <c r="C44" s="49" t="s">
        <v>64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5">
        <f>SUM(E44:I44)</f>
        <v>0</v>
      </c>
      <c r="K44" s="30"/>
      <c r="L44" s="24">
        <v>0</v>
      </c>
      <c r="M44" s="24">
        <v>0</v>
      </c>
      <c r="N44" s="27">
        <v>0</v>
      </c>
      <c r="O44" s="24">
        <v>0</v>
      </c>
      <c r="P44" s="24">
        <v>0</v>
      </c>
      <c r="Q44" s="25">
        <f>SUM(L44:P44)</f>
        <v>0</v>
      </c>
      <c r="R44" s="30"/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5">
        <f>SUM(S44:W44)</f>
        <v>0</v>
      </c>
      <c r="Y44" s="30"/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5">
        <f>SUM(Z44:AD44)</f>
        <v>0</v>
      </c>
      <c r="AF44" s="30"/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5">
        <f>SUM(AG44:AK44)</f>
        <v>0</v>
      </c>
      <c r="AN44" s="29">
        <f t="shared" ref="AN44:AR48" si="66">AG44+Z44</f>
        <v>0</v>
      </c>
      <c r="AO44" s="29">
        <f t="shared" si="66"/>
        <v>0</v>
      </c>
      <c r="AP44" s="29">
        <f t="shared" si="66"/>
        <v>0</v>
      </c>
      <c r="AQ44" s="29">
        <f t="shared" si="66"/>
        <v>0</v>
      </c>
      <c r="AR44" s="29">
        <f t="shared" si="66"/>
        <v>0</v>
      </c>
      <c r="AS44" s="25">
        <f>SUM(AN44:AR44)</f>
        <v>0</v>
      </c>
    </row>
    <row r="45" spans="1:45" x14ac:dyDescent="0.2">
      <c r="C45" s="49"/>
      <c r="E45" s="24">
        <v>0</v>
      </c>
      <c r="F45" s="24">
        <v>0</v>
      </c>
      <c r="G45" s="31">
        <v>272.17099999999999</v>
      </c>
      <c r="H45" s="24">
        <v>0</v>
      </c>
      <c r="I45" s="24">
        <v>0</v>
      </c>
      <c r="J45" s="25">
        <f>SUM(E45:I45)</f>
        <v>272.17099999999999</v>
      </c>
      <c r="K45" s="30"/>
      <c r="L45" s="24">
        <v>0</v>
      </c>
      <c r="M45" s="24">
        <v>0</v>
      </c>
      <c r="N45" s="24">
        <v>0</v>
      </c>
      <c r="O45" s="24">
        <v>115.69</v>
      </c>
      <c r="P45" s="24">
        <v>0</v>
      </c>
      <c r="Q45" s="25">
        <f t="shared" ref="Q45:Q48" si="67">SUM(L45:P45)</f>
        <v>115.69</v>
      </c>
      <c r="R45" s="30"/>
      <c r="S45" s="24">
        <v>0</v>
      </c>
      <c r="T45" s="24">
        <v>0</v>
      </c>
      <c r="U45" s="31">
        <v>16.8491</v>
      </c>
      <c r="V45" s="24">
        <v>0</v>
      </c>
      <c r="W45" s="24">
        <v>0</v>
      </c>
      <c r="X45" s="25">
        <f t="shared" ref="X45:X48" si="68">SUM(S45:W45)</f>
        <v>16.8491</v>
      </c>
      <c r="Y45" s="30"/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5">
        <f>SUM(Z45:AD45)</f>
        <v>0</v>
      </c>
      <c r="AF45" s="30"/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5">
        <f t="shared" ref="AL45:AL48" si="69">SUM(AG45:AK45)</f>
        <v>0</v>
      </c>
      <c r="AN45" s="29">
        <f t="shared" si="66"/>
        <v>0</v>
      </c>
      <c r="AO45" s="29">
        <f t="shared" si="66"/>
        <v>0</v>
      </c>
      <c r="AP45" s="29">
        <f t="shared" si="66"/>
        <v>0</v>
      </c>
      <c r="AQ45" s="29">
        <f t="shared" si="66"/>
        <v>0</v>
      </c>
      <c r="AR45" s="29">
        <f t="shared" si="66"/>
        <v>0</v>
      </c>
      <c r="AS45" s="25">
        <f t="shared" ref="AS45:AS48" si="70">SUM(AN45:AR45)</f>
        <v>0</v>
      </c>
    </row>
    <row r="46" spans="1:45" x14ac:dyDescent="0.2">
      <c r="C46" s="49"/>
      <c r="E46" s="27">
        <v>0</v>
      </c>
      <c r="F46" s="24">
        <v>0</v>
      </c>
      <c r="G46" s="24">
        <v>0</v>
      </c>
      <c r="H46" s="24">
        <v>0</v>
      </c>
      <c r="I46" s="24">
        <v>0</v>
      </c>
      <c r="J46" s="25">
        <f>SUM(E46:I46)</f>
        <v>0</v>
      </c>
      <c r="K46" s="30"/>
      <c r="L46" s="24">
        <v>0</v>
      </c>
      <c r="M46" s="31">
        <v>272.17099999999999</v>
      </c>
      <c r="N46" s="24">
        <v>0</v>
      </c>
      <c r="O46" s="31">
        <v>908.10299999999995</v>
      </c>
      <c r="P46" s="24">
        <v>0</v>
      </c>
      <c r="Q46" s="25">
        <f t="shared" si="67"/>
        <v>1180.2739999999999</v>
      </c>
      <c r="R46" s="30"/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5">
        <f t="shared" si="68"/>
        <v>0</v>
      </c>
      <c r="Y46" s="30"/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5">
        <f>SUM(Z46:AD46)</f>
        <v>0</v>
      </c>
      <c r="AF46" s="30"/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5">
        <f t="shared" si="69"/>
        <v>0</v>
      </c>
      <c r="AN46" s="29">
        <f t="shared" si="66"/>
        <v>0</v>
      </c>
      <c r="AO46" s="29">
        <f t="shared" si="66"/>
        <v>0</v>
      </c>
      <c r="AP46" s="29">
        <f t="shared" si="66"/>
        <v>0</v>
      </c>
      <c r="AQ46" s="29">
        <f t="shared" si="66"/>
        <v>0</v>
      </c>
      <c r="AR46" s="29">
        <f t="shared" si="66"/>
        <v>0</v>
      </c>
      <c r="AS46" s="25">
        <f t="shared" si="70"/>
        <v>0</v>
      </c>
    </row>
    <row r="47" spans="1:45" x14ac:dyDescent="0.2">
      <c r="C47" s="49"/>
      <c r="E47" s="24">
        <v>0</v>
      </c>
      <c r="F47" s="24">
        <v>115.69</v>
      </c>
      <c r="G47" s="31">
        <v>908.10299999999995</v>
      </c>
      <c r="H47" s="24">
        <v>0</v>
      </c>
      <c r="I47" s="24">
        <v>158.47999999999999</v>
      </c>
      <c r="J47" s="25">
        <f>SUM(E47:I47)</f>
        <v>1182.2729999999999</v>
      </c>
      <c r="K47" s="30"/>
      <c r="L47" s="24">
        <v>0</v>
      </c>
      <c r="M47" s="24">
        <v>0</v>
      </c>
      <c r="N47" s="24">
        <v>0</v>
      </c>
      <c r="O47" s="24">
        <v>0</v>
      </c>
      <c r="P47" s="24">
        <v>2717.39</v>
      </c>
      <c r="Q47" s="25">
        <f t="shared" si="67"/>
        <v>2717.39</v>
      </c>
      <c r="R47" s="30"/>
      <c r="S47" s="24">
        <v>0</v>
      </c>
      <c r="T47" s="24">
        <v>0</v>
      </c>
      <c r="U47" s="31">
        <v>56.217199999999998</v>
      </c>
      <c r="V47" s="24">
        <v>0</v>
      </c>
      <c r="W47" s="24">
        <v>0</v>
      </c>
      <c r="X47" s="25">
        <f t="shared" si="68"/>
        <v>56.217199999999998</v>
      </c>
      <c r="Y47" s="30"/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5">
        <f>SUM(Z47:AD47)</f>
        <v>0</v>
      </c>
      <c r="AF47" s="30"/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5">
        <f t="shared" si="69"/>
        <v>0</v>
      </c>
      <c r="AN47" s="29">
        <f t="shared" si="66"/>
        <v>0</v>
      </c>
      <c r="AO47" s="29">
        <f t="shared" si="66"/>
        <v>0</v>
      </c>
      <c r="AP47" s="29">
        <f t="shared" si="66"/>
        <v>0</v>
      </c>
      <c r="AQ47" s="29">
        <f t="shared" si="66"/>
        <v>0</v>
      </c>
      <c r="AR47" s="29">
        <f t="shared" si="66"/>
        <v>0</v>
      </c>
      <c r="AS47" s="25">
        <f t="shared" si="70"/>
        <v>0</v>
      </c>
    </row>
    <row r="48" spans="1:45" x14ac:dyDescent="0.2">
      <c r="C48" s="49"/>
      <c r="E48" s="24">
        <v>0</v>
      </c>
      <c r="F48" s="24">
        <v>0</v>
      </c>
      <c r="G48" s="24">
        <v>0</v>
      </c>
      <c r="H48" s="24">
        <v>2717.39</v>
      </c>
      <c r="I48" s="24">
        <v>0</v>
      </c>
      <c r="J48" s="25">
        <f>SUM(E48:I48)</f>
        <v>2717.39</v>
      </c>
      <c r="K48" s="30"/>
      <c r="L48" s="24">
        <v>0</v>
      </c>
      <c r="M48" s="24">
        <v>0</v>
      </c>
      <c r="N48" s="24">
        <v>0</v>
      </c>
      <c r="O48" s="24">
        <v>158.47999999999999</v>
      </c>
      <c r="P48" s="24">
        <v>0</v>
      </c>
      <c r="Q48" s="25">
        <f t="shared" si="67"/>
        <v>158.47999999999999</v>
      </c>
      <c r="R48" s="30"/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5">
        <f t="shared" si="68"/>
        <v>0</v>
      </c>
      <c r="Y48" s="30"/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5">
        <f>SUM(Z48:AD48)</f>
        <v>0</v>
      </c>
      <c r="AF48" s="30"/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5">
        <f t="shared" si="69"/>
        <v>0</v>
      </c>
      <c r="AN48" s="29">
        <f t="shared" si="66"/>
        <v>0</v>
      </c>
      <c r="AO48" s="29">
        <f t="shared" si="66"/>
        <v>0</v>
      </c>
      <c r="AP48" s="29">
        <f t="shared" si="66"/>
        <v>0</v>
      </c>
      <c r="AQ48" s="29">
        <f t="shared" si="66"/>
        <v>0</v>
      </c>
      <c r="AR48" s="29">
        <f t="shared" si="66"/>
        <v>0</v>
      </c>
      <c r="AS48" s="25">
        <f t="shared" si="70"/>
        <v>0</v>
      </c>
    </row>
    <row r="49" spans="1:45" s="9" customFormat="1" x14ac:dyDescent="0.2">
      <c r="A49" s="12"/>
      <c r="B49" s="12"/>
      <c r="C49" s="49"/>
      <c r="D49" s="12"/>
      <c r="E49" s="25">
        <f t="shared" ref="E49:J49" si="71">SUM(E44:E48)</f>
        <v>0</v>
      </c>
      <c r="F49" s="25">
        <f t="shared" si="71"/>
        <v>115.69</v>
      </c>
      <c r="G49" s="25">
        <f t="shared" si="71"/>
        <v>1180.2739999999999</v>
      </c>
      <c r="H49" s="25">
        <f t="shared" si="71"/>
        <v>2717.39</v>
      </c>
      <c r="I49" s="25">
        <f t="shared" si="71"/>
        <v>158.47999999999999</v>
      </c>
      <c r="J49" s="25">
        <f t="shared" si="71"/>
        <v>4171.8339999999998</v>
      </c>
      <c r="K49" s="30"/>
      <c r="L49" s="25">
        <f t="shared" ref="L49:Q49" si="72">SUM(L44:L48)</f>
        <v>0</v>
      </c>
      <c r="M49" s="25">
        <f t="shared" si="72"/>
        <v>272.17099999999999</v>
      </c>
      <c r="N49" s="25">
        <f t="shared" si="72"/>
        <v>0</v>
      </c>
      <c r="O49" s="25">
        <f t="shared" si="72"/>
        <v>1182.2729999999999</v>
      </c>
      <c r="P49" s="25">
        <f t="shared" si="72"/>
        <v>2717.39</v>
      </c>
      <c r="Q49" s="25">
        <f t="shared" si="72"/>
        <v>4171.8339999999998</v>
      </c>
      <c r="R49" s="30"/>
      <c r="S49" s="25">
        <f t="shared" ref="S49:X49" si="73">SUM(S44:S48)</f>
        <v>0</v>
      </c>
      <c r="T49" s="25">
        <f t="shared" si="73"/>
        <v>0</v>
      </c>
      <c r="U49" s="25">
        <f t="shared" si="73"/>
        <v>73.066299999999998</v>
      </c>
      <c r="V49" s="25">
        <f t="shared" si="73"/>
        <v>0</v>
      </c>
      <c r="W49" s="25">
        <f t="shared" si="73"/>
        <v>0</v>
      </c>
      <c r="X49" s="25">
        <f t="shared" si="73"/>
        <v>73.066299999999998</v>
      </c>
      <c r="Y49" s="30"/>
      <c r="Z49" s="25">
        <f t="shared" ref="Z49:AE49" si="74">SUM(Z44:Z48)</f>
        <v>0</v>
      </c>
      <c r="AA49" s="25">
        <f t="shared" si="74"/>
        <v>0</v>
      </c>
      <c r="AB49" s="25">
        <f t="shared" si="74"/>
        <v>0</v>
      </c>
      <c r="AC49" s="25">
        <f t="shared" si="74"/>
        <v>0</v>
      </c>
      <c r="AD49" s="25">
        <f t="shared" si="74"/>
        <v>0</v>
      </c>
      <c r="AE49" s="25">
        <f t="shared" si="74"/>
        <v>0</v>
      </c>
      <c r="AF49" s="30"/>
      <c r="AG49" s="25">
        <f>SUM(AG44:AG48)</f>
        <v>0</v>
      </c>
      <c r="AH49" s="25">
        <f t="shared" ref="AH49:AK49" si="75">SUM(AH44:AH48)</f>
        <v>0</v>
      </c>
      <c r="AI49" s="25">
        <f t="shared" si="75"/>
        <v>0</v>
      </c>
      <c r="AJ49" s="25">
        <f t="shared" si="75"/>
        <v>0</v>
      </c>
      <c r="AK49" s="25">
        <f t="shared" si="75"/>
        <v>0</v>
      </c>
      <c r="AL49" s="25">
        <f>SUM(AL44:AL48)</f>
        <v>0</v>
      </c>
      <c r="AM49" s="30"/>
      <c r="AN49" s="25">
        <f>SUM(AN44:AN48)</f>
        <v>0</v>
      </c>
      <c r="AO49" s="25">
        <f t="shared" ref="AO49:AS49" si="76">SUM(AO44:AO48)</f>
        <v>0</v>
      </c>
      <c r="AP49" s="25">
        <f t="shared" si="76"/>
        <v>0</v>
      </c>
      <c r="AQ49" s="25">
        <f t="shared" si="76"/>
        <v>0</v>
      </c>
      <c r="AR49" s="25">
        <f t="shared" si="76"/>
        <v>0</v>
      </c>
      <c r="AS49" s="25">
        <f t="shared" si="76"/>
        <v>0</v>
      </c>
    </row>
    <row r="50" spans="1:45" x14ac:dyDescent="0.2">
      <c r="C50" s="49"/>
    </row>
    <row r="51" spans="1:45" x14ac:dyDescent="0.2">
      <c r="B51" s="6">
        <v>2</v>
      </c>
      <c r="C51" s="49" t="s">
        <v>66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5">
        <f>SUM(E51:I51)</f>
        <v>0</v>
      </c>
      <c r="K51" s="30"/>
      <c r="L51" s="24">
        <v>0</v>
      </c>
      <c r="M51" s="24">
        <v>0</v>
      </c>
      <c r="N51" s="27">
        <v>0</v>
      </c>
      <c r="O51" s="24">
        <v>0</v>
      </c>
      <c r="P51" s="24">
        <v>0</v>
      </c>
      <c r="Q51" s="25">
        <f>SUM(L51:P51)</f>
        <v>0</v>
      </c>
      <c r="R51" s="30"/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5">
        <f>SUM(S51:W51)</f>
        <v>0</v>
      </c>
      <c r="Y51" s="30"/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5">
        <f>SUM(Z51:AD51)</f>
        <v>0</v>
      </c>
      <c r="AF51" s="30"/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5">
        <f>SUM(AG51:AK51)</f>
        <v>0</v>
      </c>
      <c r="AN51" s="29">
        <f t="shared" ref="AN51:AR55" si="77">AG51+Z51</f>
        <v>0</v>
      </c>
      <c r="AO51" s="29">
        <f t="shared" si="77"/>
        <v>0</v>
      </c>
      <c r="AP51" s="29">
        <f t="shared" si="77"/>
        <v>0</v>
      </c>
      <c r="AQ51" s="29">
        <f t="shared" si="77"/>
        <v>0</v>
      </c>
      <c r="AR51" s="29">
        <f t="shared" si="77"/>
        <v>0</v>
      </c>
      <c r="AS51" s="25">
        <f>SUM(AN51:AR51)</f>
        <v>0</v>
      </c>
    </row>
    <row r="52" spans="1:45" x14ac:dyDescent="0.2">
      <c r="C52" s="49"/>
      <c r="E52" s="24">
        <v>0</v>
      </c>
      <c r="F52" s="24">
        <v>0</v>
      </c>
      <c r="G52" s="46">
        <v>184.51</v>
      </c>
      <c r="H52" s="24">
        <v>0</v>
      </c>
      <c r="I52" s="24">
        <v>0</v>
      </c>
      <c r="J52" s="25">
        <f>SUM(E52:I52)</f>
        <v>184.51</v>
      </c>
      <c r="K52" s="30"/>
      <c r="L52" s="24">
        <v>0</v>
      </c>
      <c r="M52" s="24">
        <v>0</v>
      </c>
      <c r="N52" s="24">
        <v>0</v>
      </c>
      <c r="O52" s="24">
        <v>115.69</v>
      </c>
      <c r="P52" s="24">
        <v>0</v>
      </c>
      <c r="Q52" s="25">
        <f t="shared" ref="Q52:Q55" si="78">SUM(L52:P52)</f>
        <v>115.69</v>
      </c>
      <c r="R52" s="30"/>
      <c r="S52" s="24">
        <v>0</v>
      </c>
      <c r="T52" s="24">
        <v>0</v>
      </c>
      <c r="U52" s="24">
        <v>16.8491</v>
      </c>
      <c r="V52" s="24">
        <v>0</v>
      </c>
      <c r="W52" s="24">
        <v>0</v>
      </c>
      <c r="X52" s="25">
        <f t="shared" ref="X52:X55" si="79">SUM(S52:W52)</f>
        <v>16.8491</v>
      </c>
      <c r="Y52" s="30"/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5">
        <f>SUM(Z52:AD52)</f>
        <v>0</v>
      </c>
      <c r="AF52" s="30"/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5">
        <f t="shared" ref="AL52:AL55" si="80">SUM(AG52:AK52)</f>
        <v>0</v>
      </c>
      <c r="AN52" s="29">
        <f t="shared" si="77"/>
        <v>0</v>
      </c>
      <c r="AO52" s="29">
        <f t="shared" si="77"/>
        <v>0</v>
      </c>
      <c r="AP52" s="29">
        <f t="shared" si="77"/>
        <v>0</v>
      </c>
      <c r="AQ52" s="29">
        <f t="shared" si="77"/>
        <v>0</v>
      </c>
      <c r="AR52" s="29">
        <f t="shared" si="77"/>
        <v>0</v>
      </c>
      <c r="AS52" s="25">
        <f t="shared" ref="AS52:AS55" si="81">SUM(AN52:AR52)</f>
        <v>0</v>
      </c>
    </row>
    <row r="53" spans="1:45" x14ac:dyDescent="0.2">
      <c r="C53" s="49"/>
      <c r="E53" s="27">
        <v>0</v>
      </c>
      <c r="F53" s="24">
        <v>0</v>
      </c>
      <c r="G53" s="24">
        <v>0</v>
      </c>
      <c r="H53" s="24">
        <v>0</v>
      </c>
      <c r="I53" s="24">
        <v>0</v>
      </c>
      <c r="J53" s="25">
        <f>SUM(E53:I53)</f>
        <v>0</v>
      </c>
      <c r="K53" s="30"/>
      <c r="L53" s="24">
        <v>0</v>
      </c>
      <c r="M53" s="46">
        <v>184.51</v>
      </c>
      <c r="N53" s="24">
        <v>0</v>
      </c>
      <c r="O53" s="24">
        <v>908.10299999999995</v>
      </c>
      <c r="P53" s="24">
        <v>0</v>
      </c>
      <c r="Q53" s="25">
        <f t="shared" si="78"/>
        <v>1092.6129999999998</v>
      </c>
      <c r="R53" s="30"/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5">
        <f t="shared" si="79"/>
        <v>0</v>
      </c>
      <c r="Y53" s="30"/>
      <c r="Z53" s="24">
        <v>0</v>
      </c>
      <c r="AA53" s="47">
        <v>148.46299999999999</v>
      </c>
      <c r="AB53" s="24">
        <v>0</v>
      </c>
      <c r="AC53" s="24">
        <v>0</v>
      </c>
      <c r="AD53" s="24">
        <v>0</v>
      </c>
      <c r="AE53" s="25">
        <f>SUM(Z53:AD53)</f>
        <v>148.46299999999999</v>
      </c>
      <c r="AF53" s="30"/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5">
        <f t="shared" si="80"/>
        <v>0</v>
      </c>
      <c r="AN53" s="29">
        <f t="shared" si="77"/>
        <v>0</v>
      </c>
      <c r="AO53" s="29">
        <f t="shared" si="77"/>
        <v>148.46299999999999</v>
      </c>
      <c r="AP53" s="29">
        <f t="shared" si="77"/>
        <v>0</v>
      </c>
      <c r="AQ53" s="29">
        <f t="shared" si="77"/>
        <v>0</v>
      </c>
      <c r="AR53" s="29">
        <f t="shared" si="77"/>
        <v>0</v>
      </c>
      <c r="AS53" s="25">
        <f t="shared" si="81"/>
        <v>148.46299999999999</v>
      </c>
    </row>
    <row r="54" spans="1:45" x14ac:dyDescent="0.2">
      <c r="C54" s="49"/>
      <c r="E54" s="24">
        <v>0</v>
      </c>
      <c r="F54" s="24">
        <v>115.69</v>
      </c>
      <c r="G54" s="24">
        <v>908.10299999999995</v>
      </c>
      <c r="H54" s="24">
        <v>0</v>
      </c>
      <c r="I54" s="24">
        <v>158.47999999999999</v>
      </c>
      <c r="J54" s="25">
        <f>SUM(E54:I54)</f>
        <v>1182.2729999999999</v>
      </c>
      <c r="K54" s="30"/>
      <c r="L54" s="24">
        <v>0</v>
      </c>
      <c r="M54" s="24">
        <v>0</v>
      </c>
      <c r="N54" s="24">
        <v>0</v>
      </c>
      <c r="O54" s="24">
        <v>0</v>
      </c>
      <c r="P54" s="24">
        <v>2717.39</v>
      </c>
      <c r="Q54" s="25">
        <f t="shared" si="78"/>
        <v>2717.39</v>
      </c>
      <c r="R54" s="30"/>
      <c r="S54" s="24">
        <v>0</v>
      </c>
      <c r="T54" s="24">
        <v>0</v>
      </c>
      <c r="U54" s="24">
        <v>56.217199999999998</v>
      </c>
      <c r="V54" s="24">
        <v>0</v>
      </c>
      <c r="W54" s="24">
        <v>0</v>
      </c>
      <c r="X54" s="25">
        <f t="shared" si="79"/>
        <v>56.217199999999998</v>
      </c>
      <c r="Y54" s="30"/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5">
        <f>SUM(Z54:AD54)</f>
        <v>0</v>
      </c>
      <c r="AF54" s="30"/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5">
        <f t="shared" si="80"/>
        <v>0</v>
      </c>
      <c r="AN54" s="29">
        <f t="shared" si="77"/>
        <v>0</v>
      </c>
      <c r="AO54" s="29">
        <f t="shared" si="77"/>
        <v>0</v>
      </c>
      <c r="AP54" s="29">
        <f t="shared" si="77"/>
        <v>0</v>
      </c>
      <c r="AQ54" s="29">
        <f t="shared" si="77"/>
        <v>0</v>
      </c>
      <c r="AR54" s="29">
        <f t="shared" si="77"/>
        <v>0</v>
      </c>
      <c r="AS54" s="25">
        <f t="shared" si="81"/>
        <v>0</v>
      </c>
    </row>
    <row r="55" spans="1:45" x14ac:dyDescent="0.2">
      <c r="C55" s="49"/>
      <c r="E55" s="24">
        <v>0</v>
      </c>
      <c r="F55" s="24">
        <v>0</v>
      </c>
      <c r="G55" s="24">
        <v>0</v>
      </c>
      <c r="H55" s="24">
        <v>2717.39</v>
      </c>
      <c r="I55" s="24">
        <v>0</v>
      </c>
      <c r="J55" s="25">
        <f>SUM(E55:I55)</f>
        <v>2717.39</v>
      </c>
      <c r="K55" s="30"/>
      <c r="L55" s="24">
        <v>0</v>
      </c>
      <c r="M55" s="24">
        <v>0</v>
      </c>
      <c r="N55" s="24">
        <v>0</v>
      </c>
      <c r="O55" s="24">
        <v>158.47999999999999</v>
      </c>
      <c r="P55" s="24">
        <v>0</v>
      </c>
      <c r="Q55" s="25">
        <f t="shared" si="78"/>
        <v>158.47999999999999</v>
      </c>
      <c r="R55" s="30"/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5">
        <f t="shared" si="79"/>
        <v>0</v>
      </c>
      <c r="Y55" s="30"/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5">
        <f>SUM(Z55:AD55)</f>
        <v>0</v>
      </c>
      <c r="AF55" s="30"/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5">
        <f t="shared" si="80"/>
        <v>0</v>
      </c>
      <c r="AN55" s="29">
        <f t="shared" si="77"/>
        <v>0</v>
      </c>
      <c r="AO55" s="29">
        <f t="shared" si="77"/>
        <v>0</v>
      </c>
      <c r="AP55" s="29">
        <f t="shared" si="77"/>
        <v>0</v>
      </c>
      <c r="AQ55" s="29">
        <f t="shared" si="77"/>
        <v>0</v>
      </c>
      <c r="AR55" s="29">
        <f t="shared" si="77"/>
        <v>0</v>
      </c>
      <c r="AS55" s="25">
        <f t="shared" si="81"/>
        <v>0</v>
      </c>
    </row>
    <row r="56" spans="1:45" s="9" customFormat="1" x14ac:dyDescent="0.2">
      <c r="A56" s="12"/>
      <c r="B56" s="12"/>
      <c r="C56" s="49"/>
      <c r="D56" s="12"/>
      <c r="E56" s="25">
        <f t="shared" ref="E56:J56" si="82">SUM(E51:E55)</f>
        <v>0</v>
      </c>
      <c r="F56" s="25">
        <f t="shared" si="82"/>
        <v>115.69</v>
      </c>
      <c r="G56" s="25">
        <f t="shared" si="82"/>
        <v>1092.6129999999998</v>
      </c>
      <c r="H56" s="25">
        <f t="shared" si="82"/>
        <v>2717.39</v>
      </c>
      <c r="I56" s="25">
        <f t="shared" si="82"/>
        <v>158.47999999999999</v>
      </c>
      <c r="J56" s="25">
        <f t="shared" si="82"/>
        <v>4084.1729999999998</v>
      </c>
      <c r="K56" s="30"/>
      <c r="L56" s="25">
        <f t="shared" ref="L56:Q56" si="83">SUM(L51:L55)</f>
        <v>0</v>
      </c>
      <c r="M56" s="25">
        <f t="shared" si="83"/>
        <v>184.51</v>
      </c>
      <c r="N56" s="25">
        <f t="shared" si="83"/>
        <v>0</v>
      </c>
      <c r="O56" s="25">
        <f t="shared" si="83"/>
        <v>1182.2729999999999</v>
      </c>
      <c r="P56" s="25">
        <f t="shared" si="83"/>
        <v>2717.39</v>
      </c>
      <c r="Q56" s="25">
        <f t="shared" si="83"/>
        <v>4084.1729999999998</v>
      </c>
      <c r="R56" s="30"/>
      <c r="S56" s="25">
        <f t="shared" ref="S56:X56" si="84">SUM(S51:S55)</f>
        <v>0</v>
      </c>
      <c r="T56" s="25">
        <f t="shared" si="84"/>
        <v>0</v>
      </c>
      <c r="U56" s="25">
        <f t="shared" si="84"/>
        <v>73.066299999999998</v>
      </c>
      <c r="V56" s="25">
        <f t="shared" si="84"/>
        <v>0</v>
      </c>
      <c r="W56" s="25">
        <f t="shared" si="84"/>
        <v>0</v>
      </c>
      <c r="X56" s="25">
        <f t="shared" si="84"/>
        <v>73.066299999999998</v>
      </c>
      <c r="Y56" s="30"/>
      <c r="Z56" s="25">
        <f t="shared" ref="Z56:AE56" si="85">SUM(Z51:Z55)</f>
        <v>0</v>
      </c>
      <c r="AA56" s="25">
        <f t="shared" si="85"/>
        <v>148.46299999999999</v>
      </c>
      <c r="AB56" s="25">
        <f t="shared" si="85"/>
        <v>0</v>
      </c>
      <c r="AC56" s="25">
        <f t="shared" si="85"/>
        <v>0</v>
      </c>
      <c r="AD56" s="25">
        <f t="shared" si="85"/>
        <v>0</v>
      </c>
      <c r="AE56" s="25">
        <f t="shared" si="85"/>
        <v>148.46299999999999</v>
      </c>
      <c r="AF56" s="30"/>
      <c r="AG56" s="25">
        <f>SUM(AG51:AG55)</f>
        <v>0</v>
      </c>
      <c r="AH56" s="25">
        <f t="shared" ref="AH56:AK56" si="86">SUM(AH51:AH55)</f>
        <v>0</v>
      </c>
      <c r="AI56" s="25">
        <f t="shared" si="86"/>
        <v>0</v>
      </c>
      <c r="AJ56" s="25">
        <f t="shared" si="86"/>
        <v>0</v>
      </c>
      <c r="AK56" s="25">
        <f t="shared" si="86"/>
        <v>0</v>
      </c>
      <c r="AL56" s="25">
        <f>SUM(AL51:AL55)</f>
        <v>0</v>
      </c>
      <c r="AM56" s="30"/>
      <c r="AN56" s="25">
        <f>SUM(AN51:AN55)</f>
        <v>0</v>
      </c>
      <c r="AO56" s="25">
        <f t="shared" ref="AO56:AS56" si="87">SUM(AO51:AO55)</f>
        <v>148.46299999999999</v>
      </c>
      <c r="AP56" s="25">
        <f t="shared" si="87"/>
        <v>0</v>
      </c>
      <c r="AQ56" s="25">
        <f t="shared" si="87"/>
        <v>0</v>
      </c>
      <c r="AR56" s="25">
        <f t="shared" si="87"/>
        <v>0</v>
      </c>
      <c r="AS56" s="25">
        <f t="shared" si="87"/>
        <v>148.46299999999999</v>
      </c>
    </row>
    <row r="58" spans="1:45" x14ac:dyDescent="0.2">
      <c r="B58" s="6">
        <v>2</v>
      </c>
      <c r="C58" s="49" t="s">
        <v>70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5">
        <f>SUM(E58:I58)</f>
        <v>0</v>
      </c>
      <c r="K58" s="30"/>
      <c r="L58" s="24">
        <v>0</v>
      </c>
      <c r="M58" s="24">
        <v>0</v>
      </c>
      <c r="N58" s="27">
        <v>0</v>
      </c>
      <c r="O58" s="24">
        <v>0</v>
      </c>
      <c r="P58" s="24">
        <v>0</v>
      </c>
      <c r="Q58" s="25">
        <f>SUM(L58:P58)</f>
        <v>0</v>
      </c>
      <c r="R58" s="30"/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5">
        <f>SUM(S58:W58)</f>
        <v>0</v>
      </c>
      <c r="Y58" s="30"/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5">
        <f>SUM(Z58:AD58)</f>
        <v>0</v>
      </c>
      <c r="AF58" s="30"/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5">
        <f>SUM(AG58:AK58)</f>
        <v>0</v>
      </c>
      <c r="AN58" s="29">
        <f t="shared" ref="AN58:AR62" si="88">AG58+Z58</f>
        <v>0</v>
      </c>
      <c r="AO58" s="29">
        <f t="shared" si="88"/>
        <v>0</v>
      </c>
      <c r="AP58" s="29">
        <f t="shared" si="88"/>
        <v>0</v>
      </c>
      <c r="AQ58" s="29">
        <f t="shared" si="88"/>
        <v>0</v>
      </c>
      <c r="AR58" s="29">
        <f t="shared" si="88"/>
        <v>0</v>
      </c>
      <c r="AS58" s="25">
        <f>SUM(AN58:AR58)</f>
        <v>0</v>
      </c>
    </row>
    <row r="59" spans="1:45" x14ac:dyDescent="0.2">
      <c r="C59" s="49"/>
      <c r="E59" s="24">
        <v>0</v>
      </c>
      <c r="F59" s="24">
        <v>0</v>
      </c>
      <c r="G59" s="33">
        <v>0</v>
      </c>
      <c r="H59" s="24">
        <v>0</v>
      </c>
      <c r="I59" s="24">
        <v>0</v>
      </c>
      <c r="J59" s="25">
        <f>SUM(E59:I59)</f>
        <v>0</v>
      </c>
      <c r="K59" s="30"/>
      <c r="L59" s="24">
        <v>0</v>
      </c>
      <c r="M59" s="24">
        <v>0</v>
      </c>
      <c r="N59" s="24">
        <v>0</v>
      </c>
      <c r="O59" s="24">
        <v>115.69</v>
      </c>
      <c r="P59" s="24">
        <v>0</v>
      </c>
      <c r="Q59" s="25">
        <f t="shared" ref="Q59:Q62" si="89">SUM(L59:P59)</f>
        <v>115.69</v>
      </c>
      <c r="R59" s="30"/>
      <c r="S59" s="24">
        <v>0</v>
      </c>
      <c r="T59" s="24">
        <v>0</v>
      </c>
      <c r="U59" s="24">
        <v>16.8491</v>
      </c>
      <c r="V59" s="24">
        <v>0</v>
      </c>
      <c r="W59" s="24">
        <v>0</v>
      </c>
      <c r="X59" s="25">
        <f t="shared" ref="X59:X62" si="90">SUM(S59:W59)</f>
        <v>16.8491</v>
      </c>
      <c r="Y59" s="30"/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5">
        <f>SUM(Z59:AD59)</f>
        <v>0</v>
      </c>
      <c r="AF59" s="30"/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5">
        <f t="shared" ref="AL59:AL62" si="91">SUM(AG59:AK59)</f>
        <v>0</v>
      </c>
      <c r="AN59" s="29">
        <f t="shared" si="88"/>
        <v>0</v>
      </c>
      <c r="AO59" s="29">
        <f t="shared" si="88"/>
        <v>0</v>
      </c>
      <c r="AP59" s="29">
        <f t="shared" si="88"/>
        <v>0</v>
      </c>
      <c r="AQ59" s="29">
        <f t="shared" si="88"/>
        <v>0</v>
      </c>
      <c r="AR59" s="29">
        <f t="shared" si="88"/>
        <v>0</v>
      </c>
      <c r="AS59" s="25">
        <f t="shared" ref="AS59:AS62" si="92">SUM(AN59:AR59)</f>
        <v>0</v>
      </c>
    </row>
    <row r="60" spans="1:45" x14ac:dyDescent="0.2">
      <c r="C60" s="49"/>
      <c r="E60" s="27">
        <v>0</v>
      </c>
      <c r="F60" s="24">
        <v>0</v>
      </c>
      <c r="G60" s="24">
        <v>0</v>
      </c>
      <c r="H60" s="24">
        <v>0</v>
      </c>
      <c r="I60" s="24">
        <v>0</v>
      </c>
      <c r="J60" s="25">
        <f>SUM(E60:I60)</f>
        <v>0</v>
      </c>
      <c r="K60" s="30"/>
      <c r="L60" s="24">
        <v>0</v>
      </c>
      <c r="M60" s="33">
        <v>0</v>
      </c>
      <c r="N60" s="24">
        <v>0</v>
      </c>
      <c r="O60" s="24">
        <v>908.10299999999995</v>
      </c>
      <c r="P60" s="24">
        <v>0</v>
      </c>
      <c r="Q60" s="25">
        <f t="shared" si="89"/>
        <v>908.10299999999995</v>
      </c>
      <c r="R60" s="30"/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5">
        <f t="shared" si="90"/>
        <v>0</v>
      </c>
      <c r="Y60" s="30"/>
      <c r="Z60" s="24">
        <v>0</v>
      </c>
      <c r="AA60" s="24">
        <v>148.46299999999999</v>
      </c>
      <c r="AB60" s="24">
        <v>0</v>
      </c>
      <c r="AC60" s="24">
        <v>0</v>
      </c>
      <c r="AD60" s="24">
        <v>0</v>
      </c>
      <c r="AE60" s="25">
        <f>SUM(Z60:AD60)</f>
        <v>148.46299999999999</v>
      </c>
      <c r="AF60" s="30"/>
      <c r="AG60" s="24">
        <v>0</v>
      </c>
      <c r="AH60" s="33">
        <v>184.51</v>
      </c>
      <c r="AI60" s="24">
        <v>0</v>
      </c>
      <c r="AJ60" s="24">
        <v>0</v>
      </c>
      <c r="AK60" s="24">
        <v>0</v>
      </c>
      <c r="AL60" s="25">
        <f t="shared" si="91"/>
        <v>184.51</v>
      </c>
      <c r="AN60" s="29">
        <f t="shared" si="88"/>
        <v>0</v>
      </c>
      <c r="AO60" s="29">
        <f t="shared" si="88"/>
        <v>332.97299999999996</v>
      </c>
      <c r="AP60" s="29">
        <f t="shared" si="88"/>
        <v>0</v>
      </c>
      <c r="AQ60" s="29">
        <f t="shared" si="88"/>
        <v>0</v>
      </c>
      <c r="AR60" s="29">
        <f t="shared" si="88"/>
        <v>0</v>
      </c>
      <c r="AS60" s="25">
        <f t="shared" si="92"/>
        <v>332.97299999999996</v>
      </c>
    </row>
    <row r="61" spans="1:45" x14ac:dyDescent="0.2">
      <c r="C61" s="49"/>
      <c r="E61" s="24">
        <v>0</v>
      </c>
      <c r="F61" s="24">
        <v>115.69</v>
      </c>
      <c r="G61" s="24">
        <v>908.10299999999995</v>
      </c>
      <c r="H61" s="24">
        <v>0</v>
      </c>
      <c r="I61" s="24">
        <v>158.47999999999999</v>
      </c>
      <c r="J61" s="25">
        <f>SUM(E61:I61)</f>
        <v>1182.2729999999999</v>
      </c>
      <c r="K61" s="30"/>
      <c r="L61" s="24">
        <v>0</v>
      </c>
      <c r="M61" s="24">
        <v>0</v>
      </c>
      <c r="N61" s="24">
        <v>0</v>
      </c>
      <c r="O61" s="24">
        <v>0</v>
      </c>
      <c r="P61" s="24">
        <v>2717.39</v>
      </c>
      <c r="Q61" s="25">
        <f t="shared" si="89"/>
        <v>2717.39</v>
      </c>
      <c r="R61" s="30"/>
      <c r="S61" s="24">
        <v>0</v>
      </c>
      <c r="T61" s="24">
        <v>0</v>
      </c>
      <c r="U61" s="24">
        <v>56.217199999999998</v>
      </c>
      <c r="V61" s="24">
        <v>0</v>
      </c>
      <c r="W61" s="24">
        <v>0</v>
      </c>
      <c r="X61" s="25">
        <f t="shared" si="90"/>
        <v>56.217199999999998</v>
      </c>
      <c r="Y61" s="30"/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5">
        <f>SUM(Z61:AD61)</f>
        <v>0</v>
      </c>
      <c r="AF61" s="30"/>
      <c r="AG61" s="24">
        <v>0</v>
      </c>
      <c r="AH61" s="24">
        <v>0</v>
      </c>
      <c r="AI61" s="24">
        <v>0</v>
      </c>
      <c r="AJ61" s="24">
        <v>0</v>
      </c>
      <c r="AK61" s="24">
        <v>0</v>
      </c>
      <c r="AL61" s="25">
        <f t="shared" si="91"/>
        <v>0</v>
      </c>
      <c r="AN61" s="29">
        <f t="shared" si="88"/>
        <v>0</v>
      </c>
      <c r="AO61" s="29">
        <f t="shared" si="88"/>
        <v>0</v>
      </c>
      <c r="AP61" s="29">
        <f t="shared" si="88"/>
        <v>0</v>
      </c>
      <c r="AQ61" s="29">
        <f t="shared" si="88"/>
        <v>0</v>
      </c>
      <c r="AR61" s="29">
        <f t="shared" si="88"/>
        <v>0</v>
      </c>
      <c r="AS61" s="25">
        <f t="shared" si="92"/>
        <v>0</v>
      </c>
    </row>
    <row r="62" spans="1:45" x14ac:dyDescent="0.2">
      <c r="C62" s="49"/>
      <c r="E62" s="24">
        <v>0</v>
      </c>
      <c r="F62" s="24">
        <v>0</v>
      </c>
      <c r="G62" s="24">
        <v>0</v>
      </c>
      <c r="H62" s="24">
        <v>2717.39</v>
      </c>
      <c r="I62" s="24">
        <v>0</v>
      </c>
      <c r="J62" s="25">
        <f>SUM(E62:I62)</f>
        <v>2717.39</v>
      </c>
      <c r="K62" s="30"/>
      <c r="L62" s="24">
        <v>0</v>
      </c>
      <c r="M62" s="24">
        <v>0</v>
      </c>
      <c r="N62" s="24">
        <v>0</v>
      </c>
      <c r="O62" s="24">
        <v>158.47999999999999</v>
      </c>
      <c r="P62" s="24">
        <v>0</v>
      </c>
      <c r="Q62" s="25">
        <f t="shared" si="89"/>
        <v>158.47999999999999</v>
      </c>
      <c r="R62" s="30"/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5">
        <f t="shared" si="90"/>
        <v>0</v>
      </c>
      <c r="Y62" s="30"/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5">
        <f>SUM(Z62:AD62)</f>
        <v>0</v>
      </c>
      <c r="AF62" s="30"/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5">
        <f t="shared" si="91"/>
        <v>0</v>
      </c>
      <c r="AN62" s="29">
        <f t="shared" si="88"/>
        <v>0</v>
      </c>
      <c r="AO62" s="29">
        <f t="shared" si="88"/>
        <v>0</v>
      </c>
      <c r="AP62" s="29">
        <f t="shared" si="88"/>
        <v>0</v>
      </c>
      <c r="AQ62" s="29">
        <f t="shared" si="88"/>
        <v>0</v>
      </c>
      <c r="AR62" s="29">
        <f t="shared" si="88"/>
        <v>0</v>
      </c>
      <c r="AS62" s="25">
        <f t="shared" si="92"/>
        <v>0</v>
      </c>
    </row>
    <row r="63" spans="1:45" s="9" customFormat="1" x14ac:dyDescent="0.2">
      <c r="A63" s="12"/>
      <c r="B63" s="12"/>
      <c r="C63" s="49"/>
      <c r="D63" s="12"/>
      <c r="E63" s="25">
        <f t="shared" ref="E63:J63" si="93">SUM(E58:E62)</f>
        <v>0</v>
      </c>
      <c r="F63" s="25">
        <f t="shared" si="93"/>
        <v>115.69</v>
      </c>
      <c r="G63" s="25">
        <f t="shared" si="93"/>
        <v>908.10299999999995</v>
      </c>
      <c r="H63" s="25">
        <f t="shared" si="93"/>
        <v>2717.39</v>
      </c>
      <c r="I63" s="25">
        <f t="shared" si="93"/>
        <v>158.47999999999999</v>
      </c>
      <c r="J63" s="25">
        <f t="shared" si="93"/>
        <v>3899.6629999999996</v>
      </c>
      <c r="K63" s="30"/>
      <c r="L63" s="25">
        <f t="shared" ref="L63:Q63" si="94">SUM(L58:L62)</f>
        <v>0</v>
      </c>
      <c r="M63" s="25">
        <f t="shared" si="94"/>
        <v>0</v>
      </c>
      <c r="N63" s="25">
        <f t="shared" si="94"/>
        <v>0</v>
      </c>
      <c r="O63" s="25">
        <f t="shared" si="94"/>
        <v>1182.2729999999999</v>
      </c>
      <c r="P63" s="25">
        <f t="shared" si="94"/>
        <v>2717.39</v>
      </c>
      <c r="Q63" s="25">
        <f t="shared" si="94"/>
        <v>3899.663</v>
      </c>
      <c r="R63" s="30"/>
      <c r="S63" s="25">
        <f t="shared" ref="S63:X63" si="95">SUM(S58:S62)</f>
        <v>0</v>
      </c>
      <c r="T63" s="25">
        <f t="shared" si="95"/>
        <v>0</v>
      </c>
      <c r="U63" s="25">
        <f t="shared" si="95"/>
        <v>73.066299999999998</v>
      </c>
      <c r="V63" s="25">
        <f t="shared" si="95"/>
        <v>0</v>
      </c>
      <c r="W63" s="25">
        <f t="shared" si="95"/>
        <v>0</v>
      </c>
      <c r="X63" s="25">
        <f t="shared" si="95"/>
        <v>73.066299999999998</v>
      </c>
      <c r="Y63" s="30"/>
      <c r="Z63" s="25">
        <f t="shared" ref="Z63:AE63" si="96">SUM(Z58:Z62)</f>
        <v>0</v>
      </c>
      <c r="AA63" s="25">
        <f t="shared" si="96"/>
        <v>148.46299999999999</v>
      </c>
      <c r="AB63" s="25">
        <f t="shared" si="96"/>
        <v>0</v>
      </c>
      <c r="AC63" s="25">
        <f t="shared" si="96"/>
        <v>0</v>
      </c>
      <c r="AD63" s="25">
        <f t="shared" si="96"/>
        <v>0</v>
      </c>
      <c r="AE63" s="25">
        <f t="shared" si="96"/>
        <v>148.46299999999999</v>
      </c>
      <c r="AF63" s="30"/>
      <c r="AG63" s="25">
        <f>SUM(AG58:AG62)</f>
        <v>0</v>
      </c>
      <c r="AH63" s="25">
        <f t="shared" ref="AH63:AK63" si="97">SUM(AH58:AH62)</f>
        <v>184.51</v>
      </c>
      <c r="AI63" s="25">
        <f t="shared" si="97"/>
        <v>0</v>
      </c>
      <c r="AJ63" s="25">
        <f t="shared" si="97"/>
        <v>0</v>
      </c>
      <c r="AK63" s="25">
        <f t="shared" si="97"/>
        <v>0</v>
      </c>
      <c r="AL63" s="25">
        <f>SUM(AL58:AL62)</f>
        <v>184.51</v>
      </c>
      <c r="AM63" s="30"/>
      <c r="AN63" s="25">
        <f>SUM(AN58:AN62)</f>
        <v>0</v>
      </c>
      <c r="AO63" s="25">
        <f t="shared" ref="AO63:AS63" si="98">SUM(AO58:AO62)</f>
        <v>332.97299999999996</v>
      </c>
      <c r="AP63" s="25">
        <f t="shared" si="98"/>
        <v>0</v>
      </c>
      <c r="AQ63" s="25">
        <f t="shared" si="98"/>
        <v>0</v>
      </c>
      <c r="AR63" s="25">
        <f t="shared" si="98"/>
        <v>0</v>
      </c>
      <c r="AS63" s="25">
        <f t="shared" si="98"/>
        <v>332.97299999999996</v>
      </c>
    </row>
    <row r="65" spans="1:45" x14ac:dyDescent="0.2">
      <c r="B65" s="6">
        <v>2</v>
      </c>
      <c r="C65" s="49" t="s">
        <v>73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5">
        <f>SUM(E65:I65)</f>
        <v>0</v>
      </c>
      <c r="K65" s="30"/>
      <c r="L65" s="24">
        <v>0</v>
      </c>
      <c r="M65" s="24">
        <v>0</v>
      </c>
      <c r="N65" s="27">
        <v>0</v>
      </c>
      <c r="O65" s="24">
        <v>0</v>
      </c>
      <c r="P65" s="24">
        <v>0</v>
      </c>
      <c r="Q65" s="25">
        <f>SUM(L65:P65)</f>
        <v>0</v>
      </c>
      <c r="R65" s="30"/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5">
        <f>SUM(S65:W65)</f>
        <v>0</v>
      </c>
      <c r="Y65" s="30"/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5">
        <f>SUM(Z65:AD65)</f>
        <v>0</v>
      </c>
      <c r="AF65" s="30"/>
      <c r="AG65" s="24">
        <v>0</v>
      </c>
      <c r="AH65" s="24">
        <v>0</v>
      </c>
      <c r="AI65" s="24">
        <v>0</v>
      </c>
      <c r="AJ65" s="24">
        <v>0</v>
      </c>
      <c r="AK65" s="24">
        <v>0</v>
      </c>
      <c r="AL65" s="25">
        <f>SUM(AG65:AK65)</f>
        <v>0</v>
      </c>
      <c r="AN65" s="29">
        <f t="shared" ref="AN65:AR69" si="99">AG65+Z65</f>
        <v>0</v>
      </c>
      <c r="AO65" s="29">
        <f t="shared" si="99"/>
        <v>0</v>
      </c>
      <c r="AP65" s="29">
        <f t="shared" si="99"/>
        <v>0</v>
      </c>
      <c r="AQ65" s="29">
        <f t="shared" si="99"/>
        <v>0</v>
      </c>
      <c r="AR65" s="29">
        <f t="shared" si="99"/>
        <v>0</v>
      </c>
      <c r="AS65" s="25">
        <f>SUM(AN65:AR65)</f>
        <v>0</v>
      </c>
    </row>
    <row r="66" spans="1:45" x14ac:dyDescent="0.2">
      <c r="C66" s="49"/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5">
        <f>SUM(E66:I66)</f>
        <v>0</v>
      </c>
      <c r="K66" s="30"/>
      <c r="L66" s="24">
        <v>0</v>
      </c>
      <c r="M66" s="24">
        <v>0</v>
      </c>
      <c r="N66" s="24">
        <v>0</v>
      </c>
      <c r="O66" s="34">
        <v>0</v>
      </c>
      <c r="P66" s="24">
        <v>0</v>
      </c>
      <c r="Q66" s="25">
        <f t="shared" ref="Q66:Q69" si="100">SUM(L66:P66)</f>
        <v>0</v>
      </c>
      <c r="R66" s="30"/>
      <c r="S66" s="24">
        <v>0</v>
      </c>
      <c r="T66" s="24">
        <v>0</v>
      </c>
      <c r="U66" s="24">
        <v>16.8491</v>
      </c>
      <c r="V66" s="24">
        <v>0</v>
      </c>
      <c r="W66" s="24">
        <v>0</v>
      </c>
      <c r="X66" s="25">
        <f t="shared" ref="X66:X69" si="101">SUM(S66:W66)</f>
        <v>16.8491</v>
      </c>
      <c r="Y66" s="30"/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5">
        <f>SUM(Z66:AD66)</f>
        <v>0</v>
      </c>
      <c r="AF66" s="30"/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5">
        <f t="shared" ref="AL66:AL69" si="102">SUM(AG66:AK66)</f>
        <v>0</v>
      </c>
      <c r="AN66" s="29">
        <f t="shared" si="99"/>
        <v>0</v>
      </c>
      <c r="AO66" s="29">
        <f t="shared" si="99"/>
        <v>0</v>
      </c>
      <c r="AP66" s="29">
        <f t="shared" si="99"/>
        <v>0</v>
      </c>
      <c r="AQ66" s="29">
        <f t="shared" si="99"/>
        <v>0</v>
      </c>
      <c r="AR66" s="29">
        <f t="shared" si="99"/>
        <v>0</v>
      </c>
      <c r="AS66" s="25">
        <f t="shared" ref="AS66:AS69" si="103">SUM(AN66:AR66)</f>
        <v>0</v>
      </c>
    </row>
    <row r="67" spans="1:45" x14ac:dyDescent="0.2">
      <c r="C67" s="49"/>
      <c r="E67" s="27">
        <v>0</v>
      </c>
      <c r="F67" s="24">
        <v>0</v>
      </c>
      <c r="G67" s="24">
        <v>0</v>
      </c>
      <c r="H67" s="24">
        <v>0</v>
      </c>
      <c r="I67" s="24">
        <v>0</v>
      </c>
      <c r="J67" s="25">
        <f>SUM(E67:I67)</f>
        <v>0</v>
      </c>
      <c r="K67" s="30"/>
      <c r="L67" s="24">
        <v>0</v>
      </c>
      <c r="M67" s="24">
        <v>0</v>
      </c>
      <c r="N67" s="24">
        <v>0</v>
      </c>
      <c r="O67" s="34">
        <v>0</v>
      </c>
      <c r="P67" s="24">
        <v>0</v>
      </c>
      <c r="Q67" s="25">
        <f t="shared" si="100"/>
        <v>0</v>
      </c>
      <c r="R67" s="30"/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5">
        <f t="shared" si="101"/>
        <v>0</v>
      </c>
      <c r="Y67" s="30"/>
      <c r="Z67" s="24">
        <v>0</v>
      </c>
      <c r="AA67" s="24">
        <v>148.46299999999999</v>
      </c>
      <c r="AB67" s="24">
        <v>0</v>
      </c>
      <c r="AC67" s="24">
        <v>0</v>
      </c>
      <c r="AD67" s="24">
        <v>0</v>
      </c>
      <c r="AE67" s="25">
        <f>SUM(Z67:AD67)</f>
        <v>148.46299999999999</v>
      </c>
      <c r="AF67" s="30"/>
      <c r="AG67" s="24">
        <v>0</v>
      </c>
      <c r="AH67" s="24">
        <v>184.51</v>
      </c>
      <c r="AI67" s="24">
        <v>0</v>
      </c>
      <c r="AJ67" s="24">
        <v>0</v>
      </c>
      <c r="AK67" s="24">
        <v>0</v>
      </c>
      <c r="AL67" s="25">
        <f t="shared" si="102"/>
        <v>184.51</v>
      </c>
      <c r="AN67" s="29">
        <f t="shared" si="99"/>
        <v>0</v>
      </c>
      <c r="AO67" s="29">
        <f t="shared" si="99"/>
        <v>332.97299999999996</v>
      </c>
      <c r="AP67" s="29">
        <f t="shared" si="99"/>
        <v>0</v>
      </c>
      <c r="AQ67" s="29">
        <f t="shared" si="99"/>
        <v>0</v>
      </c>
      <c r="AR67" s="29">
        <f t="shared" si="99"/>
        <v>0</v>
      </c>
      <c r="AS67" s="25">
        <f t="shared" si="103"/>
        <v>332.97299999999996</v>
      </c>
    </row>
    <row r="68" spans="1:45" x14ac:dyDescent="0.2">
      <c r="C68" s="49"/>
      <c r="E68" s="24">
        <v>0</v>
      </c>
      <c r="F68" s="34">
        <v>0</v>
      </c>
      <c r="G68" s="34">
        <v>0</v>
      </c>
      <c r="H68" s="24">
        <v>0</v>
      </c>
      <c r="I68" s="24">
        <v>158.47999999999999</v>
      </c>
      <c r="J68" s="25">
        <f>SUM(E68:I68)</f>
        <v>158.47999999999999</v>
      </c>
      <c r="K68" s="30"/>
      <c r="L68" s="24">
        <v>0</v>
      </c>
      <c r="M68" s="24">
        <v>0</v>
      </c>
      <c r="N68" s="24">
        <v>0</v>
      </c>
      <c r="O68" s="24">
        <v>0</v>
      </c>
      <c r="P68" s="24">
        <v>2717.39</v>
      </c>
      <c r="Q68" s="25">
        <f t="shared" si="100"/>
        <v>2717.39</v>
      </c>
      <c r="R68" s="30"/>
      <c r="S68" s="24">
        <v>0</v>
      </c>
      <c r="T68" s="24">
        <v>0</v>
      </c>
      <c r="U68" s="24">
        <v>56.217199999999998</v>
      </c>
      <c r="V68" s="24">
        <v>0</v>
      </c>
      <c r="W68" s="24">
        <v>0</v>
      </c>
      <c r="X68" s="25">
        <f t="shared" si="101"/>
        <v>56.217199999999998</v>
      </c>
      <c r="Y68" s="30"/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5">
        <f>SUM(Z68:AD68)</f>
        <v>0</v>
      </c>
      <c r="AF68" s="30"/>
      <c r="AG68" s="24">
        <v>0</v>
      </c>
      <c r="AH68" s="24">
        <v>0</v>
      </c>
      <c r="AI68" s="24">
        <v>0</v>
      </c>
      <c r="AJ68" s="24">
        <v>0</v>
      </c>
      <c r="AK68" s="24">
        <v>0</v>
      </c>
      <c r="AL68" s="25">
        <f t="shared" si="102"/>
        <v>0</v>
      </c>
      <c r="AN68" s="29">
        <f t="shared" si="99"/>
        <v>0</v>
      </c>
      <c r="AO68" s="29">
        <f t="shared" si="99"/>
        <v>0</v>
      </c>
      <c r="AP68" s="29">
        <f t="shared" si="99"/>
        <v>0</v>
      </c>
      <c r="AQ68" s="29">
        <f t="shared" si="99"/>
        <v>0</v>
      </c>
      <c r="AR68" s="29">
        <f t="shared" si="99"/>
        <v>0</v>
      </c>
      <c r="AS68" s="25">
        <f t="shared" si="103"/>
        <v>0</v>
      </c>
    </row>
    <row r="69" spans="1:45" x14ac:dyDescent="0.2">
      <c r="C69" s="49"/>
      <c r="E69" s="24">
        <v>0</v>
      </c>
      <c r="F69" s="24">
        <v>0</v>
      </c>
      <c r="G69" s="24">
        <v>0</v>
      </c>
      <c r="H69" s="24">
        <v>2717.39</v>
      </c>
      <c r="I69" s="24">
        <v>0</v>
      </c>
      <c r="J69" s="25">
        <f>SUM(E69:I69)</f>
        <v>2717.39</v>
      </c>
      <c r="K69" s="30"/>
      <c r="L69" s="24">
        <v>0</v>
      </c>
      <c r="M69" s="24">
        <v>0</v>
      </c>
      <c r="N69" s="24">
        <v>0</v>
      </c>
      <c r="O69" s="24">
        <v>158.47999999999999</v>
      </c>
      <c r="P69" s="24">
        <v>0</v>
      </c>
      <c r="Q69" s="25">
        <f t="shared" si="100"/>
        <v>158.47999999999999</v>
      </c>
      <c r="R69" s="30"/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5">
        <f t="shared" si="101"/>
        <v>0</v>
      </c>
      <c r="Y69" s="30"/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5">
        <f>SUM(Z69:AD69)</f>
        <v>0</v>
      </c>
      <c r="AF69" s="30"/>
      <c r="AG69" s="24">
        <v>0</v>
      </c>
      <c r="AH69" s="24">
        <v>0</v>
      </c>
      <c r="AI69" s="24">
        <v>0</v>
      </c>
      <c r="AJ69" s="24">
        <v>0</v>
      </c>
      <c r="AK69" s="24">
        <v>0</v>
      </c>
      <c r="AL69" s="25">
        <f t="shared" si="102"/>
        <v>0</v>
      </c>
      <c r="AN69" s="29">
        <f t="shared" si="99"/>
        <v>0</v>
      </c>
      <c r="AO69" s="29">
        <f t="shared" si="99"/>
        <v>0</v>
      </c>
      <c r="AP69" s="29">
        <f t="shared" si="99"/>
        <v>0</v>
      </c>
      <c r="AQ69" s="29">
        <f t="shared" si="99"/>
        <v>0</v>
      </c>
      <c r="AR69" s="29">
        <f t="shared" si="99"/>
        <v>0</v>
      </c>
      <c r="AS69" s="25">
        <f t="shared" si="103"/>
        <v>0</v>
      </c>
    </row>
    <row r="70" spans="1:45" s="9" customFormat="1" x14ac:dyDescent="0.2">
      <c r="A70" s="12"/>
      <c r="B70" s="12"/>
      <c r="C70" s="49"/>
      <c r="D70" s="12"/>
      <c r="E70" s="25">
        <f t="shared" ref="E70:J70" si="104">SUM(E65:E69)</f>
        <v>0</v>
      </c>
      <c r="F70" s="25">
        <f t="shared" si="104"/>
        <v>0</v>
      </c>
      <c r="G70" s="25">
        <f t="shared" si="104"/>
        <v>0</v>
      </c>
      <c r="H70" s="25">
        <f t="shared" si="104"/>
        <v>2717.39</v>
      </c>
      <c r="I70" s="25">
        <f t="shared" si="104"/>
        <v>158.47999999999999</v>
      </c>
      <c r="J70" s="25">
        <f t="shared" si="104"/>
        <v>2875.87</v>
      </c>
      <c r="K70" s="30"/>
      <c r="L70" s="25">
        <f t="shared" ref="L70:Q70" si="105">SUM(L65:L69)</f>
        <v>0</v>
      </c>
      <c r="M70" s="25">
        <f t="shared" si="105"/>
        <v>0</v>
      </c>
      <c r="N70" s="25">
        <f t="shared" si="105"/>
        <v>0</v>
      </c>
      <c r="O70" s="25">
        <f t="shared" si="105"/>
        <v>158.47999999999999</v>
      </c>
      <c r="P70" s="25">
        <f t="shared" si="105"/>
        <v>2717.39</v>
      </c>
      <c r="Q70" s="25">
        <f t="shared" si="105"/>
        <v>2875.87</v>
      </c>
      <c r="R70" s="30"/>
      <c r="S70" s="25">
        <f t="shared" ref="S70:X70" si="106">SUM(S65:S69)</f>
        <v>0</v>
      </c>
      <c r="T70" s="25">
        <f t="shared" si="106"/>
        <v>0</v>
      </c>
      <c r="U70" s="25">
        <f t="shared" si="106"/>
        <v>73.066299999999998</v>
      </c>
      <c r="V70" s="25">
        <f t="shared" si="106"/>
        <v>0</v>
      </c>
      <c r="W70" s="25">
        <f t="shared" si="106"/>
        <v>0</v>
      </c>
      <c r="X70" s="25">
        <f t="shared" si="106"/>
        <v>73.066299999999998</v>
      </c>
      <c r="Y70" s="30"/>
      <c r="Z70" s="25">
        <f t="shared" ref="Z70:AE70" si="107">SUM(Z65:Z69)</f>
        <v>0</v>
      </c>
      <c r="AA70" s="25">
        <f t="shared" si="107"/>
        <v>148.46299999999999</v>
      </c>
      <c r="AB70" s="25">
        <f t="shared" si="107"/>
        <v>0</v>
      </c>
      <c r="AC70" s="25">
        <f t="shared" si="107"/>
        <v>0</v>
      </c>
      <c r="AD70" s="25">
        <f t="shared" si="107"/>
        <v>0</v>
      </c>
      <c r="AE70" s="25">
        <f t="shared" si="107"/>
        <v>148.46299999999999</v>
      </c>
      <c r="AF70" s="30"/>
      <c r="AG70" s="25">
        <f>SUM(AG65:AG69)</f>
        <v>0</v>
      </c>
      <c r="AH70" s="25">
        <f t="shared" ref="AH70:AK70" si="108">SUM(AH65:AH69)</f>
        <v>184.51</v>
      </c>
      <c r="AI70" s="25">
        <f t="shared" si="108"/>
        <v>0</v>
      </c>
      <c r="AJ70" s="25">
        <f t="shared" si="108"/>
        <v>0</v>
      </c>
      <c r="AK70" s="25">
        <f t="shared" si="108"/>
        <v>0</v>
      </c>
      <c r="AL70" s="25">
        <f>SUM(AL65:AL69)</f>
        <v>184.51</v>
      </c>
      <c r="AM70" s="30"/>
      <c r="AN70" s="25">
        <f>SUM(AN65:AN69)</f>
        <v>0</v>
      </c>
      <c r="AO70" s="25">
        <f t="shared" ref="AO70:AS70" si="109">SUM(AO65:AO69)</f>
        <v>332.97299999999996</v>
      </c>
      <c r="AP70" s="25">
        <f t="shared" si="109"/>
        <v>0</v>
      </c>
      <c r="AQ70" s="25">
        <f t="shared" si="109"/>
        <v>0</v>
      </c>
      <c r="AR70" s="25">
        <f t="shared" si="109"/>
        <v>0</v>
      </c>
      <c r="AS70" s="25">
        <f t="shared" si="109"/>
        <v>332.97299999999996</v>
      </c>
    </row>
    <row r="72" spans="1:45" x14ac:dyDescent="0.2">
      <c r="B72" s="6">
        <v>3</v>
      </c>
      <c r="C72" s="49" t="s">
        <v>67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5">
        <f>SUM(E72:I72)</f>
        <v>0</v>
      </c>
      <c r="K72" s="30"/>
      <c r="L72" s="24">
        <v>0</v>
      </c>
      <c r="M72" s="24">
        <v>0</v>
      </c>
      <c r="N72" s="27">
        <v>0</v>
      </c>
      <c r="O72" s="24">
        <v>0</v>
      </c>
      <c r="P72" s="24">
        <v>0</v>
      </c>
      <c r="Q72" s="25">
        <f>SUM(L72:P72)</f>
        <v>0</v>
      </c>
      <c r="R72" s="30"/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25">
        <f>SUM(S72:W72)</f>
        <v>0</v>
      </c>
      <c r="Y72" s="30"/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25">
        <f>SUM(Z72:AD72)</f>
        <v>0</v>
      </c>
      <c r="AF72" s="30"/>
      <c r="AG72" s="36">
        <v>0</v>
      </c>
      <c r="AH72" s="36">
        <v>0</v>
      </c>
      <c r="AI72" s="36">
        <v>0</v>
      </c>
      <c r="AJ72" s="36">
        <v>0</v>
      </c>
      <c r="AK72" s="36">
        <v>0</v>
      </c>
      <c r="AL72" s="25">
        <f>SUM(AG72:AK72)</f>
        <v>0</v>
      </c>
      <c r="AN72" s="29">
        <f t="shared" ref="AN72:AR76" si="110">AG72+Z72</f>
        <v>0</v>
      </c>
      <c r="AO72" s="29">
        <f t="shared" si="110"/>
        <v>0</v>
      </c>
      <c r="AP72" s="29">
        <f t="shared" si="110"/>
        <v>0</v>
      </c>
      <c r="AQ72" s="29">
        <f t="shared" si="110"/>
        <v>0</v>
      </c>
      <c r="AR72" s="29">
        <f t="shared" si="110"/>
        <v>0</v>
      </c>
      <c r="AS72" s="25">
        <f>SUM(AN72:AR72)</f>
        <v>0</v>
      </c>
    </row>
    <row r="73" spans="1:45" x14ac:dyDescent="0.2">
      <c r="C73" s="49"/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5">
        <f>SUM(E73:I73)</f>
        <v>0</v>
      </c>
      <c r="K73" s="30"/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5">
        <f t="shared" ref="Q73:Q76" si="111">SUM(L73:P73)</f>
        <v>0</v>
      </c>
      <c r="R73" s="30"/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25">
        <f t="shared" ref="X73:X76" si="112">SUM(S73:W73)</f>
        <v>0</v>
      </c>
      <c r="Y73" s="30"/>
      <c r="Z73" s="36">
        <v>0</v>
      </c>
      <c r="AA73" s="36">
        <v>0</v>
      </c>
      <c r="AB73" s="36">
        <v>0</v>
      </c>
      <c r="AC73" s="36">
        <v>0</v>
      </c>
      <c r="AD73" s="36">
        <v>0</v>
      </c>
      <c r="AE73" s="25">
        <f>SUM(Z73:AD73)</f>
        <v>0</v>
      </c>
      <c r="AF73" s="30"/>
      <c r="AG73" s="36">
        <v>0</v>
      </c>
      <c r="AH73" s="36">
        <v>0</v>
      </c>
      <c r="AI73" s="36">
        <v>0</v>
      </c>
      <c r="AJ73" s="36">
        <v>0</v>
      </c>
      <c r="AK73" s="36">
        <v>0</v>
      </c>
      <c r="AL73" s="25">
        <f t="shared" ref="AL73:AL76" si="113">SUM(AG73:AK73)</f>
        <v>0</v>
      </c>
      <c r="AN73" s="29">
        <f t="shared" si="110"/>
        <v>0</v>
      </c>
      <c r="AO73" s="29">
        <f t="shared" si="110"/>
        <v>0</v>
      </c>
      <c r="AP73" s="29">
        <f t="shared" si="110"/>
        <v>0</v>
      </c>
      <c r="AQ73" s="29">
        <f t="shared" si="110"/>
        <v>0</v>
      </c>
      <c r="AR73" s="29">
        <f t="shared" si="110"/>
        <v>0</v>
      </c>
      <c r="AS73" s="25">
        <f t="shared" ref="AS73:AS76" si="114">SUM(AN73:AR73)</f>
        <v>0</v>
      </c>
    </row>
    <row r="74" spans="1:45" x14ac:dyDescent="0.2">
      <c r="C74" s="49"/>
      <c r="E74" s="27">
        <v>0</v>
      </c>
      <c r="F74" s="24">
        <v>0</v>
      </c>
      <c r="G74" s="24">
        <v>0</v>
      </c>
      <c r="H74" s="24">
        <v>0</v>
      </c>
      <c r="I74" s="24">
        <v>0</v>
      </c>
      <c r="J74" s="25">
        <f>SUM(E74:I74)</f>
        <v>0</v>
      </c>
      <c r="K74" s="30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5">
        <f t="shared" si="111"/>
        <v>0</v>
      </c>
      <c r="R74" s="30"/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25">
        <f t="shared" si="112"/>
        <v>0</v>
      </c>
      <c r="Y74" s="30"/>
      <c r="Z74" s="36">
        <v>0</v>
      </c>
      <c r="AA74" s="36">
        <v>0</v>
      </c>
      <c r="AB74" s="36">
        <v>0</v>
      </c>
      <c r="AC74" s="36">
        <v>0</v>
      </c>
      <c r="AD74" s="36">
        <v>0</v>
      </c>
      <c r="AE74" s="25">
        <f>SUM(Z74:AD74)</f>
        <v>0</v>
      </c>
      <c r="AF74" s="30"/>
      <c r="AG74" s="36">
        <v>0</v>
      </c>
      <c r="AH74" s="36">
        <v>0</v>
      </c>
      <c r="AI74" s="36">
        <v>0</v>
      </c>
      <c r="AJ74" s="36">
        <v>0</v>
      </c>
      <c r="AK74" s="36">
        <v>0</v>
      </c>
      <c r="AL74" s="25">
        <f t="shared" si="113"/>
        <v>0</v>
      </c>
      <c r="AN74" s="29">
        <f t="shared" si="110"/>
        <v>0</v>
      </c>
      <c r="AO74" s="29">
        <f t="shared" si="110"/>
        <v>0</v>
      </c>
      <c r="AP74" s="29">
        <f t="shared" si="110"/>
        <v>0</v>
      </c>
      <c r="AQ74" s="29">
        <f t="shared" si="110"/>
        <v>0</v>
      </c>
      <c r="AR74" s="29">
        <f t="shared" si="110"/>
        <v>0</v>
      </c>
      <c r="AS74" s="25">
        <f t="shared" si="114"/>
        <v>0</v>
      </c>
    </row>
    <row r="75" spans="1:45" x14ac:dyDescent="0.2">
      <c r="C75" s="49"/>
      <c r="E75" s="24">
        <v>0</v>
      </c>
      <c r="F75" s="24">
        <v>0</v>
      </c>
      <c r="G75" s="24">
        <v>0</v>
      </c>
      <c r="H75" s="24">
        <v>0</v>
      </c>
      <c r="I75" s="24">
        <v>158.47999999999999</v>
      </c>
      <c r="J75" s="25">
        <f>SUM(E75:I75)</f>
        <v>158.47999999999999</v>
      </c>
      <c r="K75" s="30"/>
      <c r="L75" s="24">
        <v>0</v>
      </c>
      <c r="M75" s="24">
        <v>0</v>
      </c>
      <c r="N75" s="24">
        <v>0</v>
      </c>
      <c r="O75" s="24">
        <v>0</v>
      </c>
      <c r="P75" s="24">
        <v>2717.39</v>
      </c>
      <c r="Q75" s="25">
        <f t="shared" si="111"/>
        <v>2717.39</v>
      </c>
      <c r="R75" s="30"/>
      <c r="S75" s="36">
        <v>0</v>
      </c>
      <c r="T75" s="36">
        <v>0</v>
      </c>
      <c r="U75" s="36">
        <v>0</v>
      </c>
      <c r="V75" s="36">
        <v>0</v>
      </c>
      <c r="W75" s="36">
        <v>0</v>
      </c>
      <c r="X75" s="25">
        <f t="shared" si="112"/>
        <v>0</v>
      </c>
      <c r="Y75" s="30"/>
      <c r="Z75" s="36">
        <v>0</v>
      </c>
      <c r="AA75" s="36">
        <v>0</v>
      </c>
      <c r="AB75" s="36">
        <v>0</v>
      </c>
      <c r="AC75" s="36">
        <v>0</v>
      </c>
      <c r="AD75" s="36">
        <v>0</v>
      </c>
      <c r="AE75" s="25">
        <f>SUM(Z75:AD75)</f>
        <v>0</v>
      </c>
      <c r="AF75" s="30"/>
      <c r="AG75" s="36">
        <v>0</v>
      </c>
      <c r="AH75" s="36">
        <v>0</v>
      </c>
      <c r="AI75" s="36">
        <v>0</v>
      </c>
      <c r="AJ75" s="36">
        <v>0</v>
      </c>
      <c r="AK75" s="36">
        <v>0</v>
      </c>
      <c r="AL75" s="25">
        <f t="shared" si="113"/>
        <v>0</v>
      </c>
      <c r="AN75" s="29">
        <f t="shared" si="110"/>
        <v>0</v>
      </c>
      <c r="AO75" s="29">
        <f t="shared" si="110"/>
        <v>0</v>
      </c>
      <c r="AP75" s="29">
        <f t="shared" si="110"/>
        <v>0</v>
      </c>
      <c r="AQ75" s="29">
        <f t="shared" si="110"/>
        <v>0</v>
      </c>
      <c r="AR75" s="29">
        <f t="shared" si="110"/>
        <v>0</v>
      </c>
      <c r="AS75" s="25">
        <f t="shared" si="114"/>
        <v>0</v>
      </c>
    </row>
    <row r="76" spans="1:45" x14ac:dyDescent="0.2">
      <c r="C76" s="49"/>
      <c r="E76" s="24">
        <v>0</v>
      </c>
      <c r="F76" s="24">
        <v>0</v>
      </c>
      <c r="G76" s="24">
        <v>0</v>
      </c>
      <c r="H76" s="24">
        <v>2717.39</v>
      </c>
      <c r="I76" s="24">
        <v>0</v>
      </c>
      <c r="J76" s="25">
        <f>SUM(E76:I76)</f>
        <v>2717.39</v>
      </c>
      <c r="K76" s="30"/>
      <c r="L76" s="24">
        <v>0</v>
      </c>
      <c r="M76" s="24">
        <v>0</v>
      </c>
      <c r="N76" s="24">
        <v>0</v>
      </c>
      <c r="O76" s="24">
        <v>158.47999999999999</v>
      </c>
      <c r="P76" s="24">
        <v>0</v>
      </c>
      <c r="Q76" s="25">
        <f t="shared" si="111"/>
        <v>158.47999999999999</v>
      </c>
      <c r="R76" s="30"/>
      <c r="S76" s="36">
        <v>0</v>
      </c>
      <c r="T76" s="36">
        <v>0</v>
      </c>
      <c r="U76" s="36">
        <v>0</v>
      </c>
      <c r="V76" s="36">
        <v>0</v>
      </c>
      <c r="W76" s="36">
        <v>0</v>
      </c>
      <c r="X76" s="25">
        <f t="shared" si="112"/>
        <v>0</v>
      </c>
      <c r="Y76" s="30"/>
      <c r="Z76" s="36">
        <v>0</v>
      </c>
      <c r="AA76" s="36">
        <v>0</v>
      </c>
      <c r="AB76" s="36">
        <v>0</v>
      </c>
      <c r="AC76" s="36">
        <v>0</v>
      </c>
      <c r="AD76" s="36">
        <v>0</v>
      </c>
      <c r="AE76" s="25">
        <f>SUM(Z76:AD76)</f>
        <v>0</v>
      </c>
      <c r="AF76" s="30"/>
      <c r="AG76" s="36">
        <v>0</v>
      </c>
      <c r="AH76" s="36">
        <v>0</v>
      </c>
      <c r="AI76" s="36">
        <v>0</v>
      </c>
      <c r="AJ76" s="36">
        <v>0</v>
      </c>
      <c r="AK76" s="36">
        <v>0</v>
      </c>
      <c r="AL76" s="25">
        <f t="shared" si="113"/>
        <v>0</v>
      </c>
      <c r="AN76" s="29">
        <f t="shared" si="110"/>
        <v>0</v>
      </c>
      <c r="AO76" s="29">
        <f t="shared" si="110"/>
        <v>0</v>
      </c>
      <c r="AP76" s="29">
        <f t="shared" si="110"/>
        <v>0</v>
      </c>
      <c r="AQ76" s="29">
        <f t="shared" si="110"/>
        <v>0</v>
      </c>
      <c r="AR76" s="29">
        <f t="shared" si="110"/>
        <v>0</v>
      </c>
      <c r="AS76" s="25">
        <f t="shared" si="114"/>
        <v>0</v>
      </c>
    </row>
    <row r="77" spans="1:45" s="9" customFormat="1" x14ac:dyDescent="0.2">
      <c r="A77" s="12"/>
      <c r="B77" s="12"/>
      <c r="C77" s="49"/>
      <c r="D77" s="12"/>
      <c r="E77" s="25">
        <f t="shared" ref="E77:J77" si="115">SUM(E72:E76)</f>
        <v>0</v>
      </c>
      <c r="F77" s="25">
        <f t="shared" si="115"/>
        <v>0</v>
      </c>
      <c r="G77" s="25">
        <f t="shared" si="115"/>
        <v>0</v>
      </c>
      <c r="H77" s="25">
        <f t="shared" si="115"/>
        <v>2717.39</v>
      </c>
      <c r="I77" s="25">
        <f t="shared" si="115"/>
        <v>158.47999999999999</v>
      </c>
      <c r="J77" s="25">
        <f t="shared" si="115"/>
        <v>2875.87</v>
      </c>
      <c r="K77" s="30"/>
      <c r="L77" s="25">
        <f t="shared" ref="L77:Q77" si="116">SUM(L72:L76)</f>
        <v>0</v>
      </c>
      <c r="M77" s="25">
        <f t="shared" si="116"/>
        <v>0</v>
      </c>
      <c r="N77" s="25">
        <f t="shared" si="116"/>
        <v>0</v>
      </c>
      <c r="O77" s="25">
        <f t="shared" si="116"/>
        <v>158.47999999999999</v>
      </c>
      <c r="P77" s="25">
        <f t="shared" si="116"/>
        <v>2717.39</v>
      </c>
      <c r="Q77" s="25">
        <f t="shared" si="116"/>
        <v>2875.87</v>
      </c>
      <c r="R77" s="30"/>
      <c r="S77" s="25">
        <f t="shared" ref="S77:X77" si="117">SUM(S72:S76)</f>
        <v>0</v>
      </c>
      <c r="T77" s="25">
        <f t="shared" si="117"/>
        <v>0</v>
      </c>
      <c r="U77" s="25">
        <f t="shared" si="117"/>
        <v>0</v>
      </c>
      <c r="V77" s="25">
        <f t="shared" si="117"/>
        <v>0</v>
      </c>
      <c r="W77" s="25">
        <f t="shared" si="117"/>
        <v>0</v>
      </c>
      <c r="X77" s="25">
        <f t="shared" si="117"/>
        <v>0</v>
      </c>
      <c r="Y77" s="30"/>
      <c r="Z77" s="25">
        <f t="shared" ref="Z77:AE77" si="118">SUM(Z72:Z76)</f>
        <v>0</v>
      </c>
      <c r="AA77" s="25">
        <f t="shared" si="118"/>
        <v>0</v>
      </c>
      <c r="AB77" s="25">
        <f t="shared" si="118"/>
        <v>0</v>
      </c>
      <c r="AC77" s="25">
        <f t="shared" si="118"/>
        <v>0</v>
      </c>
      <c r="AD77" s="25">
        <f t="shared" si="118"/>
        <v>0</v>
      </c>
      <c r="AE77" s="25">
        <f t="shared" si="118"/>
        <v>0</v>
      </c>
      <c r="AF77" s="30"/>
      <c r="AG77" s="25">
        <f>SUM(AG72:AG76)</f>
        <v>0</v>
      </c>
      <c r="AH77" s="25">
        <f t="shared" ref="AH77:AK77" si="119">SUM(AH72:AH76)</f>
        <v>0</v>
      </c>
      <c r="AI77" s="25">
        <f t="shared" si="119"/>
        <v>0</v>
      </c>
      <c r="AJ77" s="25">
        <f t="shared" si="119"/>
        <v>0</v>
      </c>
      <c r="AK77" s="25">
        <f t="shared" si="119"/>
        <v>0</v>
      </c>
      <c r="AL77" s="25">
        <f>SUM(AL72:AL76)</f>
        <v>0</v>
      </c>
      <c r="AM77" s="30"/>
      <c r="AN77" s="25">
        <f>SUM(AN72:AN76)</f>
        <v>0</v>
      </c>
      <c r="AO77" s="25">
        <f t="shared" ref="AO77:AS77" si="120">SUM(AO72:AO76)</f>
        <v>0</v>
      </c>
      <c r="AP77" s="25">
        <f t="shared" si="120"/>
        <v>0</v>
      </c>
      <c r="AQ77" s="25">
        <f t="shared" si="120"/>
        <v>0</v>
      </c>
      <c r="AR77" s="25">
        <f t="shared" si="120"/>
        <v>0</v>
      </c>
      <c r="AS77" s="25">
        <f t="shared" si="120"/>
        <v>0</v>
      </c>
    </row>
    <row r="79" spans="1:45" x14ac:dyDescent="0.2">
      <c r="B79" s="6">
        <v>3</v>
      </c>
      <c r="C79" s="49" t="s">
        <v>68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5">
        <f>SUM(E79:I79)</f>
        <v>0</v>
      </c>
      <c r="K79" s="30"/>
      <c r="L79" s="24">
        <v>0</v>
      </c>
      <c r="M79" s="24">
        <v>0</v>
      </c>
      <c r="N79" s="27">
        <v>0</v>
      </c>
      <c r="O79" s="24">
        <v>0</v>
      </c>
      <c r="P79" s="24">
        <v>0</v>
      </c>
      <c r="Q79" s="25">
        <f>SUM(L79:P79)</f>
        <v>0</v>
      </c>
      <c r="R79" s="30"/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25">
        <f>SUM(S79:W79)</f>
        <v>0</v>
      </c>
      <c r="Y79" s="30"/>
      <c r="Z79" s="36">
        <v>0</v>
      </c>
      <c r="AA79" s="36">
        <v>0</v>
      </c>
      <c r="AB79" s="36">
        <v>0</v>
      </c>
      <c r="AC79" s="36">
        <v>0</v>
      </c>
      <c r="AD79" s="36">
        <v>0</v>
      </c>
      <c r="AE79" s="25">
        <f>SUM(Z79:AD79)</f>
        <v>0</v>
      </c>
      <c r="AF79" s="30"/>
      <c r="AG79" s="36">
        <v>0</v>
      </c>
      <c r="AH79" s="36">
        <v>0</v>
      </c>
      <c r="AI79" s="36">
        <v>0</v>
      </c>
      <c r="AJ79" s="36">
        <v>0</v>
      </c>
      <c r="AK79" s="36">
        <v>0</v>
      </c>
      <c r="AL79" s="25">
        <f>SUM(AG79:AK79)</f>
        <v>0</v>
      </c>
      <c r="AN79" s="29">
        <f t="shared" ref="AN79:AR83" si="121">AG79+Z79</f>
        <v>0</v>
      </c>
      <c r="AO79" s="29">
        <f t="shared" si="121"/>
        <v>0</v>
      </c>
      <c r="AP79" s="29">
        <f t="shared" si="121"/>
        <v>0</v>
      </c>
      <c r="AQ79" s="29">
        <f t="shared" si="121"/>
        <v>0</v>
      </c>
      <c r="AR79" s="29">
        <f t="shared" si="121"/>
        <v>0</v>
      </c>
      <c r="AS79" s="25">
        <f>SUM(AN79:AR79)</f>
        <v>0</v>
      </c>
    </row>
    <row r="80" spans="1:45" x14ac:dyDescent="0.2">
      <c r="C80" s="49"/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5">
        <f>SUM(E80:I80)</f>
        <v>0</v>
      </c>
      <c r="K80" s="30"/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5">
        <f t="shared" ref="Q80:Q83" si="122">SUM(L80:P80)</f>
        <v>0</v>
      </c>
      <c r="R80" s="30"/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25">
        <f t="shared" ref="X80:X83" si="123">SUM(S80:W80)</f>
        <v>0</v>
      </c>
      <c r="Y80" s="30"/>
      <c r="Z80" s="36">
        <v>0</v>
      </c>
      <c r="AA80" s="36">
        <v>0</v>
      </c>
      <c r="AB80" s="36">
        <v>0</v>
      </c>
      <c r="AC80" s="36">
        <v>0</v>
      </c>
      <c r="AD80" s="36">
        <v>0</v>
      </c>
      <c r="AE80" s="25">
        <f>SUM(Z80:AD80)</f>
        <v>0</v>
      </c>
      <c r="AF80" s="30"/>
      <c r="AG80" s="36">
        <v>0</v>
      </c>
      <c r="AH80" s="36">
        <v>0</v>
      </c>
      <c r="AI80" s="36">
        <v>0</v>
      </c>
      <c r="AJ80" s="36">
        <v>0</v>
      </c>
      <c r="AK80" s="36">
        <v>0</v>
      </c>
      <c r="AL80" s="25">
        <f t="shared" ref="AL80:AL83" si="124">SUM(AG80:AK80)</f>
        <v>0</v>
      </c>
      <c r="AN80" s="29">
        <f t="shared" si="121"/>
        <v>0</v>
      </c>
      <c r="AO80" s="29">
        <f t="shared" si="121"/>
        <v>0</v>
      </c>
      <c r="AP80" s="29">
        <f t="shared" si="121"/>
        <v>0</v>
      </c>
      <c r="AQ80" s="29">
        <f t="shared" si="121"/>
        <v>0</v>
      </c>
      <c r="AR80" s="29">
        <f t="shared" si="121"/>
        <v>0</v>
      </c>
      <c r="AS80" s="25">
        <f t="shared" ref="AS80:AS83" si="125">SUM(AN80:AR80)</f>
        <v>0</v>
      </c>
    </row>
    <row r="81" spans="1:45" x14ac:dyDescent="0.2">
      <c r="C81" s="49"/>
      <c r="E81" s="27">
        <v>0</v>
      </c>
      <c r="F81" s="24">
        <v>0</v>
      </c>
      <c r="G81" s="24">
        <v>0</v>
      </c>
      <c r="H81" s="24">
        <v>0</v>
      </c>
      <c r="I81" s="24">
        <v>0</v>
      </c>
      <c r="J81" s="25">
        <f>SUM(E81:I81)</f>
        <v>0</v>
      </c>
      <c r="K81" s="30"/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5">
        <f t="shared" si="122"/>
        <v>0</v>
      </c>
      <c r="R81" s="30"/>
      <c r="S81" s="36">
        <v>0</v>
      </c>
      <c r="T81" s="36">
        <v>0</v>
      </c>
      <c r="U81" s="36">
        <v>0</v>
      </c>
      <c r="V81" s="36">
        <v>0</v>
      </c>
      <c r="W81" s="36">
        <v>0</v>
      </c>
      <c r="X81" s="25">
        <f t="shared" si="123"/>
        <v>0</v>
      </c>
      <c r="Y81" s="30"/>
      <c r="Z81" s="36">
        <v>0</v>
      </c>
      <c r="AA81" s="36">
        <v>0</v>
      </c>
      <c r="AB81" s="36">
        <v>0</v>
      </c>
      <c r="AC81" s="36">
        <v>0</v>
      </c>
      <c r="AD81" s="36">
        <v>0</v>
      </c>
      <c r="AE81" s="25">
        <f>SUM(Z81:AD81)</f>
        <v>0</v>
      </c>
      <c r="AF81" s="30"/>
      <c r="AG81" s="36">
        <v>0</v>
      </c>
      <c r="AH81" s="36">
        <v>0</v>
      </c>
      <c r="AI81" s="36">
        <v>0</v>
      </c>
      <c r="AJ81" s="36">
        <v>0</v>
      </c>
      <c r="AK81" s="36">
        <v>0</v>
      </c>
      <c r="AL81" s="25">
        <f t="shared" si="124"/>
        <v>0</v>
      </c>
      <c r="AN81" s="29">
        <f t="shared" si="121"/>
        <v>0</v>
      </c>
      <c r="AO81" s="29">
        <f t="shared" si="121"/>
        <v>0</v>
      </c>
      <c r="AP81" s="29">
        <f t="shared" si="121"/>
        <v>0</v>
      </c>
      <c r="AQ81" s="29">
        <f t="shared" si="121"/>
        <v>0</v>
      </c>
      <c r="AR81" s="29">
        <f t="shared" si="121"/>
        <v>0</v>
      </c>
      <c r="AS81" s="25">
        <f t="shared" si="125"/>
        <v>0</v>
      </c>
    </row>
    <row r="82" spans="1:45" x14ac:dyDescent="0.2">
      <c r="C82" s="49"/>
      <c r="E82" s="24">
        <v>0</v>
      </c>
      <c r="F82" s="24">
        <v>0</v>
      </c>
      <c r="G82" s="24">
        <v>0</v>
      </c>
      <c r="H82" s="24">
        <v>0</v>
      </c>
      <c r="I82" s="24">
        <v>158.47999999999999</v>
      </c>
      <c r="J82" s="25">
        <f>SUM(E82:I82)</f>
        <v>158.47999999999999</v>
      </c>
      <c r="K82" s="30"/>
      <c r="L82" s="24">
        <v>0</v>
      </c>
      <c r="M82" s="24">
        <v>0</v>
      </c>
      <c r="N82" s="24">
        <v>0</v>
      </c>
      <c r="O82" s="24">
        <v>0</v>
      </c>
      <c r="P82" s="24">
        <v>2717.39</v>
      </c>
      <c r="Q82" s="25">
        <f t="shared" si="122"/>
        <v>2717.39</v>
      </c>
      <c r="R82" s="30"/>
      <c r="S82" s="36">
        <v>0</v>
      </c>
      <c r="T82" s="36">
        <v>0</v>
      </c>
      <c r="U82" s="36">
        <v>0</v>
      </c>
      <c r="V82" s="36">
        <v>0</v>
      </c>
      <c r="W82" s="36">
        <v>0</v>
      </c>
      <c r="X82" s="25">
        <f t="shared" si="123"/>
        <v>0</v>
      </c>
      <c r="Y82" s="30"/>
      <c r="Z82" s="36">
        <v>0</v>
      </c>
      <c r="AA82" s="36">
        <v>0</v>
      </c>
      <c r="AB82" s="36">
        <v>0</v>
      </c>
      <c r="AC82" s="36">
        <v>0</v>
      </c>
      <c r="AD82" s="36">
        <v>0</v>
      </c>
      <c r="AE82" s="25">
        <f>SUM(Z82:AD82)</f>
        <v>0</v>
      </c>
      <c r="AF82" s="30"/>
      <c r="AG82" s="36">
        <v>0</v>
      </c>
      <c r="AH82" s="36">
        <v>0</v>
      </c>
      <c r="AI82" s="36">
        <v>0</v>
      </c>
      <c r="AJ82" s="36">
        <v>0</v>
      </c>
      <c r="AK82" s="36">
        <v>0</v>
      </c>
      <c r="AL82" s="25">
        <f t="shared" si="124"/>
        <v>0</v>
      </c>
      <c r="AN82" s="29">
        <f t="shared" si="121"/>
        <v>0</v>
      </c>
      <c r="AO82" s="29">
        <f t="shared" si="121"/>
        <v>0</v>
      </c>
      <c r="AP82" s="29">
        <f t="shared" si="121"/>
        <v>0</v>
      </c>
      <c r="AQ82" s="29">
        <f t="shared" si="121"/>
        <v>0</v>
      </c>
      <c r="AR82" s="29">
        <f t="shared" si="121"/>
        <v>0</v>
      </c>
      <c r="AS82" s="25">
        <f t="shared" si="125"/>
        <v>0</v>
      </c>
    </row>
    <row r="83" spans="1:45" x14ac:dyDescent="0.2">
      <c r="C83" s="49"/>
      <c r="E83" s="24">
        <v>0</v>
      </c>
      <c r="F83" s="24">
        <v>0</v>
      </c>
      <c r="G83" s="24">
        <v>0</v>
      </c>
      <c r="H83" s="24">
        <v>2717.39</v>
      </c>
      <c r="I83" s="24">
        <v>0</v>
      </c>
      <c r="J83" s="25">
        <f>SUM(E83:I83)</f>
        <v>2717.39</v>
      </c>
      <c r="K83" s="30"/>
      <c r="L83" s="24">
        <v>0</v>
      </c>
      <c r="M83" s="24">
        <v>0</v>
      </c>
      <c r="N83" s="24">
        <v>0</v>
      </c>
      <c r="O83" s="24">
        <v>158.47999999999999</v>
      </c>
      <c r="P83" s="24">
        <v>0</v>
      </c>
      <c r="Q83" s="25">
        <f t="shared" si="122"/>
        <v>158.47999999999999</v>
      </c>
      <c r="R83" s="30"/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25">
        <f t="shared" si="123"/>
        <v>0</v>
      </c>
      <c r="Y83" s="30"/>
      <c r="Z83" s="36">
        <v>0</v>
      </c>
      <c r="AA83" s="36">
        <v>0</v>
      </c>
      <c r="AB83" s="36">
        <v>0</v>
      </c>
      <c r="AC83" s="36">
        <v>0</v>
      </c>
      <c r="AD83" s="36">
        <v>0</v>
      </c>
      <c r="AE83" s="25">
        <f>SUM(Z83:AD83)</f>
        <v>0</v>
      </c>
      <c r="AF83" s="30"/>
      <c r="AG83" s="36">
        <v>0</v>
      </c>
      <c r="AH83" s="36">
        <v>0</v>
      </c>
      <c r="AI83" s="36">
        <v>0</v>
      </c>
      <c r="AJ83" s="36">
        <v>0</v>
      </c>
      <c r="AK83" s="36">
        <v>0</v>
      </c>
      <c r="AL83" s="25">
        <f t="shared" si="124"/>
        <v>0</v>
      </c>
      <c r="AN83" s="29">
        <f t="shared" si="121"/>
        <v>0</v>
      </c>
      <c r="AO83" s="29">
        <f t="shared" si="121"/>
        <v>0</v>
      </c>
      <c r="AP83" s="29">
        <f t="shared" si="121"/>
        <v>0</v>
      </c>
      <c r="AQ83" s="29">
        <f t="shared" si="121"/>
        <v>0</v>
      </c>
      <c r="AR83" s="29">
        <f t="shared" si="121"/>
        <v>0</v>
      </c>
      <c r="AS83" s="25">
        <f t="shared" si="125"/>
        <v>0</v>
      </c>
    </row>
    <row r="84" spans="1:45" s="9" customFormat="1" x14ac:dyDescent="0.2">
      <c r="A84" s="12"/>
      <c r="B84" s="12"/>
      <c r="C84" s="49"/>
      <c r="D84" s="12"/>
      <c r="E84" s="25">
        <f t="shared" ref="E84:J84" si="126">SUM(E79:E83)</f>
        <v>0</v>
      </c>
      <c r="F84" s="25">
        <f t="shared" si="126"/>
        <v>0</v>
      </c>
      <c r="G84" s="25">
        <f t="shared" si="126"/>
        <v>0</v>
      </c>
      <c r="H84" s="25">
        <f t="shared" si="126"/>
        <v>2717.39</v>
      </c>
      <c r="I84" s="25">
        <f t="shared" si="126"/>
        <v>158.47999999999999</v>
      </c>
      <c r="J84" s="25">
        <f t="shared" si="126"/>
        <v>2875.87</v>
      </c>
      <c r="K84" s="30"/>
      <c r="L84" s="25">
        <f t="shared" ref="L84:Q84" si="127">SUM(L79:L83)</f>
        <v>0</v>
      </c>
      <c r="M84" s="25">
        <f t="shared" si="127"/>
        <v>0</v>
      </c>
      <c r="N84" s="25">
        <f t="shared" si="127"/>
        <v>0</v>
      </c>
      <c r="O84" s="25">
        <f t="shared" si="127"/>
        <v>158.47999999999999</v>
      </c>
      <c r="P84" s="25">
        <f t="shared" si="127"/>
        <v>2717.39</v>
      </c>
      <c r="Q84" s="25">
        <f t="shared" si="127"/>
        <v>2875.87</v>
      </c>
      <c r="R84" s="30"/>
      <c r="S84" s="25">
        <f t="shared" ref="S84:X84" si="128">SUM(S79:S83)</f>
        <v>0</v>
      </c>
      <c r="T84" s="25">
        <f t="shared" si="128"/>
        <v>0</v>
      </c>
      <c r="U84" s="25">
        <f t="shared" si="128"/>
        <v>0</v>
      </c>
      <c r="V84" s="25">
        <f t="shared" si="128"/>
        <v>0</v>
      </c>
      <c r="W84" s="25">
        <f t="shared" si="128"/>
        <v>0</v>
      </c>
      <c r="X84" s="25">
        <f t="shared" si="128"/>
        <v>0</v>
      </c>
      <c r="Y84" s="30"/>
      <c r="Z84" s="25">
        <f t="shared" ref="Z84:AE84" si="129">SUM(Z79:Z83)</f>
        <v>0</v>
      </c>
      <c r="AA84" s="25">
        <f t="shared" si="129"/>
        <v>0</v>
      </c>
      <c r="AB84" s="25">
        <f t="shared" si="129"/>
        <v>0</v>
      </c>
      <c r="AC84" s="25">
        <f t="shared" si="129"/>
        <v>0</v>
      </c>
      <c r="AD84" s="25">
        <f t="shared" si="129"/>
        <v>0</v>
      </c>
      <c r="AE84" s="25">
        <f t="shared" si="129"/>
        <v>0</v>
      </c>
      <c r="AF84" s="30"/>
      <c r="AG84" s="25">
        <f>SUM(AG79:AG83)</f>
        <v>0</v>
      </c>
      <c r="AH84" s="25">
        <f t="shared" ref="AH84:AK84" si="130">SUM(AH79:AH83)</f>
        <v>0</v>
      </c>
      <c r="AI84" s="25">
        <f t="shared" si="130"/>
        <v>0</v>
      </c>
      <c r="AJ84" s="25">
        <f t="shared" si="130"/>
        <v>0</v>
      </c>
      <c r="AK84" s="25">
        <f t="shared" si="130"/>
        <v>0</v>
      </c>
      <c r="AL84" s="25">
        <f>SUM(AL79:AL83)</f>
        <v>0</v>
      </c>
      <c r="AM84" s="30"/>
      <c r="AN84" s="25">
        <f>SUM(AN79:AN83)</f>
        <v>0</v>
      </c>
      <c r="AO84" s="25">
        <f t="shared" ref="AO84:AS84" si="131">SUM(AO79:AO83)</f>
        <v>0</v>
      </c>
      <c r="AP84" s="25">
        <f t="shared" si="131"/>
        <v>0</v>
      </c>
      <c r="AQ84" s="25">
        <f t="shared" si="131"/>
        <v>0</v>
      </c>
      <c r="AR84" s="25">
        <f t="shared" si="131"/>
        <v>0</v>
      </c>
      <c r="AS84" s="25">
        <f t="shared" si="131"/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说明</vt:lpstr>
      <vt:lpstr>参数</vt:lpstr>
      <vt:lpstr>BB之过程-theta_Shock_exBI_t=1</vt:lpstr>
      <vt:lpstr>BI之过程-theta_Shock_exBI_t=1</vt:lpstr>
      <vt:lpstr>BB之过程-theta_Shock_exBI_t=0_0313</vt:lpstr>
      <vt:lpstr>BI之过程-theta_Shock_exBI_t=0_0313</vt:lpstr>
      <vt:lpstr>BB之过程-theta_Shock_exBI_t=0</vt:lpstr>
      <vt:lpstr>BI之过程-theta_Shock_exBI_t=0</vt:lpstr>
      <vt:lpstr>原始节点权重</vt:lpstr>
      <vt:lpstr>按照书中认为的设定的节点权重</vt:lpstr>
      <vt:lpstr>原始资产负债表</vt:lpstr>
      <vt:lpstr>我设定的Bank之初始</vt:lpstr>
      <vt:lpstr>我设定的Bank Interbank之初始</vt:lpstr>
      <vt:lpstr>我设定的Bank之过程-20220307</vt:lpstr>
      <vt:lpstr>我设定的Bank Interbank之过程-20220307</vt:lpstr>
      <vt:lpstr>我设定的Bank之过程-20220306</vt:lpstr>
      <vt:lpstr>我设定的Bank Interbank之过程-20220306</vt:lpstr>
      <vt:lpstr>我设定的Bank之过程-20220305</vt:lpstr>
      <vt:lpstr>我设定的Bank Interbank之过程-20220305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Ethan</dc:creator>
  <cp:lastModifiedBy>Lin Ethan</cp:lastModifiedBy>
  <dcterms:created xsi:type="dcterms:W3CDTF">2022-01-04T02:37:26Z</dcterms:created>
  <dcterms:modified xsi:type="dcterms:W3CDTF">2022-03-23T13:46:06Z</dcterms:modified>
</cp:coreProperties>
</file>