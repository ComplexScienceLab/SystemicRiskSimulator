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600000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B14" i="2"/>
  <c r="H33" i="2"/>
  <c r="C33" i="2"/>
  <c r="D33" i="2"/>
  <c r="E33" i="2"/>
  <c r="F33" i="2"/>
  <c r="G33" i="2"/>
  <c r="B33" i="2"/>
</calcChain>
</file>

<file path=xl/sharedStrings.xml><?xml version="1.0" encoding="utf-8"?>
<sst xmlns="http://schemas.openxmlformats.org/spreadsheetml/2006/main" count="271" uniqueCount="98">
  <si>
    <t>2002-12-31</t>
  </si>
  <si>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</si>
  <si>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</si>
  <si>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</si>
  <si>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</si>
  <si>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</si>
  <si>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</si>
  <si>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</si>
  <si>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</si>
  <si>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</si>
  <si>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</si>
  <si>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</si>
  <si>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</si>
  <si>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</si>
  <si>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</si>
  <si>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</si>
  <si>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</si>
  <si>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</si>
  <si>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</si>
  <si>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</si>
  <si>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</si>
  <si>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</si>
  <si>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</si>
  <si>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</si>
  <si>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</si>
  <si>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</si>
  <si>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</si>
  <si>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</si>
  <si>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</si>
  <si>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</si>
  <si>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</si>
  <si>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</si>
  <si>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</si>
  <si>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</si>
  <si>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</si>
  <si>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</si>
  <si>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</si>
  <si>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</si>
  <si>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</si>
  <si>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</si>
  <si>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</si>
  <si>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</si>
  <si>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</si>
  <si>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</si>
  <si>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</si>
  <si>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</si>
  <si>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</si>
  <si>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</si>
  <si>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</si>
  <si>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</si>
  <si>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</si>
  <si>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</si>
  <si>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</si>
  <si>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</si>
  <si>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</si>
  <si>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</si>
  <si>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</si>
  <si>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</si>
  <si>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</si>
  <si>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</si>
  <si>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</si>
  <si>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</si>
  <si>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</si>
  <si>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</si>
  <si>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</si>
  <si>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</si>
  <si>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</si>
  <si>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</si>
  <si>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</si>
  <si>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</si>
  <si>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</si>
  <si>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</si>
  <si>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</si>
  <si>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</si>
  <si>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</si>
  <si>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</si>
  <si>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</si>
  <si>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</si>
  <si>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</si>
  <si>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</si>
  <si>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</si>
  <si>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2003-03-29</t>
  </si>
  <si>
    <t>2004-02-27</t>
  </si>
  <si>
    <t>2005-02-26</t>
  </si>
  <si>
    <t>2007-03-24</t>
  </si>
  <si>
    <t>2008-02-28</t>
  </si>
  <si>
    <t>2009-04-10</t>
  </si>
  <si>
    <t>2010-04-07</t>
  </si>
  <si>
    <t>2011-03-30</t>
  </si>
  <si>
    <t>2012-03-16</t>
  </si>
  <si>
    <t>2013-03-14</t>
  </si>
  <si>
    <t>2014-03-20</t>
  </si>
  <si>
    <t>2015-03-19</t>
  </si>
  <si>
    <t>2016-04-07</t>
  </si>
  <si>
    <t>数据来源</t>
  </si>
  <si>
    <t>WIND调整计算值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</si>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</sst>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tabSelected="1" topLeftCell="A4" workbookViewId="0">
      <selection activeCell="E14" sqref="E14:G14"/>
    </sheetView>
  </sheetViews>
  <sheetFormatPr defaultRowHeight="13.5" x14ac:dyDescent="0.15"/>
  <cols>
    <col min="1" max="1" width="34.125" bestFit="1" customWidth="1"/>
    <col min="2" max="4" width="15.375" bestFit="1" customWidth="1"/>
    <col min="5" max="15" width="15.125" bestFit="1" customWidth="1"/>
  </cols>
  <sheetData>
    <row r="1" spans="1:15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15">
      <c r="A2" s="1" t="s">
        <v>14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</row>
    <row r="3" spans="1:15" x14ac:dyDescent="0.15">
      <c r="A3" s="1" t="s">
        <v>16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</row>
    <row r="4" spans="1:15" x14ac:dyDescent="0.15">
      <c r="A4" s="3" t="s">
        <v>18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19</v>
      </c>
      <c r="O4" s="2" t="s">
        <v>19</v>
      </c>
    </row>
    <row r="5" spans="1:15" x14ac:dyDescent="0.15">
      <c r="A5" s="1" t="s">
        <v>20</v>
      </c>
      <c r="B5" s="1"/>
      <c r="C5" s="1"/>
      <c r="D5" s="1"/>
      <c r="E5" s="1">
        <v>72462.100000000006</v>
      </c>
      <c r="F5" s="1">
        <v>106736.26</v>
      </c>
      <c r="G5" s="1">
        <v>141423.93</v>
      </c>
      <c r="H5" s="1">
        <v>162601.26</v>
      </c>
      <c r="I5" s="1">
        <v>205118.95</v>
      </c>
      <c r="J5" s="1">
        <v>293248.76</v>
      </c>
      <c r="K5" s="1">
        <v>366957.1</v>
      </c>
      <c r="L5" s="1">
        <v>427563</v>
      </c>
      <c r="M5" s="1">
        <v>476342</v>
      </c>
      <c r="N5" s="1">
        <v>506067</v>
      </c>
      <c r="O5" s="1">
        <v>481157</v>
      </c>
    </row>
    <row r="6" spans="1:15" x14ac:dyDescent="0.15">
      <c r="A6" s="1" t="s">
        <v>21</v>
      </c>
      <c r="B6" s="1"/>
      <c r="C6" s="1"/>
      <c r="D6" s="1"/>
      <c r="E6" s="1">
        <v>5103.24</v>
      </c>
      <c r="F6" s="1">
        <v>5011.9399999999996</v>
      </c>
      <c r="G6" s="1">
        <v>3810.84</v>
      </c>
      <c r="H6" s="1">
        <v>54129.3</v>
      </c>
      <c r="I6" s="1">
        <v>143554.12</v>
      </c>
      <c r="J6" s="1">
        <v>69539.710000000006</v>
      </c>
      <c r="K6" s="1">
        <v>267876.47999999998</v>
      </c>
      <c r="L6" s="1">
        <v>311293</v>
      </c>
      <c r="M6" s="1">
        <v>233302</v>
      </c>
      <c r="N6" s="1">
        <v>142287</v>
      </c>
      <c r="O6" s="1">
        <v>111388</v>
      </c>
    </row>
    <row r="7" spans="1:15" x14ac:dyDescent="0.15">
      <c r="A7" s="1" t="s">
        <v>22</v>
      </c>
      <c r="B7" s="1"/>
      <c r="C7" s="1"/>
      <c r="D7" s="1"/>
      <c r="E7" s="1"/>
      <c r="F7" s="1"/>
      <c r="G7" s="1"/>
      <c r="H7" s="1"/>
      <c r="I7" s="1">
        <v>213.21</v>
      </c>
      <c r="J7" s="1">
        <v>2.09</v>
      </c>
      <c r="K7" s="1">
        <v>683.25</v>
      </c>
      <c r="L7" s="1">
        <v>6673</v>
      </c>
      <c r="M7" s="1">
        <v>3348</v>
      </c>
      <c r="N7" s="1">
        <v>11707</v>
      </c>
      <c r="O7" s="1">
        <v>28724</v>
      </c>
    </row>
    <row r="8" spans="1:15" x14ac:dyDescent="0.15">
      <c r="A8" s="1" t="s">
        <v>23</v>
      </c>
      <c r="B8" s="1"/>
      <c r="C8" s="1"/>
      <c r="D8" s="1"/>
      <c r="E8" s="1">
        <v>9197.1</v>
      </c>
      <c r="F8" s="1">
        <v>16497.439999999999</v>
      </c>
      <c r="G8" s="1">
        <v>17662.82</v>
      </c>
      <c r="H8" s="1">
        <v>23643.91</v>
      </c>
      <c r="I8" s="1">
        <v>24122.35</v>
      </c>
      <c r="J8" s="1">
        <v>31253.46</v>
      </c>
      <c r="K8" s="1">
        <v>111415.3</v>
      </c>
      <c r="L8" s="1">
        <v>85420</v>
      </c>
      <c r="M8" s="1">
        <v>26828</v>
      </c>
      <c r="N8" s="1">
        <v>21969</v>
      </c>
      <c r="O8" s="1">
        <v>137806</v>
      </c>
    </row>
    <row r="9" spans="1:15" x14ac:dyDescent="0.15">
      <c r="A9" s="1" t="s">
        <v>24</v>
      </c>
      <c r="B9" s="1">
        <v>9299.76</v>
      </c>
      <c r="C9" s="1">
        <v>7922.97</v>
      </c>
      <c r="D9" s="1">
        <v>8170.91</v>
      </c>
      <c r="E9" s="1">
        <v>48898.14</v>
      </c>
      <c r="F9" s="1">
        <v>49018.17</v>
      </c>
      <c r="G9" s="1">
        <v>3816.22</v>
      </c>
      <c r="H9" s="1"/>
      <c r="I9" s="1"/>
      <c r="J9" s="1"/>
      <c r="K9" s="1">
        <v>5866.84</v>
      </c>
      <c r="L9" s="1">
        <v>18441</v>
      </c>
      <c r="M9" s="1">
        <v>28627</v>
      </c>
      <c r="N9" s="1">
        <v>32841</v>
      </c>
      <c r="O9" s="1">
        <v>63746</v>
      </c>
    </row>
    <row r="10" spans="1:15" x14ac:dyDescent="0.15">
      <c r="A10" s="1" t="s">
        <v>25</v>
      </c>
      <c r="B10" s="1"/>
      <c r="C10" s="1"/>
      <c r="D10" s="1"/>
      <c r="E10" s="1">
        <v>20.420000000000002</v>
      </c>
      <c r="F10" s="1">
        <v>41.65</v>
      </c>
      <c r="G10" s="1">
        <v>347.57</v>
      </c>
      <c r="H10" s="1">
        <v>2287.77</v>
      </c>
      <c r="I10" s="1">
        <v>607.34</v>
      </c>
      <c r="J10" s="1">
        <v>1033.3499999999999</v>
      </c>
      <c r="K10" s="1">
        <v>548.79</v>
      </c>
      <c r="L10" s="1">
        <v>907</v>
      </c>
      <c r="M10" s="1">
        <v>1946</v>
      </c>
      <c r="N10" s="1">
        <v>2612</v>
      </c>
      <c r="O10" s="1">
        <v>10610</v>
      </c>
    </row>
    <row r="11" spans="1:15" x14ac:dyDescent="0.15">
      <c r="A11" s="1" t="s">
        <v>26</v>
      </c>
      <c r="B11" s="1"/>
      <c r="C11" s="1"/>
      <c r="D11" s="1"/>
      <c r="E11" s="1">
        <v>20331.88</v>
      </c>
      <c r="F11" s="1">
        <v>13786.12</v>
      </c>
      <c r="G11" s="1">
        <v>80992.09</v>
      </c>
      <c r="H11" s="1">
        <v>171471.73</v>
      </c>
      <c r="I11" s="1">
        <v>53057.5</v>
      </c>
      <c r="J11" s="1">
        <v>391932.14</v>
      </c>
      <c r="K11" s="1">
        <v>281509.78000000003</v>
      </c>
      <c r="L11" s="1">
        <v>267089</v>
      </c>
      <c r="M11" s="1">
        <v>295953</v>
      </c>
      <c r="N11" s="1">
        <v>196188</v>
      </c>
      <c r="O11" s="1">
        <v>110218</v>
      </c>
    </row>
    <row r="12" spans="1:15" x14ac:dyDescent="0.15">
      <c r="A12" s="1" t="s">
        <v>27</v>
      </c>
      <c r="B12" s="1">
        <v>5.75</v>
      </c>
      <c r="C12" s="1">
        <v>168.14</v>
      </c>
      <c r="D12" s="1">
        <v>783.73</v>
      </c>
      <c r="E12" s="1">
        <v>1157.55</v>
      </c>
      <c r="F12" s="1">
        <v>1390.25</v>
      </c>
      <c r="G12" s="1">
        <v>2195.4299999999998</v>
      </c>
      <c r="H12" s="1">
        <v>5055.2299999999996</v>
      </c>
      <c r="I12" s="1">
        <v>5435.92</v>
      </c>
      <c r="J12" s="1">
        <v>6537.02</v>
      </c>
      <c r="K12" s="1">
        <v>11071.07</v>
      </c>
      <c r="L12" s="1">
        <v>13546</v>
      </c>
      <c r="M12" s="1">
        <v>14709</v>
      </c>
      <c r="N12" s="1">
        <v>17328</v>
      </c>
      <c r="O12" s="1">
        <v>20437</v>
      </c>
    </row>
    <row r="13" spans="1:15" x14ac:dyDescent="0.15">
      <c r="A13" s="1" t="s">
        <v>28</v>
      </c>
      <c r="B13" s="1"/>
      <c r="C13" s="1"/>
      <c r="D13" s="1"/>
      <c r="E13" s="1">
        <v>366646.38</v>
      </c>
      <c r="F13" s="1">
        <v>448110.55</v>
      </c>
      <c r="G13" s="1">
        <v>535657.65</v>
      </c>
      <c r="H13" s="1">
        <v>681266.57</v>
      </c>
      <c r="I13" s="1">
        <v>910508.03</v>
      </c>
      <c r="J13" s="1">
        <v>1124112.99</v>
      </c>
      <c r="K13" s="1">
        <v>1302323.95</v>
      </c>
      <c r="L13" s="1">
        <v>1508806</v>
      </c>
      <c r="M13" s="1">
        <v>1725745</v>
      </c>
      <c r="N13" s="1">
        <v>1974614</v>
      </c>
      <c r="O13" s="1">
        <v>2171413</v>
      </c>
    </row>
    <row r="14" spans="1:15" x14ac:dyDescent="0.15">
      <c r="A14" s="1"/>
      <c r="B14" s="1">
        <f>B12+B13</f>
        <v>5.75</v>
      </c>
      <c r="C14" s="1">
        <f t="shared" ref="C14:H14" si="0">C12+C13</f>
        <v>168.14</v>
      </c>
      <c r="D14" s="1">
        <f t="shared" si="0"/>
        <v>783.73</v>
      </c>
      <c r="E14" s="1">
        <f t="shared" si="0"/>
        <v>367803.93</v>
      </c>
      <c r="F14" s="1">
        <f t="shared" si="0"/>
        <v>449500.8</v>
      </c>
      <c r="G14" s="1">
        <f t="shared" si="0"/>
        <v>537853.08000000007</v>
      </c>
      <c r="H14" s="1">
        <f t="shared" si="0"/>
        <v>686321.79999999993</v>
      </c>
      <c r="I14" s="1"/>
      <c r="J14" s="1"/>
      <c r="K14" s="1"/>
      <c r="L14" s="1"/>
      <c r="M14" s="1"/>
      <c r="N14" s="1"/>
      <c r="O14" s="1"/>
    </row>
    <row r="15" spans="1:15" x14ac:dyDescent="0.15">
      <c r="A15" s="1" t="s">
        <v>29</v>
      </c>
      <c r="B15" s="1"/>
      <c r="C15" s="1"/>
      <c r="D15" s="1"/>
      <c r="E15" s="1"/>
      <c r="F15" s="1"/>
      <c r="G15" s="1">
        <v>88784.13</v>
      </c>
      <c r="H15" s="1">
        <v>57365.15</v>
      </c>
      <c r="I15" s="1">
        <v>89214.8</v>
      </c>
      <c r="J15" s="1">
        <v>104142.63</v>
      </c>
      <c r="K15" s="1">
        <v>147929.13</v>
      </c>
      <c r="L15" s="1">
        <v>150741</v>
      </c>
      <c r="M15" s="1">
        <v>160593</v>
      </c>
      <c r="N15" s="1">
        <v>222208</v>
      </c>
      <c r="O15" s="1">
        <v>254846</v>
      </c>
    </row>
    <row r="16" spans="1:15" x14ac:dyDescent="0.15">
      <c r="A16" s="1" t="s">
        <v>30</v>
      </c>
      <c r="B16" s="1"/>
      <c r="C16" s="1"/>
      <c r="D16" s="1"/>
      <c r="E16" s="1"/>
      <c r="F16" s="1"/>
      <c r="G16" s="1"/>
      <c r="H16" s="1">
        <v>110600.02</v>
      </c>
      <c r="I16" s="1">
        <v>136745.99</v>
      </c>
      <c r="J16" s="1">
        <v>143556.64000000001</v>
      </c>
      <c r="K16" s="1">
        <v>158535.45000000001</v>
      </c>
      <c r="L16" s="1">
        <v>159286</v>
      </c>
      <c r="M16" s="1">
        <v>146253</v>
      </c>
      <c r="N16" s="1">
        <v>121698</v>
      </c>
      <c r="O16" s="1">
        <v>239703</v>
      </c>
    </row>
    <row r="17" spans="1:15" x14ac:dyDescent="0.15">
      <c r="A17" s="1" t="s">
        <v>31</v>
      </c>
      <c r="B17" s="1">
        <v>451.31</v>
      </c>
      <c r="C17" s="1">
        <v>448.06</v>
      </c>
      <c r="D17" s="1">
        <v>448.06</v>
      </c>
      <c r="E17" s="1">
        <v>446</v>
      </c>
      <c r="F17" s="1">
        <v>443.3</v>
      </c>
      <c r="G17" s="1">
        <v>853.86</v>
      </c>
      <c r="H17" s="1">
        <v>928.01</v>
      </c>
      <c r="I17" s="1">
        <v>1370.87</v>
      </c>
      <c r="J17" s="1">
        <v>1436.47</v>
      </c>
      <c r="K17" s="1">
        <v>1856.86</v>
      </c>
      <c r="L17" s="1">
        <v>2464</v>
      </c>
      <c r="M17" s="1">
        <v>2268</v>
      </c>
      <c r="N17" s="1">
        <v>1475</v>
      </c>
      <c r="O17" s="1">
        <v>1599</v>
      </c>
    </row>
    <row r="18" spans="1:15" x14ac:dyDescent="0.15">
      <c r="A18" s="1" t="s">
        <v>32</v>
      </c>
      <c r="B18" s="1"/>
      <c r="C18" s="1"/>
      <c r="D18" s="1"/>
      <c r="E18" s="1"/>
      <c r="F18" s="1"/>
      <c r="G18" s="1">
        <v>22384.55</v>
      </c>
      <c r="H18" s="1">
        <v>23261.38</v>
      </c>
      <c r="I18" s="1">
        <v>33657.199999999997</v>
      </c>
      <c r="J18" s="1">
        <v>3707.12</v>
      </c>
      <c r="K18" s="1">
        <v>8759.5400000000009</v>
      </c>
      <c r="L18" s="1">
        <v>159734</v>
      </c>
      <c r="M18" s="1">
        <v>515234</v>
      </c>
      <c r="N18" s="1">
        <v>877171</v>
      </c>
      <c r="O18" s="1">
        <v>1325032</v>
      </c>
    </row>
    <row r="19" spans="1:15" x14ac:dyDescent="0.15">
      <c r="A19" s="1" t="s">
        <v>33</v>
      </c>
      <c r="B19" s="1">
        <v>3903.21</v>
      </c>
      <c r="C19" s="1">
        <v>4152.6099999999997</v>
      </c>
      <c r="D19" s="1">
        <v>4633.91</v>
      </c>
      <c r="E19" s="1">
        <v>5640.54</v>
      </c>
      <c r="F19" s="1">
        <v>5716.5</v>
      </c>
      <c r="G19" s="1">
        <v>5536.04</v>
      </c>
      <c r="H19" s="1">
        <v>6259.85</v>
      </c>
      <c r="I19" s="1">
        <v>7074.94</v>
      </c>
      <c r="J19" s="1">
        <v>7518.66</v>
      </c>
      <c r="K19" s="1">
        <v>8594.25</v>
      </c>
      <c r="L19" s="1">
        <v>10101</v>
      </c>
      <c r="M19" s="1">
        <v>10735</v>
      </c>
      <c r="N19" s="1">
        <v>13929</v>
      </c>
      <c r="O19" s="1">
        <v>19062</v>
      </c>
    </row>
    <row r="20" spans="1:15" x14ac:dyDescent="0.15">
      <c r="A20" s="1" t="s">
        <v>34</v>
      </c>
      <c r="B20" s="1">
        <v>210.36</v>
      </c>
      <c r="C20" s="1">
        <v>203.04</v>
      </c>
      <c r="D20" s="1">
        <v>210.97</v>
      </c>
      <c r="E20" s="1">
        <v>230.71</v>
      </c>
      <c r="F20" s="1">
        <v>226.93</v>
      </c>
      <c r="G20" s="1">
        <v>239.58</v>
      </c>
      <c r="H20" s="1">
        <v>207.22</v>
      </c>
      <c r="I20" s="1">
        <v>205.36</v>
      </c>
      <c r="J20" s="1">
        <v>405.28</v>
      </c>
      <c r="K20" s="1">
        <v>457.03</v>
      </c>
      <c r="L20" s="1">
        <v>517</v>
      </c>
      <c r="M20" s="1">
        <v>758</v>
      </c>
      <c r="N20" s="1">
        <v>858</v>
      </c>
      <c r="O20" s="1">
        <v>879</v>
      </c>
    </row>
    <row r="21" spans="1:15" x14ac:dyDescent="0.15">
      <c r="A21" s="1" t="s">
        <v>35</v>
      </c>
      <c r="B21" s="1">
        <v>1264.68</v>
      </c>
      <c r="C21" s="1">
        <v>1744.19</v>
      </c>
      <c r="D21" s="1">
        <v>2223.17</v>
      </c>
      <c r="E21" s="1">
        <v>2672.5</v>
      </c>
      <c r="F21" s="1">
        <v>3408.12</v>
      </c>
      <c r="G21" s="1">
        <v>2894.6</v>
      </c>
      <c r="H21" s="1">
        <v>2788.61</v>
      </c>
      <c r="I21" s="1">
        <v>3108.66</v>
      </c>
      <c r="J21" s="1">
        <v>3772.72</v>
      </c>
      <c r="K21" s="1">
        <v>4269.8599999999997</v>
      </c>
      <c r="L21" s="1">
        <v>5636</v>
      </c>
      <c r="M21" s="1">
        <v>9382</v>
      </c>
      <c r="N21" s="1">
        <v>10692</v>
      </c>
      <c r="O21" s="1">
        <v>14427</v>
      </c>
    </row>
    <row r="22" spans="1:15" x14ac:dyDescent="0.15">
      <c r="A22" s="1" t="s">
        <v>36</v>
      </c>
      <c r="B22" s="1"/>
      <c r="C22" s="1"/>
      <c r="D22" s="1"/>
      <c r="E22" s="1">
        <v>0.01</v>
      </c>
      <c r="F22" s="1"/>
      <c r="G22" s="1">
        <v>7253.24</v>
      </c>
      <c r="H22" s="1">
        <v>5115.8599999999997</v>
      </c>
      <c r="I22" s="1">
        <v>3686.38</v>
      </c>
      <c r="J22" s="1">
        <v>5735.67</v>
      </c>
      <c r="K22" s="1">
        <v>4833.07</v>
      </c>
      <c r="L22" s="1">
        <v>16111</v>
      </c>
      <c r="M22" s="1">
        <v>26537</v>
      </c>
      <c r="N22" s="1">
        <v>40645</v>
      </c>
      <c r="O22" s="1">
        <v>51648</v>
      </c>
    </row>
    <row r="23" spans="1:15" x14ac:dyDescent="0.15">
      <c r="A23" s="1" t="s">
        <v>37</v>
      </c>
      <c r="B23" s="1"/>
      <c r="C23" s="1"/>
      <c r="D23" s="1"/>
      <c r="E23" s="1">
        <v>37122.29</v>
      </c>
      <c r="F23" s="1">
        <v>37876.53</v>
      </c>
      <c r="G23" s="1">
        <v>1127.79</v>
      </c>
      <c r="H23" s="1">
        <v>2443.58</v>
      </c>
      <c r="I23" s="1">
        <v>5036.3500000000004</v>
      </c>
      <c r="J23" s="1">
        <v>3476.04</v>
      </c>
      <c r="K23" s="1">
        <v>1205.94</v>
      </c>
      <c r="L23" s="1">
        <v>1379</v>
      </c>
      <c r="M23" s="1">
        <v>1565</v>
      </c>
      <c r="N23" s="1">
        <v>1635</v>
      </c>
      <c r="O23" s="1">
        <v>1657</v>
      </c>
    </row>
    <row r="24" spans="1:15" x14ac:dyDescent="0.15">
      <c r="A24" s="3" t="s">
        <v>38</v>
      </c>
      <c r="B24" s="1">
        <v>279300.71999999997</v>
      </c>
      <c r="C24" s="1">
        <v>371056.7</v>
      </c>
      <c r="D24" s="1">
        <v>455532.29</v>
      </c>
      <c r="E24" s="1">
        <v>573522.67000000004</v>
      </c>
      <c r="F24" s="1">
        <v>689344.15</v>
      </c>
      <c r="G24" s="1">
        <v>914980.35</v>
      </c>
      <c r="H24" s="1">
        <v>1309425.44</v>
      </c>
      <c r="I24" s="1">
        <v>1622717.96</v>
      </c>
      <c r="J24" s="1">
        <v>2191410.77</v>
      </c>
      <c r="K24" s="1">
        <v>2684693.69</v>
      </c>
      <c r="L24" s="1">
        <v>3145707</v>
      </c>
      <c r="M24" s="1">
        <v>3680125</v>
      </c>
      <c r="N24" s="1">
        <v>4195924</v>
      </c>
      <c r="O24" s="1">
        <v>5044352</v>
      </c>
    </row>
    <row r="25" spans="1:15" x14ac:dyDescent="0.15">
      <c r="A25" s="3" t="s">
        <v>39</v>
      </c>
      <c r="B25" s="2" t="s">
        <v>19</v>
      </c>
      <c r="C25" s="2" t="s">
        <v>19</v>
      </c>
      <c r="D25" s="2" t="s">
        <v>19</v>
      </c>
      <c r="E25" s="2" t="s">
        <v>19</v>
      </c>
      <c r="F25" s="2" t="s">
        <v>19</v>
      </c>
      <c r="G25" s="2" t="s">
        <v>19</v>
      </c>
      <c r="H25" s="2" t="s">
        <v>19</v>
      </c>
      <c r="I25" s="2" t="s">
        <v>19</v>
      </c>
      <c r="J25" s="2" t="s">
        <v>19</v>
      </c>
      <c r="K25" s="2" t="s">
        <v>19</v>
      </c>
      <c r="L25" s="2" t="s">
        <v>19</v>
      </c>
      <c r="M25" s="2" t="s">
        <v>19</v>
      </c>
      <c r="N25" s="2" t="s">
        <v>19</v>
      </c>
      <c r="O25" s="2" t="s">
        <v>19</v>
      </c>
    </row>
    <row r="26" spans="1:15" x14ac:dyDescent="0.15">
      <c r="A26" s="1" t="s">
        <v>40</v>
      </c>
      <c r="B26" s="1"/>
      <c r="C26" s="1"/>
      <c r="D26" s="1"/>
      <c r="E26" s="1">
        <v>20577.88</v>
      </c>
      <c r="F26" s="1">
        <v>30855.040000000001</v>
      </c>
      <c r="G26" s="1">
        <v>61081.31</v>
      </c>
      <c r="H26" s="1">
        <v>222440.81</v>
      </c>
      <c r="I26" s="1">
        <v>205935.41</v>
      </c>
      <c r="J26" s="1">
        <v>337818.82</v>
      </c>
      <c r="K26" s="1">
        <v>440908.27</v>
      </c>
      <c r="L26" s="1">
        <v>546564</v>
      </c>
      <c r="M26" s="1">
        <v>721119</v>
      </c>
      <c r="N26" s="1">
        <v>761531</v>
      </c>
      <c r="O26" s="1">
        <v>1042948</v>
      </c>
    </row>
    <row r="27" spans="1:15" x14ac:dyDescent="0.15">
      <c r="A27" s="1" t="s">
        <v>41</v>
      </c>
      <c r="B27" s="1"/>
      <c r="C27" s="1"/>
      <c r="D27" s="1"/>
      <c r="E27" s="1"/>
      <c r="F27" s="1"/>
      <c r="G27" s="1">
        <v>10</v>
      </c>
      <c r="H27" s="1"/>
      <c r="I27" s="1">
        <v>48</v>
      </c>
      <c r="J27" s="1">
        <v>50</v>
      </c>
      <c r="K27" s="1">
        <v>50</v>
      </c>
      <c r="L27" s="1">
        <v>115</v>
      </c>
      <c r="M27" s="1">
        <v>601</v>
      </c>
      <c r="N27" s="1">
        <v>21006</v>
      </c>
      <c r="O27" s="1">
        <v>23645</v>
      </c>
    </row>
    <row r="28" spans="1:15" x14ac:dyDescent="0.15">
      <c r="A28" s="1" t="s">
        <v>42</v>
      </c>
      <c r="B28" s="1"/>
      <c r="C28" s="1"/>
      <c r="D28" s="1"/>
      <c r="E28" s="1">
        <v>420.92</v>
      </c>
      <c r="F28" s="1">
        <v>1192.3599999999999</v>
      </c>
      <c r="G28" s="1">
        <v>5065.53</v>
      </c>
      <c r="H28" s="1">
        <v>10532.86</v>
      </c>
      <c r="I28" s="1">
        <v>3774.45</v>
      </c>
      <c r="J28" s="1">
        <v>14415.15</v>
      </c>
      <c r="K28" s="1">
        <v>66970.02</v>
      </c>
      <c r="L28" s="1">
        <v>32466</v>
      </c>
      <c r="M28" s="1">
        <v>61981</v>
      </c>
      <c r="N28" s="1">
        <v>63098</v>
      </c>
      <c r="O28" s="1">
        <v>99589</v>
      </c>
    </row>
    <row r="29" spans="1:15" x14ac:dyDescent="0.15">
      <c r="A29" s="1" t="s">
        <v>43</v>
      </c>
      <c r="B29" s="1"/>
      <c r="C29" s="1"/>
      <c r="D29" s="1"/>
      <c r="E29" s="1"/>
      <c r="F29" s="1"/>
      <c r="G29" s="1"/>
      <c r="H29" s="1"/>
      <c r="I29" s="1">
        <v>237.33</v>
      </c>
      <c r="J29" s="1"/>
      <c r="K29" s="1"/>
      <c r="L29" s="1"/>
      <c r="M29" s="1"/>
      <c r="N29" s="1">
        <v>312</v>
      </c>
      <c r="O29" s="1">
        <v>210</v>
      </c>
    </row>
    <row r="30" spans="1:15" x14ac:dyDescent="0.15">
      <c r="A30" s="1" t="s">
        <v>44</v>
      </c>
      <c r="B30" s="1"/>
      <c r="C30" s="1"/>
      <c r="D30" s="1"/>
      <c r="E30" s="1">
        <v>57.58</v>
      </c>
      <c r="F30" s="1">
        <v>32.71</v>
      </c>
      <c r="G30" s="1">
        <v>532.65</v>
      </c>
      <c r="H30" s="1">
        <v>2378.1999999999998</v>
      </c>
      <c r="I30" s="1">
        <v>605.5</v>
      </c>
      <c r="J30" s="1">
        <v>1172.08</v>
      </c>
      <c r="K30" s="1">
        <v>1515.03</v>
      </c>
      <c r="L30" s="1">
        <v>1944</v>
      </c>
      <c r="M30" s="1">
        <v>3853</v>
      </c>
      <c r="N30" s="1">
        <v>3303</v>
      </c>
      <c r="O30" s="1">
        <v>7319</v>
      </c>
    </row>
    <row r="31" spans="1:15" x14ac:dyDescent="0.15">
      <c r="A31" s="1" t="s">
        <v>45</v>
      </c>
      <c r="B31" s="1"/>
      <c r="C31" s="1"/>
      <c r="D31" s="1"/>
      <c r="E31" s="1">
        <v>1640.12</v>
      </c>
      <c r="F31" s="1">
        <v>3385.71</v>
      </c>
      <c r="G31" s="1">
        <v>2806.11</v>
      </c>
      <c r="H31" s="1">
        <v>19682.400000000001</v>
      </c>
      <c r="I31" s="1">
        <v>1264.8800000000001</v>
      </c>
      <c r="J31" s="1">
        <v>16963.47</v>
      </c>
      <c r="K31" s="1">
        <v>86019.57</v>
      </c>
      <c r="L31" s="1">
        <v>84540</v>
      </c>
      <c r="M31" s="1">
        <v>79557</v>
      </c>
      <c r="N31" s="1">
        <v>68240</v>
      </c>
      <c r="O31" s="1">
        <v>119205</v>
      </c>
    </row>
    <row r="32" spans="1:15" x14ac:dyDescent="0.15">
      <c r="A32" s="1" t="s">
        <v>46</v>
      </c>
      <c r="B32" s="1"/>
      <c r="C32" s="1"/>
      <c r="D32" s="1"/>
      <c r="E32" s="1">
        <v>507437.88</v>
      </c>
      <c r="F32" s="1">
        <v>595704.93999999994</v>
      </c>
      <c r="G32" s="1">
        <v>763472.89</v>
      </c>
      <c r="H32" s="1">
        <v>947293.58</v>
      </c>
      <c r="I32" s="1">
        <v>1295342.3400000001</v>
      </c>
      <c r="J32" s="1">
        <v>1638679.59</v>
      </c>
      <c r="K32" s="1">
        <v>1851055.12</v>
      </c>
      <c r="L32" s="1">
        <v>2134365</v>
      </c>
      <c r="M32" s="1">
        <v>2419696</v>
      </c>
      <c r="N32" s="1">
        <v>2724004</v>
      </c>
      <c r="O32" s="1">
        <v>2954149</v>
      </c>
    </row>
    <row r="33" spans="1:15" x14ac:dyDescent="0.15">
      <c r="A33" s="1"/>
      <c r="B33" s="1">
        <f>SUM(B26:B32)</f>
        <v>0</v>
      </c>
      <c r="C33" s="1">
        <f t="shared" ref="C33:G33" si="1">SUM(C26:C32)</f>
        <v>0</v>
      </c>
      <c r="D33" s="1">
        <f t="shared" si="1"/>
        <v>0</v>
      </c>
      <c r="E33" s="1">
        <f t="shared" si="1"/>
        <v>530134.38</v>
      </c>
      <c r="F33" s="1">
        <f t="shared" si="1"/>
        <v>631170.75999999989</v>
      </c>
      <c r="G33" s="1">
        <f t="shared" si="1"/>
        <v>832968.49</v>
      </c>
      <c r="H33" s="1">
        <f>SUM(H26:H32)</f>
        <v>1202327.8499999999</v>
      </c>
      <c r="I33" s="1"/>
      <c r="J33" s="1"/>
      <c r="K33" s="1"/>
      <c r="L33" s="1"/>
      <c r="M33" s="1"/>
      <c r="N33" s="1"/>
      <c r="O33" s="1"/>
    </row>
    <row r="34" spans="1:15" x14ac:dyDescent="0.15">
      <c r="A34" s="1" t="s">
        <v>47</v>
      </c>
      <c r="B34" s="1">
        <v>65.069999999999993</v>
      </c>
      <c r="C34" s="1">
        <v>152.01</v>
      </c>
      <c r="D34" s="1">
        <v>230.82</v>
      </c>
      <c r="E34" s="1">
        <v>213.51</v>
      </c>
      <c r="F34" s="1">
        <v>340.51</v>
      </c>
      <c r="G34" s="1">
        <v>6291.06</v>
      </c>
      <c r="H34" s="1">
        <v>6923.8</v>
      </c>
      <c r="I34" s="1">
        <v>6905.17</v>
      </c>
      <c r="J34" s="1">
        <v>6856.61</v>
      </c>
      <c r="K34" s="1">
        <v>6853.63</v>
      </c>
      <c r="L34" s="1">
        <v>7214</v>
      </c>
      <c r="M34" s="1">
        <v>6273</v>
      </c>
      <c r="N34" s="1">
        <v>5696</v>
      </c>
      <c r="O34" s="1">
        <v>5684</v>
      </c>
    </row>
    <row r="35" spans="1:15" x14ac:dyDescent="0.15">
      <c r="A35" s="1" t="s">
        <v>48</v>
      </c>
      <c r="B35" s="1">
        <v>648.42999999999995</v>
      </c>
      <c r="C35" s="1">
        <v>1326.8</v>
      </c>
      <c r="D35" s="1">
        <v>1740.11</v>
      </c>
      <c r="E35" s="1">
        <v>2115.13</v>
      </c>
      <c r="F35" s="1">
        <v>2870.76</v>
      </c>
      <c r="G35" s="1">
        <v>3739.17</v>
      </c>
      <c r="H35" s="1">
        <v>3418.69</v>
      </c>
      <c r="I35" s="1">
        <v>3012.87</v>
      </c>
      <c r="J35" s="1">
        <v>4178.53</v>
      </c>
      <c r="K35" s="1">
        <v>6509.67</v>
      </c>
      <c r="L35" s="1">
        <v>8295</v>
      </c>
      <c r="M35" s="1">
        <v>10496</v>
      </c>
      <c r="N35" s="1">
        <v>12066</v>
      </c>
      <c r="O35" s="1">
        <v>14776</v>
      </c>
    </row>
    <row r="36" spans="1:15" x14ac:dyDescent="0.15">
      <c r="A36" s="1" t="s">
        <v>49</v>
      </c>
      <c r="B36" s="1">
        <v>1002.18</v>
      </c>
      <c r="C36" s="1">
        <v>1072.0999999999999</v>
      </c>
      <c r="D36" s="1">
        <v>1610.27</v>
      </c>
      <c r="E36" s="1">
        <v>2245.9899999999998</v>
      </c>
      <c r="F36" s="1">
        <v>2682.37</v>
      </c>
      <c r="G36" s="1">
        <v>4293.9799999999996</v>
      </c>
      <c r="H36" s="1">
        <v>8359.99</v>
      </c>
      <c r="I36" s="1">
        <v>8302.2900000000009</v>
      </c>
      <c r="J36" s="1">
        <v>11753.81</v>
      </c>
      <c r="K36" s="1">
        <v>20278.59</v>
      </c>
      <c r="L36" s="1">
        <v>24679</v>
      </c>
      <c r="M36" s="1">
        <v>32841</v>
      </c>
      <c r="N36" s="1">
        <v>38750</v>
      </c>
      <c r="O36" s="1">
        <v>36235</v>
      </c>
    </row>
    <row r="37" spans="1:15" x14ac:dyDescent="0.15">
      <c r="A37" s="1" t="s">
        <v>50</v>
      </c>
      <c r="B37" s="1"/>
      <c r="C37" s="1"/>
      <c r="D37" s="1"/>
      <c r="E37" s="1">
        <v>9000</v>
      </c>
      <c r="F37" s="1">
        <v>11600</v>
      </c>
      <c r="G37" s="1">
        <v>17600</v>
      </c>
      <c r="H37" s="1">
        <v>18800</v>
      </c>
      <c r="I37" s="1">
        <v>18800</v>
      </c>
      <c r="J37" s="1">
        <v>16800</v>
      </c>
      <c r="K37" s="1">
        <v>32600</v>
      </c>
      <c r="L37" s="1">
        <v>68600</v>
      </c>
      <c r="M37" s="1">
        <v>63368</v>
      </c>
      <c r="N37" s="1">
        <v>146667</v>
      </c>
      <c r="O37" s="1">
        <v>399906</v>
      </c>
    </row>
    <row r="38" spans="1:15" x14ac:dyDescent="0.15">
      <c r="A38" s="1" t="s">
        <v>51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>
        <v>7</v>
      </c>
    </row>
    <row r="39" spans="1:15" x14ac:dyDescent="0.15">
      <c r="A39" s="1" t="s">
        <v>52</v>
      </c>
      <c r="B39" s="1"/>
      <c r="C39" s="1"/>
      <c r="D39" s="1"/>
      <c r="E39" s="1">
        <v>172.27</v>
      </c>
      <c r="F39" s="1">
        <v>177.13</v>
      </c>
      <c r="G39" s="1">
        <v>2098.54</v>
      </c>
      <c r="H39" s="1">
        <v>9111.73</v>
      </c>
      <c r="I39" s="1">
        <v>1416.25</v>
      </c>
      <c r="J39" s="1">
        <v>8054.54</v>
      </c>
      <c r="K39" s="1">
        <v>22378.880000000001</v>
      </c>
      <c r="L39" s="1">
        <v>57254</v>
      </c>
      <c r="M39" s="1">
        <v>73101</v>
      </c>
      <c r="N39" s="1">
        <v>87954</v>
      </c>
      <c r="O39" s="1">
        <v>22067</v>
      </c>
    </row>
    <row r="40" spans="1:15" x14ac:dyDescent="0.15">
      <c r="A40" s="1" t="s">
        <v>53</v>
      </c>
      <c r="B40" s="1"/>
      <c r="C40" s="1"/>
      <c r="D40" s="1"/>
      <c r="E40" s="1"/>
      <c r="F40" s="1">
        <v>2366.58</v>
      </c>
      <c r="G40" s="1">
        <v>19691.23</v>
      </c>
      <c r="H40" s="1">
        <v>18781.57</v>
      </c>
      <c r="I40" s="1">
        <v>8986.01</v>
      </c>
      <c r="J40" s="1">
        <v>11388.32</v>
      </c>
      <c r="K40" s="1">
        <v>12.14</v>
      </c>
      <c r="L40" s="1">
        <v>12</v>
      </c>
      <c r="M40" s="1">
        <v>12</v>
      </c>
      <c r="N40" s="1">
        <v>12</v>
      </c>
      <c r="O40" s="1">
        <v>12</v>
      </c>
    </row>
    <row r="41" spans="1:15" x14ac:dyDescent="0.15">
      <c r="A41" s="3" t="s">
        <v>54</v>
      </c>
      <c r="B41" s="1">
        <v>271340.24</v>
      </c>
      <c r="C41" s="1">
        <v>359045.78</v>
      </c>
      <c r="D41" s="1">
        <v>442021.98</v>
      </c>
      <c r="E41" s="1">
        <v>557553.21</v>
      </c>
      <c r="F41" s="1">
        <v>664638.03</v>
      </c>
      <c r="G41" s="1">
        <v>886682.48</v>
      </c>
      <c r="H41" s="1">
        <v>1267723.6399999999</v>
      </c>
      <c r="I41" s="1">
        <v>1554630.51</v>
      </c>
      <c r="J41" s="1">
        <v>2068130.92</v>
      </c>
      <c r="K41" s="1">
        <v>2535150.91</v>
      </c>
      <c r="L41" s="1">
        <v>2966048</v>
      </c>
      <c r="M41" s="1">
        <v>3472898</v>
      </c>
      <c r="N41" s="1">
        <v>3932639</v>
      </c>
      <c r="O41" s="1">
        <v>4725752</v>
      </c>
    </row>
    <row r="42" spans="1:15" x14ac:dyDescent="0.15">
      <c r="A42" s="3" t="s">
        <v>55</v>
      </c>
      <c r="B42" s="2" t="s">
        <v>19</v>
      </c>
      <c r="C42" s="2" t="s">
        <v>19</v>
      </c>
      <c r="D42" s="2" t="s">
        <v>19</v>
      </c>
      <c r="E42" s="2" t="s">
        <v>19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  <c r="O42" s="2" t="s">
        <v>19</v>
      </c>
    </row>
    <row r="43" spans="1:15" x14ac:dyDescent="0.15">
      <c r="A43" s="1" t="s">
        <v>56</v>
      </c>
      <c r="B43" s="1">
        <v>3615</v>
      </c>
      <c r="C43" s="1">
        <v>3915</v>
      </c>
      <c r="D43" s="1">
        <v>3915</v>
      </c>
      <c r="E43" s="1">
        <v>3915</v>
      </c>
      <c r="F43" s="1">
        <v>4354.88</v>
      </c>
      <c r="G43" s="1">
        <v>4354.88</v>
      </c>
      <c r="H43" s="1">
        <v>5661.35</v>
      </c>
      <c r="I43" s="1">
        <v>8830.0499999999993</v>
      </c>
      <c r="J43" s="1">
        <v>14348.82</v>
      </c>
      <c r="K43" s="1">
        <v>18653.47</v>
      </c>
      <c r="L43" s="1">
        <v>18653</v>
      </c>
      <c r="M43" s="1">
        <v>18653</v>
      </c>
      <c r="N43" s="1">
        <v>18653</v>
      </c>
      <c r="O43" s="1">
        <v>18653</v>
      </c>
    </row>
    <row r="44" spans="1:15" x14ac:dyDescent="0.15">
      <c r="A44" s="1" t="s">
        <v>57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>
        <v>14960</v>
      </c>
      <c r="O44" s="1">
        <v>29920</v>
      </c>
    </row>
    <row r="45" spans="1:15" x14ac:dyDescent="0.15">
      <c r="A45" s="1" t="s">
        <v>58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>
        <v>14960</v>
      </c>
      <c r="O45" s="1">
        <v>29920</v>
      </c>
    </row>
    <row r="46" spans="1:15" x14ac:dyDescent="0.15">
      <c r="A46" s="1" t="s">
        <v>59</v>
      </c>
      <c r="B46" s="1">
        <v>2685.04</v>
      </c>
      <c r="C46" s="1">
        <v>4869.3999999999996</v>
      </c>
      <c r="D46" s="1">
        <v>4869.3999999999996</v>
      </c>
      <c r="E46" s="1">
        <v>5110.74</v>
      </c>
      <c r="F46" s="1">
        <v>10563.44</v>
      </c>
      <c r="G46" s="1">
        <v>9300.99</v>
      </c>
      <c r="H46" s="1">
        <v>10863.37</v>
      </c>
      <c r="I46" s="1">
        <v>24318.33</v>
      </c>
      <c r="J46" s="1">
        <v>58639.17</v>
      </c>
      <c r="K46" s="1">
        <v>59543.9</v>
      </c>
      <c r="L46" s="1">
        <v>59560</v>
      </c>
      <c r="M46" s="1">
        <v>55775</v>
      </c>
      <c r="N46" s="1">
        <v>60639</v>
      </c>
      <c r="O46" s="1">
        <v>60639</v>
      </c>
    </row>
    <row r="47" spans="1:15" x14ac:dyDescent="0.15">
      <c r="A47" s="1" t="s">
        <v>60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>
        <v>1255</v>
      </c>
      <c r="O47" s="1">
        <v>5713</v>
      </c>
    </row>
    <row r="48" spans="1:15" x14ac:dyDescent="0.15">
      <c r="A48" s="1" t="s">
        <v>61</v>
      </c>
      <c r="B48" s="1">
        <v>1122.77</v>
      </c>
      <c r="C48" s="1">
        <v>1592.6</v>
      </c>
      <c r="D48" s="1">
        <v>2171.61</v>
      </c>
      <c r="E48" s="1">
        <v>2953.76</v>
      </c>
      <c r="F48" s="1">
        <v>3959.67</v>
      </c>
      <c r="G48" s="1">
        <v>5611.9</v>
      </c>
      <c r="H48" s="1">
        <v>6863.51</v>
      </c>
      <c r="I48" s="1">
        <v>10688.58</v>
      </c>
      <c r="J48" s="1">
        <v>15249.81</v>
      </c>
      <c r="K48" s="1">
        <v>21805.74</v>
      </c>
      <c r="L48" s="1">
        <v>27248</v>
      </c>
      <c r="M48" s="1">
        <v>37460</v>
      </c>
      <c r="N48" s="1">
        <v>49647</v>
      </c>
      <c r="O48" s="1">
        <v>63651</v>
      </c>
    </row>
    <row r="49" spans="1:15" x14ac:dyDescent="0.15">
      <c r="A49" s="1" t="s">
        <v>62</v>
      </c>
      <c r="B49" s="1">
        <v>37.659999999999997</v>
      </c>
      <c r="C49" s="1">
        <v>483.93</v>
      </c>
      <c r="D49" s="1">
        <v>554.29999999999995</v>
      </c>
      <c r="E49" s="1">
        <v>689.96</v>
      </c>
      <c r="F49" s="1">
        <v>1038.1300000000001</v>
      </c>
      <c r="G49" s="1">
        <v>2630.1</v>
      </c>
      <c r="H49" s="1">
        <v>11891.2</v>
      </c>
      <c r="I49" s="1">
        <v>17216.07</v>
      </c>
      <c r="J49" s="1">
        <v>25258.53</v>
      </c>
      <c r="K49" s="1">
        <v>30188.12</v>
      </c>
      <c r="L49" s="1">
        <v>48986</v>
      </c>
      <c r="M49" s="1">
        <v>63037</v>
      </c>
      <c r="N49" s="1">
        <v>78157</v>
      </c>
      <c r="O49" s="1">
        <v>90670</v>
      </c>
    </row>
    <row r="50" spans="1:15" x14ac:dyDescent="0.15">
      <c r="A50" s="1" t="s">
        <v>63</v>
      </c>
      <c r="B50" s="1"/>
      <c r="C50" s="1"/>
      <c r="D50" s="1"/>
      <c r="E50" s="1">
        <v>3300</v>
      </c>
      <c r="F50" s="1">
        <v>4790</v>
      </c>
      <c r="G50" s="1">
        <v>6400</v>
      </c>
      <c r="H50" s="1">
        <v>6400</v>
      </c>
      <c r="I50" s="1">
        <v>6900</v>
      </c>
      <c r="J50" s="1">
        <v>9500</v>
      </c>
      <c r="K50" s="1">
        <v>18700</v>
      </c>
      <c r="L50" s="1">
        <v>23050</v>
      </c>
      <c r="M50" s="1">
        <v>29450</v>
      </c>
      <c r="N50" s="1">
        <v>36858</v>
      </c>
      <c r="O50" s="1">
        <v>45924</v>
      </c>
    </row>
    <row r="51" spans="1:15" x14ac:dyDescent="0.15">
      <c r="A51" s="3" t="s">
        <v>64</v>
      </c>
      <c r="B51" s="1">
        <v>7960.48</v>
      </c>
      <c r="C51" s="1">
        <v>12010.92</v>
      </c>
      <c r="D51" s="1">
        <v>13510.3</v>
      </c>
      <c r="E51" s="1">
        <v>15969.46</v>
      </c>
      <c r="F51" s="1">
        <v>24706.13</v>
      </c>
      <c r="G51" s="1">
        <v>28297.87</v>
      </c>
      <c r="H51" s="1">
        <v>41679.440000000002</v>
      </c>
      <c r="I51" s="1">
        <v>67953.03</v>
      </c>
      <c r="J51" s="1">
        <v>122996.34</v>
      </c>
      <c r="K51" s="1">
        <v>148891.23000000001</v>
      </c>
      <c r="L51" s="1">
        <v>177497</v>
      </c>
      <c r="M51" s="1">
        <v>204375</v>
      </c>
      <c r="N51" s="1">
        <v>260169</v>
      </c>
      <c r="O51" s="1">
        <v>315170</v>
      </c>
    </row>
    <row r="52" spans="1:15" x14ac:dyDescent="0.15">
      <c r="A52" s="1" t="s">
        <v>65</v>
      </c>
      <c r="B52" s="1"/>
      <c r="C52" s="1"/>
      <c r="D52" s="1"/>
      <c r="E52" s="1"/>
      <c r="F52" s="1"/>
      <c r="G52" s="1"/>
      <c r="H52" s="1">
        <v>22.36</v>
      </c>
      <c r="I52" s="1">
        <v>134.41999999999999</v>
      </c>
      <c r="J52" s="1">
        <v>283.51</v>
      </c>
      <c r="K52" s="1">
        <v>651.54</v>
      </c>
      <c r="L52" s="1">
        <v>2162</v>
      </c>
      <c r="M52" s="1">
        <v>2852</v>
      </c>
      <c r="N52" s="1">
        <v>3116</v>
      </c>
      <c r="O52" s="1">
        <v>3430</v>
      </c>
    </row>
    <row r="53" spans="1:15" x14ac:dyDescent="0.15">
      <c r="A53" s="3" t="s">
        <v>66</v>
      </c>
      <c r="B53" s="1">
        <v>7960.48</v>
      </c>
      <c r="C53" s="1">
        <v>12010.92</v>
      </c>
      <c r="D53" s="1">
        <v>13510.3</v>
      </c>
      <c r="E53" s="1">
        <v>15969.46</v>
      </c>
      <c r="F53" s="1">
        <v>24706.13</v>
      </c>
      <c r="G53" s="1">
        <v>28297.87</v>
      </c>
      <c r="H53" s="1">
        <v>41701.800000000003</v>
      </c>
      <c r="I53" s="1">
        <v>68087.45</v>
      </c>
      <c r="J53" s="1">
        <v>123279.85</v>
      </c>
      <c r="K53" s="1">
        <v>149542.78</v>
      </c>
      <c r="L53" s="1">
        <v>179659</v>
      </c>
      <c r="M53" s="1">
        <v>207227</v>
      </c>
      <c r="N53" s="1">
        <v>263285</v>
      </c>
      <c r="O53" s="1">
        <v>318600</v>
      </c>
    </row>
    <row r="54" spans="1:15" x14ac:dyDescent="0.15">
      <c r="A54" s="3" t="s">
        <v>67</v>
      </c>
      <c r="B54" s="1">
        <v>279300.71999999997</v>
      </c>
      <c r="C54" s="1">
        <v>371056.7</v>
      </c>
      <c r="D54" s="1">
        <v>455532.29</v>
      </c>
      <c r="E54" s="1">
        <v>573522.67000000004</v>
      </c>
      <c r="F54" s="1">
        <v>689344.15</v>
      </c>
      <c r="G54" s="1">
        <v>914980.35</v>
      </c>
      <c r="H54" s="1">
        <v>1309425.44</v>
      </c>
      <c r="I54" s="1">
        <v>1622717.96</v>
      </c>
      <c r="J54" s="1">
        <v>2191410.77</v>
      </c>
      <c r="K54" s="1">
        <v>2684693.69</v>
      </c>
      <c r="L54" s="1">
        <v>3145707</v>
      </c>
      <c r="M54" s="1">
        <v>3680125</v>
      </c>
      <c r="N54" s="1">
        <v>4195924</v>
      </c>
      <c r="O54" s="1">
        <v>5044352</v>
      </c>
    </row>
    <row r="55" spans="1:15" x14ac:dyDescent="0.15">
      <c r="A55" s="1" t="s">
        <v>68</v>
      </c>
      <c r="B55" s="2" t="s">
        <v>69</v>
      </c>
      <c r="C55" s="2" t="s">
        <v>69</v>
      </c>
      <c r="D55" s="2" t="s">
        <v>69</v>
      </c>
      <c r="E55" s="2" t="s">
        <v>69</v>
      </c>
      <c r="F55" s="2" t="s">
        <v>69</v>
      </c>
      <c r="G55" s="2" t="s">
        <v>69</v>
      </c>
      <c r="H55" s="2" t="s">
        <v>69</v>
      </c>
      <c r="I55" s="2" t="s">
        <v>69</v>
      </c>
      <c r="J55" s="2" t="s">
        <v>69</v>
      </c>
      <c r="K55" s="2" t="s">
        <v>69</v>
      </c>
      <c r="L55" s="2" t="s">
        <v>69</v>
      </c>
      <c r="M55" s="2" t="s">
        <v>69</v>
      </c>
      <c r="N55" s="2" t="s">
        <v>69</v>
      </c>
      <c r="O55" s="2" t="s">
        <v>69</v>
      </c>
    </row>
    <row r="56" spans="1:15" x14ac:dyDescent="0.15">
      <c r="A56" s="1" t="s">
        <v>70</v>
      </c>
      <c r="B56" s="2" t="s">
        <v>69</v>
      </c>
      <c r="C56" s="2" t="s">
        <v>69</v>
      </c>
      <c r="D56" s="2" t="s">
        <v>69</v>
      </c>
      <c r="E56" s="2" t="s">
        <v>69</v>
      </c>
      <c r="F56" s="2" t="s">
        <v>69</v>
      </c>
      <c r="G56" s="2" t="s">
        <v>69</v>
      </c>
      <c r="H56" s="2" t="s">
        <v>69</v>
      </c>
      <c r="I56" s="2" t="s">
        <v>69</v>
      </c>
      <c r="J56" s="2" t="s">
        <v>69</v>
      </c>
      <c r="K56" s="2" t="s">
        <v>69</v>
      </c>
      <c r="L56" s="2" t="s">
        <v>69</v>
      </c>
      <c r="M56" s="2" t="s">
        <v>69</v>
      </c>
      <c r="N56" s="2" t="s">
        <v>69</v>
      </c>
      <c r="O56" s="2" t="s">
        <v>69</v>
      </c>
    </row>
    <row r="57" spans="1:15" x14ac:dyDescent="0.15">
      <c r="A57" s="1" t="s">
        <v>71</v>
      </c>
      <c r="B57" s="2" t="s">
        <v>72</v>
      </c>
      <c r="C57" s="2" t="s">
        <v>72</v>
      </c>
      <c r="D57" s="2" t="s">
        <v>72</v>
      </c>
      <c r="E57" s="2" t="s">
        <v>72</v>
      </c>
      <c r="F57" s="2" t="s">
        <v>72</v>
      </c>
      <c r="G57" s="2" t="s">
        <v>72</v>
      </c>
      <c r="H57" s="2" t="s">
        <v>72</v>
      </c>
      <c r="I57" s="2" t="s">
        <v>72</v>
      </c>
      <c r="J57" s="2" t="s">
        <v>72</v>
      </c>
      <c r="K57" s="2" t="s">
        <v>72</v>
      </c>
      <c r="L57" s="2" t="s">
        <v>72</v>
      </c>
      <c r="M57" s="2" t="s">
        <v>72</v>
      </c>
      <c r="N57" s="2" t="s">
        <v>72</v>
      </c>
      <c r="O57" s="2" t="s">
        <v>72</v>
      </c>
    </row>
    <row r="58" spans="1:15" x14ac:dyDescent="0.15">
      <c r="A58" s="1" t="s">
        <v>73</v>
      </c>
      <c r="B58" s="2" t="s">
        <v>74</v>
      </c>
      <c r="C58" s="2" t="s">
        <v>74</v>
      </c>
      <c r="D58" s="2" t="s">
        <v>74</v>
      </c>
      <c r="E58" s="2" t="s">
        <v>74</v>
      </c>
      <c r="F58" s="2" t="s">
        <v>74</v>
      </c>
      <c r="G58" s="2" t="s">
        <v>74</v>
      </c>
      <c r="H58" s="2" t="s">
        <v>74</v>
      </c>
      <c r="I58" s="2" t="s">
        <v>74</v>
      </c>
      <c r="J58" s="2" t="s">
        <v>74</v>
      </c>
      <c r="K58" s="2" t="s">
        <v>74</v>
      </c>
      <c r="L58" s="2" t="s">
        <v>74</v>
      </c>
      <c r="M58" s="2" t="s">
        <v>74</v>
      </c>
      <c r="N58" s="2" t="s">
        <v>74</v>
      </c>
      <c r="O58" s="2" t="s">
        <v>74</v>
      </c>
    </row>
    <row r="59" spans="1:15" x14ac:dyDescent="0.15">
      <c r="A59" s="1" t="s">
        <v>75</v>
      </c>
      <c r="B59" s="2" t="s">
        <v>76</v>
      </c>
      <c r="C59" s="2" t="s">
        <v>76</v>
      </c>
      <c r="D59" s="2" t="s">
        <v>76</v>
      </c>
      <c r="E59" s="2" t="s">
        <v>76</v>
      </c>
      <c r="F59" s="2" t="s">
        <v>76</v>
      </c>
      <c r="G59" s="2" t="s">
        <v>76</v>
      </c>
      <c r="H59" s="2" t="s">
        <v>76</v>
      </c>
      <c r="I59" s="2" t="s">
        <v>76</v>
      </c>
      <c r="J59" s="2" t="s">
        <v>76</v>
      </c>
      <c r="K59" s="2" t="s">
        <v>76</v>
      </c>
      <c r="L59" s="2" t="s">
        <v>76</v>
      </c>
      <c r="M59" s="2" t="s">
        <v>76</v>
      </c>
      <c r="N59" s="2" t="s">
        <v>76</v>
      </c>
      <c r="O59" s="2" t="s">
        <v>76</v>
      </c>
    </row>
    <row r="60" spans="1:15" x14ac:dyDescent="0.15">
      <c r="A60" s="1" t="s">
        <v>77</v>
      </c>
      <c r="B60" s="2" t="s">
        <v>76</v>
      </c>
      <c r="C60" s="2" t="s">
        <v>76</v>
      </c>
      <c r="D60" s="2" t="s">
        <v>76</v>
      </c>
      <c r="E60" s="2" t="s">
        <v>76</v>
      </c>
      <c r="F60" s="2" t="s">
        <v>76</v>
      </c>
      <c r="G60" s="2" t="s">
        <v>76</v>
      </c>
      <c r="H60" s="2" t="s">
        <v>76</v>
      </c>
      <c r="I60" s="2" t="s">
        <v>19</v>
      </c>
      <c r="J60" s="2" t="s">
        <v>76</v>
      </c>
      <c r="K60" s="2" t="s">
        <v>76</v>
      </c>
      <c r="L60" s="2" t="s">
        <v>76</v>
      </c>
      <c r="M60" s="2" t="s">
        <v>76</v>
      </c>
      <c r="N60" s="2" t="s">
        <v>76</v>
      </c>
      <c r="O60" s="2" t="s">
        <v>76</v>
      </c>
    </row>
    <row r="61" spans="1:15" x14ac:dyDescent="0.15">
      <c r="A61" s="1" t="s">
        <v>78</v>
      </c>
      <c r="B61" s="1" t="s">
        <v>79</v>
      </c>
      <c r="C61" s="1" t="s">
        <v>79</v>
      </c>
      <c r="D61" s="1" t="s">
        <v>79</v>
      </c>
      <c r="E61" s="1" t="s">
        <v>79</v>
      </c>
      <c r="F61" s="1" t="s">
        <v>79</v>
      </c>
      <c r="G61" s="1" t="s">
        <v>79</v>
      </c>
      <c r="H61" s="1" t="s">
        <v>79</v>
      </c>
      <c r="I61" s="1" t="s">
        <v>79</v>
      </c>
      <c r="J61" s="1" t="s">
        <v>79</v>
      </c>
      <c r="K61" s="1" t="s">
        <v>79</v>
      </c>
      <c r="L61" s="1" t="s">
        <v>79</v>
      </c>
      <c r="M61" s="1" t="s">
        <v>79</v>
      </c>
      <c r="N61" s="1" t="s">
        <v>79</v>
      </c>
      <c r="O61" s="1" t="s">
        <v>79</v>
      </c>
    </row>
    <row r="62" spans="1:15" x14ac:dyDescent="0.15">
      <c r="A62" s="1" t="s">
        <v>80</v>
      </c>
      <c r="B62" s="2" t="s">
        <v>81</v>
      </c>
      <c r="C62" s="2" t="s">
        <v>82</v>
      </c>
      <c r="D62" s="2" t="s">
        <v>83</v>
      </c>
      <c r="E62" s="2" t="s">
        <v>84</v>
      </c>
      <c r="F62" s="2" t="s">
        <v>84</v>
      </c>
      <c r="G62" s="2" t="s">
        <v>85</v>
      </c>
      <c r="H62" s="2" t="s">
        <v>86</v>
      </c>
      <c r="I62" s="2" t="s">
        <v>87</v>
      </c>
      <c r="J62" s="2" t="s">
        <v>88</v>
      </c>
      <c r="K62" s="2" t="s">
        <v>89</v>
      </c>
      <c r="L62" s="2" t="s">
        <v>90</v>
      </c>
      <c r="M62" s="2" t="s">
        <v>91</v>
      </c>
      <c r="N62" s="2" t="s">
        <v>92</v>
      </c>
      <c r="O62" s="2" t="s">
        <v>93</v>
      </c>
    </row>
    <row r="63" spans="1:15" x14ac:dyDescent="0.15">
      <c r="A63" s="1" t="s">
        <v>94</v>
      </c>
      <c r="B63" s="2" t="s">
        <v>95</v>
      </c>
      <c r="C63" s="2" t="s">
        <v>95</v>
      </c>
      <c r="D63" s="2" t="s">
        <v>95</v>
      </c>
      <c r="E63" s="2" t="s">
        <v>96</v>
      </c>
      <c r="F63" s="2" t="s">
        <v>96</v>
      </c>
      <c r="G63" s="2" t="s">
        <v>96</v>
      </c>
      <c r="H63" s="2" t="s">
        <v>96</v>
      </c>
      <c r="I63" s="2" t="s">
        <v>96</v>
      </c>
      <c r="J63" s="2" t="s">
        <v>96</v>
      </c>
      <c r="K63" s="2" t="s">
        <v>96</v>
      </c>
      <c r="L63" s="2" t="s">
        <v>96</v>
      </c>
      <c r="M63" s="2" t="s">
        <v>96</v>
      </c>
      <c r="N63" s="2" t="s">
        <v>96</v>
      </c>
      <c r="O63" s="2" t="s">
        <v>96</v>
      </c>
    </row>
    <row r="67" spans="1:1" x14ac:dyDescent="0.15">
      <c r="A67" t="s">
        <v>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600000.SH-资产负债表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2016-05-29T11:46:36Z</dcterms:created>
  <dcterms:modified xsi:type="dcterms:W3CDTF">2016-05-29T11:52:51Z</dcterms:modified>
</cp:coreProperties>
</file>