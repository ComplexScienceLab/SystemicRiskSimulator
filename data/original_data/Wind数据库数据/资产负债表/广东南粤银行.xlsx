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F0200071.00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4" i="2" l="1"/>
  <c r="F14" i="2"/>
  <c r="G14" i="2"/>
  <c r="H14" i="2"/>
  <c r="D14" i="2"/>
  <c r="E37" i="2"/>
  <c r="F37" i="2"/>
  <c r="G37" i="2"/>
  <c r="H37" i="2"/>
  <c r="I37" i="2"/>
  <c r="D37" i="2"/>
</calcChain>
</file>

<file path=xl/sharedStrings.xml><?xml version="1.0" encoding="utf-8"?>
<sst xmlns="http://schemas.openxmlformats.org/spreadsheetml/2006/main" count="208" uniqueCount="100">
  <si>
    <t>2006-12-31</t>
  </si>
  <si>
    <t>2007-12-31</t>
  </si>
  <si>
    <t>2008-12-31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</si>
  <si>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</si>
  <si>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</si>
  <si>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</si>
  <si>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</si>
  <si>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</si>
  <si>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</si>
  <si>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</si>
  <si>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</si>
  <si>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</si>
  <si>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</si>
  <si>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</si>
  <si>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</si>
  <si>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</si>
  <si>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</si>
  <si>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贵金属</t>
  </si>
  <si>
    <t>　　拆出资金</t>
  </si>
  <si>
    <t>　　交易性金融资产</t>
  </si>
  <si>
    <t>　　衍生金融资产</t>
  </si>
  <si>
    <t>　　买入返售金融资产</t>
  </si>
  <si>
    <t>　　应收利息</t>
  </si>
  <si>
    <t>　　发放贷款及垫款</t>
  </si>
  <si>
    <t>　　代理业务资产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</si>
  <si>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</si>
  <si>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</si>
  <si>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</si>
  <si>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</si>
  <si>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</si>
  <si>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</si>
  <si>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商誉</t>
  </si>
  <si>
    <t>　　递延所得税资产</t>
  </si>
  <si>
    <t>　　投资性房地产</t>
  </si>
  <si>
    <t>　　其他资产</t>
  </si>
  <si>
    <t>资产差额(特殊报表科目)</t>
  </si>
  <si>
    <t>资产差额(合计平衡项目)</t>
  </si>
  <si>
    <t>资产总计</t>
  </si>
  <si>
    <t>负债：</t>
  </si>
  <si>
    <t>　　同业和其它金融机构存放款项</t>
  </si>
  <si>
    <t>　　向中央银行借款</t>
  </si>
  <si>
    <t>　　拆入资金</t>
  </si>
  <si>
    <t>　　交易性金融负债</t>
  </si>
  <si>
    <t>　　衍生金融负债</t>
  </si>
  <si>
    <t>　　卖出回购金融资产款</t>
  </si>
  <si>
    <t>　　吸收存款</t>
  </si>
  <si>
    <t>　　应付职工薪酬</t>
  </si>
  <si>
    <t>　　应交税费</t>
  </si>
  <si>
    <t>　　应付利息</t>
  </si>
  <si>
    <t>　　代理业务负债</t>
  </si>
  <si>
    <t>　　应付债券</t>
  </si>
  <si>
    <t>　　递延所得税负债</t>
  </si>
  <si>
    <t>　　预计负债</t>
  </si>
  <si>
    <t>　　其他负债</t>
  </si>
  <si>
    <t>　　负债差额(特殊报表科目)</t>
  </si>
  <si>
    <t>　　负债差额(合计平衡项目)</t>
  </si>
  <si>
    <t>　　负债合计</t>
  </si>
  <si>
    <t>所有者权益(或股东权益)：</t>
  </si>
  <si>
    <t>　　股本</t>
  </si>
  <si>
    <t>　　其它权益工具</t>
  </si>
  <si>
    <t>　　　　其它权益工具：优先股</t>
  </si>
  <si>
    <t>　　资本公积金</t>
  </si>
  <si>
    <t>　　减：库存股</t>
  </si>
  <si>
    <t>　　其它综合收益</t>
  </si>
  <si>
    <t>　　盈余公积金</t>
  </si>
  <si>
    <t>　　未分配利润</t>
  </si>
  <si>
    <t>　　一般风险准备</t>
  </si>
  <si>
    <t>　　外币报表折算差额</t>
  </si>
  <si>
    <t>　　未确认的投资损失</t>
  </si>
  <si>
    <t>　　股东权益差额(特殊报表科目)</t>
  </si>
  <si>
    <t>　　股权权益差额(合计平衡项目)</t>
  </si>
  <si>
    <t>　　归属于母公司所有者权益合计</t>
  </si>
  <si>
    <t>　　少数股东权益</t>
  </si>
  <si>
    <t>　　所有者权益合计</t>
  </si>
  <si>
    <t>负债及股东权益差额(特殊报表项目)</t>
  </si>
  <si>
    <t>负债及股东权益差额(合计平衡项目)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</si>
  <si>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</si>
  <si>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</si>
  <si>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</si>
  <si>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</si>
  <si>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</si>
  <si>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</si>
  <si>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</si>
  <si>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</si>
  <si>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</si>
  <si>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</si>
  <si>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审计意见(境外)</t>
  </si>
  <si>
    <t>原始报表</t>
  </si>
  <si>
    <t>点击浏览</t>
  </si>
  <si>
    <t>公告日期</t>
  </si>
  <si>
    <t>2008-04-29</t>
  </si>
  <si>
    <t>2009-04-10</t>
  </si>
  <si>
    <t>2012-04-24</t>
  </si>
  <si>
    <t>2013-04-27</t>
  </si>
  <si>
    <t>2014-03-31</t>
  </si>
  <si>
    <t>2015-04-30</t>
  </si>
  <si>
    <t>2016-04-21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</si>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</sst>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##,##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1"/>
  <sheetViews>
    <sheetView tabSelected="1" topLeftCell="A28" workbookViewId="0">
      <selection activeCell="D37" sqref="D37"/>
    </sheetView>
  </sheetViews>
  <sheetFormatPr defaultRowHeight="13.5" x14ac:dyDescent="0.15"/>
  <cols>
    <col min="1" max="1" width="34.125" bestFit="1" customWidth="1"/>
    <col min="2" max="2" width="11.625" bestFit="1" customWidth="1"/>
    <col min="3" max="4" width="15.125" bestFit="1" customWidth="1"/>
    <col min="5" max="5" width="11.625" bestFit="1" customWidth="1"/>
    <col min="6" max="10" width="15.125" bestFit="1" customWidth="1"/>
  </cols>
  <sheetData>
    <row r="1" spans="1:10" x14ac:dyDescent="0.1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</row>
    <row r="2" spans="1:10" x14ac:dyDescent="0.15">
      <c r="A2" t="s">
        <v>9</v>
      </c>
      <c r="B2" s="3" t="s">
        <v>10</v>
      </c>
      <c r="C2" s="3" t="s">
        <v>10</v>
      </c>
      <c r="D2" s="3" t="s">
        <v>10</v>
      </c>
      <c r="E2" s="3" t="s">
        <v>10</v>
      </c>
      <c r="F2" s="3" t="s">
        <v>10</v>
      </c>
      <c r="G2" s="3" t="s">
        <v>10</v>
      </c>
      <c r="H2" s="3" t="s">
        <v>10</v>
      </c>
      <c r="I2" s="3" t="s">
        <v>10</v>
      </c>
      <c r="J2" s="3" t="s">
        <v>10</v>
      </c>
    </row>
    <row r="3" spans="1:10" x14ac:dyDescent="0.15">
      <c r="A3" t="s">
        <v>11</v>
      </c>
      <c r="B3" s="3" t="s">
        <v>12</v>
      </c>
      <c r="C3" s="3" t="s">
        <v>12</v>
      </c>
      <c r="D3" s="3" t="s">
        <v>12</v>
      </c>
      <c r="E3" s="3" t="s">
        <v>12</v>
      </c>
      <c r="F3" s="3" t="s">
        <v>12</v>
      </c>
      <c r="G3" s="3" t="s">
        <v>12</v>
      </c>
      <c r="H3" s="3" t="s">
        <v>12</v>
      </c>
      <c r="I3" s="3" t="s">
        <v>12</v>
      </c>
      <c r="J3" s="3" t="s">
        <v>12</v>
      </c>
    </row>
    <row r="4" spans="1:10" x14ac:dyDescent="0.15">
      <c r="A4" s="2" t="s">
        <v>13</v>
      </c>
      <c r="B4" s="3" t="s">
        <v>14</v>
      </c>
      <c r="C4" s="3" t="s">
        <v>14</v>
      </c>
      <c r="D4" s="3" t="s">
        <v>14</v>
      </c>
      <c r="E4" s="3" t="s">
        <v>14</v>
      </c>
      <c r="F4" s="3" t="s">
        <v>14</v>
      </c>
      <c r="G4" s="3" t="s">
        <v>14</v>
      </c>
      <c r="H4" s="3" t="s">
        <v>14</v>
      </c>
      <c r="I4" s="3" t="s">
        <v>14</v>
      </c>
      <c r="J4" s="3" t="s">
        <v>14</v>
      </c>
    </row>
    <row r="5" spans="1:10" x14ac:dyDescent="0.15">
      <c r="A5" t="s">
        <v>15</v>
      </c>
      <c r="B5" s="1">
        <v>1745.92</v>
      </c>
      <c r="C5" s="1">
        <v>2271.71</v>
      </c>
      <c r="D5" s="1">
        <v>2883.47</v>
      </c>
      <c r="E5" s="1">
        <v>7473.02</v>
      </c>
      <c r="F5" s="1">
        <v>10621.39</v>
      </c>
      <c r="G5" s="1">
        <v>14300.08</v>
      </c>
      <c r="H5" s="1">
        <v>17450.310000000001</v>
      </c>
      <c r="I5" s="1">
        <v>19753.38</v>
      </c>
      <c r="J5" s="1">
        <v>20087.54</v>
      </c>
    </row>
    <row r="6" spans="1:10" x14ac:dyDescent="0.15">
      <c r="A6" t="s">
        <v>16</v>
      </c>
      <c r="B6" s="1">
        <v>30.5</v>
      </c>
      <c r="C6" s="1">
        <v>550.71</v>
      </c>
      <c r="D6" s="1">
        <v>502.56</v>
      </c>
      <c r="E6" s="1">
        <v>4757.6000000000004</v>
      </c>
      <c r="F6" s="1">
        <v>15135.88</v>
      </c>
      <c r="G6" s="1">
        <v>5318.35</v>
      </c>
      <c r="H6" s="1">
        <v>10895.82</v>
      </c>
      <c r="I6" s="1">
        <v>7736.88</v>
      </c>
      <c r="J6" s="1">
        <v>11422.58</v>
      </c>
    </row>
    <row r="7" spans="1:10" x14ac:dyDescent="0.15">
      <c r="A7" t="s">
        <v>17</v>
      </c>
      <c r="B7" s="1"/>
      <c r="C7" s="1"/>
      <c r="D7" s="1"/>
      <c r="E7" s="1"/>
      <c r="F7" s="1"/>
      <c r="G7" s="1"/>
      <c r="H7" s="1"/>
      <c r="I7" s="1"/>
      <c r="J7" s="1"/>
    </row>
    <row r="8" spans="1:10" x14ac:dyDescent="0.15">
      <c r="A8" t="s">
        <v>18</v>
      </c>
      <c r="B8" s="1"/>
      <c r="C8" s="1"/>
      <c r="D8" s="1"/>
      <c r="E8" s="1"/>
      <c r="F8" s="1"/>
      <c r="G8" s="1">
        <v>817.12</v>
      </c>
      <c r="H8" s="1">
        <v>30.48</v>
      </c>
      <c r="I8" s="1">
        <v>61.19</v>
      </c>
      <c r="J8" s="1">
        <v>117.21</v>
      </c>
    </row>
    <row r="9" spans="1:10" x14ac:dyDescent="0.15">
      <c r="A9" t="s">
        <v>19</v>
      </c>
      <c r="B9" s="1"/>
      <c r="C9" s="1"/>
      <c r="D9" s="1"/>
      <c r="E9" s="1"/>
      <c r="F9" s="1"/>
      <c r="G9" s="1">
        <v>606.12</v>
      </c>
      <c r="H9" s="1">
        <v>890</v>
      </c>
      <c r="I9" s="1">
        <v>7665.08</v>
      </c>
      <c r="J9" s="1">
        <v>9552.7099999999991</v>
      </c>
    </row>
    <row r="10" spans="1:10" x14ac:dyDescent="0.15">
      <c r="A10" t="s">
        <v>20</v>
      </c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15">
      <c r="A11" t="s">
        <v>21</v>
      </c>
      <c r="B11" s="1"/>
      <c r="C11" s="1"/>
      <c r="D11" s="1">
        <v>1708.65</v>
      </c>
      <c r="E11" s="1">
        <v>6403.32</v>
      </c>
      <c r="F11" s="1">
        <v>5365.86</v>
      </c>
      <c r="G11" s="1">
        <v>29173.46</v>
      </c>
      <c r="H11" s="1">
        <v>15164.11</v>
      </c>
      <c r="I11" s="1">
        <v>4847.99</v>
      </c>
      <c r="J11" s="1">
        <v>4720.1000000000004</v>
      </c>
    </row>
    <row r="12" spans="1:10" x14ac:dyDescent="0.15">
      <c r="A12" t="s">
        <v>22</v>
      </c>
      <c r="B12" s="1"/>
      <c r="C12" s="1"/>
      <c r="D12" s="1"/>
      <c r="E12" s="1"/>
      <c r="F12" s="1"/>
      <c r="G12" s="1">
        <v>205.75</v>
      </c>
      <c r="H12" s="1">
        <v>510.26</v>
      </c>
      <c r="I12" s="1">
        <v>923.01</v>
      </c>
      <c r="J12" s="1">
        <v>1159.3</v>
      </c>
    </row>
    <row r="13" spans="1:10" x14ac:dyDescent="0.15">
      <c r="A13" t="s">
        <v>23</v>
      </c>
      <c r="B13" s="1"/>
      <c r="C13" s="1"/>
      <c r="D13" s="1">
        <v>9076.31</v>
      </c>
      <c r="E13" s="1">
        <v>18546.52</v>
      </c>
      <c r="F13" s="1">
        <v>24381.86</v>
      </c>
      <c r="G13" s="1">
        <v>32863.980000000003</v>
      </c>
      <c r="H13" s="1">
        <v>42994.25</v>
      </c>
      <c r="I13" s="1">
        <v>52480.91</v>
      </c>
      <c r="J13" s="1">
        <v>68286.84</v>
      </c>
    </row>
    <row r="14" spans="1:10" x14ac:dyDescent="0.15">
      <c r="B14" s="1"/>
      <c r="C14" s="1"/>
      <c r="D14" s="1">
        <f>D13+D12</f>
        <v>9076.31</v>
      </c>
      <c r="E14" s="1">
        <f t="shared" ref="E14:H14" si="0">E13+E12</f>
        <v>18546.52</v>
      </c>
      <c r="F14" s="1">
        <f t="shared" si="0"/>
        <v>24381.86</v>
      </c>
      <c r="G14" s="1">
        <f t="shared" si="0"/>
        <v>33069.730000000003</v>
      </c>
      <c r="H14" s="1">
        <f t="shared" si="0"/>
        <v>43504.51</v>
      </c>
      <c r="I14" s="1"/>
      <c r="J14" s="1"/>
    </row>
    <row r="15" spans="1:10" x14ac:dyDescent="0.15">
      <c r="A15" t="s">
        <v>24</v>
      </c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15">
      <c r="A16" t="s">
        <v>25</v>
      </c>
      <c r="B16" s="1"/>
      <c r="C16" s="1"/>
      <c r="D16" s="1"/>
      <c r="E16" s="1"/>
      <c r="F16" s="1"/>
      <c r="G16" s="1"/>
      <c r="H16" s="1"/>
      <c r="I16" s="1">
        <v>3761.18</v>
      </c>
      <c r="J16" s="1">
        <v>7670.84</v>
      </c>
    </row>
    <row r="17" spans="1:10" x14ac:dyDescent="0.15">
      <c r="A17" t="s">
        <v>26</v>
      </c>
      <c r="B17" s="1"/>
      <c r="C17" s="1"/>
      <c r="D17" s="1"/>
      <c r="E17" s="1"/>
      <c r="F17" s="1"/>
      <c r="G17" s="1">
        <v>23169.37</v>
      </c>
      <c r="H17" s="1">
        <v>39928.239999999998</v>
      </c>
      <c r="I17" s="1">
        <v>4607.2700000000004</v>
      </c>
      <c r="J17" s="1">
        <v>5753.13</v>
      </c>
    </row>
    <row r="18" spans="1:10" x14ac:dyDescent="0.15">
      <c r="A18" t="s">
        <v>27</v>
      </c>
      <c r="B18" s="1"/>
      <c r="C18" s="1"/>
      <c r="D18" s="1"/>
      <c r="E18" s="1">
        <v>1708.57</v>
      </c>
      <c r="F18" s="1">
        <v>4360.8500000000004</v>
      </c>
      <c r="G18" s="1"/>
      <c r="H18" s="1"/>
      <c r="I18" s="1"/>
      <c r="J18" s="1"/>
    </row>
    <row r="19" spans="1:10" x14ac:dyDescent="0.15">
      <c r="A19" t="s">
        <v>28</v>
      </c>
      <c r="B19" s="1"/>
      <c r="C19" s="1"/>
      <c r="D19" s="1">
        <v>100.37</v>
      </c>
      <c r="E19" s="1"/>
      <c r="F19" s="1"/>
      <c r="G19" s="1">
        <v>150.25</v>
      </c>
      <c r="H19" s="1"/>
      <c r="I19" s="1">
        <v>37597.17</v>
      </c>
      <c r="J19" s="1">
        <v>31845.96</v>
      </c>
    </row>
    <row r="20" spans="1:10" x14ac:dyDescent="0.15">
      <c r="A20" t="s">
        <v>29</v>
      </c>
      <c r="B20" s="1"/>
      <c r="C20" s="1"/>
      <c r="D20" s="1">
        <v>82.37</v>
      </c>
      <c r="E20" s="1">
        <v>108.41</v>
      </c>
      <c r="F20" s="1">
        <v>144.88999999999999</v>
      </c>
      <c r="G20" s="1">
        <v>235.66</v>
      </c>
      <c r="H20" s="1">
        <v>222.52</v>
      </c>
      <c r="I20" s="1">
        <v>343.53</v>
      </c>
      <c r="J20" s="1">
        <v>522.16</v>
      </c>
    </row>
    <row r="21" spans="1:10" x14ac:dyDescent="0.15">
      <c r="A21" t="s">
        <v>30</v>
      </c>
      <c r="B21" s="1">
        <v>3.71</v>
      </c>
      <c r="C21" s="1">
        <v>9.73</v>
      </c>
      <c r="D21" s="1">
        <v>16.78</v>
      </c>
      <c r="E21" s="1">
        <v>19.760000000000002</v>
      </c>
      <c r="F21" s="1">
        <v>18.14</v>
      </c>
      <c r="G21" s="1">
        <v>19.11</v>
      </c>
      <c r="H21" s="1">
        <v>22.23</v>
      </c>
      <c r="I21" s="1">
        <v>235.25</v>
      </c>
      <c r="J21" s="1">
        <v>2070.3200000000002</v>
      </c>
    </row>
    <row r="22" spans="1:10" x14ac:dyDescent="0.15">
      <c r="A22" t="s">
        <v>31</v>
      </c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15">
      <c r="A23" t="s">
        <v>32</v>
      </c>
      <c r="B23" s="1"/>
      <c r="C23" s="1"/>
      <c r="D23" s="1"/>
      <c r="E23" s="1"/>
      <c r="F23" s="1"/>
      <c r="G23" s="1">
        <v>5.65</v>
      </c>
      <c r="H23" s="1">
        <v>2.08</v>
      </c>
      <c r="I23" s="1">
        <v>262.66000000000003</v>
      </c>
      <c r="J23" s="1">
        <v>423.56</v>
      </c>
    </row>
    <row r="24" spans="1:10" x14ac:dyDescent="0.15">
      <c r="A24" t="s">
        <v>33</v>
      </c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15">
      <c r="A25" t="s">
        <v>34</v>
      </c>
      <c r="B25" s="1"/>
      <c r="C25" s="1"/>
      <c r="D25" s="1">
        <v>7.14</v>
      </c>
      <c r="E25" s="1">
        <v>80.73</v>
      </c>
      <c r="F25" s="1">
        <v>140.36000000000001</v>
      </c>
      <c r="G25" s="1">
        <v>257.70999999999998</v>
      </c>
      <c r="H25" s="1">
        <v>3450.66</v>
      </c>
      <c r="I25" s="1">
        <v>3361.51</v>
      </c>
      <c r="J25" s="1">
        <v>2353</v>
      </c>
    </row>
    <row r="26" spans="1:10" x14ac:dyDescent="0.15">
      <c r="A26" t="s">
        <v>35</v>
      </c>
      <c r="B26" s="1"/>
      <c r="C26" s="1"/>
      <c r="D26" s="1">
        <v>1124.53</v>
      </c>
      <c r="E26" s="1">
        <v>11109.51</v>
      </c>
      <c r="F26" s="1">
        <v>23071.43</v>
      </c>
      <c r="G26" s="1">
        <v>1766.4</v>
      </c>
      <c r="H26" s="1"/>
      <c r="I26" s="1"/>
      <c r="J26" s="1"/>
    </row>
    <row r="27" spans="1:10" x14ac:dyDescent="0.15">
      <c r="A27" t="s">
        <v>36</v>
      </c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15">
      <c r="A28" s="2" t="s">
        <v>37</v>
      </c>
      <c r="B28" s="1">
        <v>7919.99</v>
      </c>
      <c r="C28" s="1">
        <v>11390.79</v>
      </c>
      <c r="D28" s="1">
        <v>15502.18</v>
      </c>
      <c r="E28" s="1">
        <v>50207.45</v>
      </c>
      <c r="F28" s="1">
        <v>83240.66</v>
      </c>
      <c r="G28" s="1">
        <v>108888.99</v>
      </c>
      <c r="H28" s="1">
        <v>131560.95999999999</v>
      </c>
      <c r="I28" s="1">
        <v>143637</v>
      </c>
      <c r="J28" s="1">
        <v>165985.25</v>
      </c>
    </row>
    <row r="29" spans="1:10" x14ac:dyDescent="0.15">
      <c r="A29" s="2" t="s">
        <v>38</v>
      </c>
      <c r="B29" s="3" t="s">
        <v>14</v>
      </c>
      <c r="C29" s="3" t="s">
        <v>14</v>
      </c>
      <c r="D29" s="3" t="s">
        <v>14</v>
      </c>
      <c r="E29" s="3" t="s">
        <v>14</v>
      </c>
      <c r="F29" s="3" t="s">
        <v>14</v>
      </c>
      <c r="G29" s="3" t="s">
        <v>14</v>
      </c>
      <c r="H29" s="3" t="s">
        <v>14</v>
      </c>
      <c r="I29" s="3" t="s">
        <v>14</v>
      </c>
      <c r="J29" s="3" t="s">
        <v>14</v>
      </c>
    </row>
    <row r="30" spans="1:10" x14ac:dyDescent="0.15">
      <c r="A30" t="s">
        <v>39</v>
      </c>
      <c r="B30" s="1">
        <v>121.25</v>
      </c>
      <c r="C30" s="1">
        <v>52.46</v>
      </c>
      <c r="D30" s="1">
        <v>551.99</v>
      </c>
      <c r="E30" s="1">
        <v>5550</v>
      </c>
      <c r="F30" s="1">
        <v>11055.27</v>
      </c>
      <c r="G30" s="1">
        <v>8185.88</v>
      </c>
      <c r="H30" s="1">
        <v>19364.11</v>
      </c>
      <c r="I30" s="1">
        <v>29074.14</v>
      </c>
      <c r="J30" s="1">
        <v>34326.43</v>
      </c>
    </row>
    <row r="31" spans="1:10" x14ac:dyDescent="0.15">
      <c r="A31" t="s">
        <v>40</v>
      </c>
      <c r="B31" s="1"/>
      <c r="C31" s="1"/>
      <c r="D31" s="1"/>
      <c r="E31" s="1"/>
      <c r="F31" s="1">
        <v>190.8</v>
      </c>
      <c r="G31" s="1">
        <v>438.18</v>
      </c>
      <c r="H31" s="1">
        <v>1853.55</v>
      </c>
      <c r="I31" s="1">
        <v>992.09</v>
      </c>
      <c r="J31" s="1">
        <v>977.49</v>
      </c>
    </row>
    <row r="32" spans="1:10" x14ac:dyDescent="0.15">
      <c r="A32" t="s">
        <v>41</v>
      </c>
      <c r="B32" s="1"/>
      <c r="C32" s="1"/>
      <c r="D32" s="1"/>
      <c r="E32" s="1"/>
      <c r="F32" s="1"/>
      <c r="G32" s="1"/>
      <c r="H32" s="1">
        <v>3828.95</v>
      </c>
      <c r="I32" s="1">
        <v>1900</v>
      </c>
      <c r="J32" s="1">
        <v>97.4</v>
      </c>
    </row>
    <row r="33" spans="1:10" x14ac:dyDescent="0.15">
      <c r="A33" t="s">
        <v>42</v>
      </c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15">
      <c r="A34" t="s">
        <v>43</v>
      </c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15">
      <c r="A35" t="s">
        <v>44</v>
      </c>
      <c r="B35" s="1"/>
      <c r="C35" s="1"/>
      <c r="D35" s="1"/>
      <c r="E35" s="1">
        <v>799</v>
      </c>
      <c r="F35" s="1">
        <v>11476.9</v>
      </c>
      <c r="G35" s="1">
        <v>28654.81</v>
      </c>
      <c r="H35" s="1">
        <v>11657.78</v>
      </c>
      <c r="I35" s="1">
        <v>4729.53</v>
      </c>
      <c r="J35" s="1">
        <v>240</v>
      </c>
    </row>
    <row r="36" spans="1:10" x14ac:dyDescent="0.15">
      <c r="A36" t="s">
        <v>45</v>
      </c>
      <c r="B36" s="1"/>
      <c r="C36" s="1"/>
      <c r="D36" s="1">
        <v>13935.42</v>
      </c>
      <c r="E36" s="1">
        <v>40052.239999999998</v>
      </c>
      <c r="F36" s="1">
        <v>51306.75</v>
      </c>
      <c r="G36" s="1">
        <v>63434.41</v>
      </c>
      <c r="H36" s="1">
        <v>85615.2</v>
      </c>
      <c r="I36" s="1">
        <v>93199.65</v>
      </c>
      <c r="J36" s="1">
        <v>110813.12</v>
      </c>
    </row>
    <row r="37" spans="1:10" x14ac:dyDescent="0.15">
      <c r="B37" s="1"/>
      <c r="C37" s="1"/>
      <c r="D37" s="1">
        <f>SUM(D30:D36)</f>
        <v>14487.41</v>
      </c>
      <c r="E37" s="1">
        <f t="shared" ref="E37:I37" si="1">SUM(E30:E36)</f>
        <v>46401.24</v>
      </c>
      <c r="F37" s="1">
        <f t="shared" si="1"/>
        <v>74029.72</v>
      </c>
      <c r="G37" s="1">
        <f t="shared" si="1"/>
        <v>100713.28</v>
      </c>
      <c r="H37" s="1">
        <f t="shared" si="1"/>
        <v>122319.59</v>
      </c>
      <c r="I37" s="1">
        <f t="shared" si="1"/>
        <v>129895.41</v>
      </c>
      <c r="J37" s="1"/>
    </row>
    <row r="38" spans="1:10" x14ac:dyDescent="0.15">
      <c r="A38" t="s">
        <v>46</v>
      </c>
      <c r="B38" s="1"/>
      <c r="C38" s="1"/>
      <c r="D38" s="1">
        <v>0.95</v>
      </c>
      <c r="E38" s="1">
        <v>67.33</v>
      </c>
      <c r="F38" s="1">
        <v>92.42</v>
      </c>
      <c r="G38" s="1">
        <v>10.029999999999999</v>
      </c>
      <c r="H38" s="1">
        <v>16.760000000000002</v>
      </c>
      <c r="I38" s="1">
        <v>12.84</v>
      </c>
      <c r="J38" s="1">
        <v>15.34</v>
      </c>
    </row>
    <row r="39" spans="1:10" x14ac:dyDescent="0.15">
      <c r="A39" t="s">
        <v>47</v>
      </c>
      <c r="B39" s="1">
        <v>-13.46</v>
      </c>
      <c r="C39" s="1">
        <v>36.770000000000003</v>
      </c>
      <c r="D39" s="1">
        <v>-33.67</v>
      </c>
      <c r="E39" s="1">
        <v>85.29</v>
      </c>
      <c r="F39" s="1">
        <v>128.5</v>
      </c>
      <c r="G39" s="1">
        <v>161.61000000000001</v>
      </c>
      <c r="H39" s="1">
        <v>181.02</v>
      </c>
      <c r="I39" s="1">
        <v>163.98</v>
      </c>
      <c r="J39" s="1">
        <v>293.27999999999997</v>
      </c>
    </row>
    <row r="40" spans="1:10" x14ac:dyDescent="0.15">
      <c r="A40" t="s">
        <v>48</v>
      </c>
      <c r="B40" s="1"/>
      <c r="C40" s="1"/>
      <c r="D40" s="1"/>
      <c r="E40" s="1"/>
      <c r="F40" s="1"/>
      <c r="G40" s="1">
        <v>420.19</v>
      </c>
      <c r="H40" s="1">
        <v>780.85</v>
      </c>
      <c r="I40" s="1">
        <v>1536.47</v>
      </c>
      <c r="J40" s="1">
        <v>1845.74</v>
      </c>
    </row>
    <row r="41" spans="1:10" x14ac:dyDescent="0.15">
      <c r="A41" t="s">
        <v>49</v>
      </c>
      <c r="B41" s="1"/>
      <c r="C41" s="1"/>
      <c r="D41" s="1"/>
      <c r="E41" s="1"/>
      <c r="F41" s="1"/>
      <c r="G41" s="1"/>
      <c r="H41" s="1"/>
      <c r="I41" s="1"/>
      <c r="J41" s="1"/>
    </row>
    <row r="42" spans="1:10" x14ac:dyDescent="0.15">
      <c r="A42" t="s">
        <v>50</v>
      </c>
      <c r="B42" s="1"/>
      <c r="C42" s="1"/>
      <c r="D42" s="1"/>
      <c r="E42" s="1"/>
      <c r="F42" s="1"/>
      <c r="G42" s="1"/>
      <c r="H42" s="1"/>
      <c r="I42" s="1">
        <v>1494.04</v>
      </c>
      <c r="J42" s="1">
        <v>1494.64</v>
      </c>
    </row>
    <row r="43" spans="1:10" x14ac:dyDescent="0.15">
      <c r="A43" t="s">
        <v>51</v>
      </c>
      <c r="B43" s="1"/>
      <c r="C43" s="1"/>
      <c r="D43" s="1"/>
      <c r="E43" s="1"/>
      <c r="F43" s="1"/>
      <c r="G43" s="1"/>
      <c r="H43" s="1"/>
      <c r="I43" s="1">
        <v>32.46</v>
      </c>
      <c r="J43" s="1">
        <v>90.66</v>
      </c>
    </row>
    <row r="44" spans="1:10" x14ac:dyDescent="0.15">
      <c r="A44" t="s">
        <v>52</v>
      </c>
      <c r="B44" s="1">
        <v>39.67</v>
      </c>
      <c r="C44" s="1">
        <v>39.67</v>
      </c>
      <c r="D44" s="1">
        <v>39.67</v>
      </c>
      <c r="E44" s="1">
        <v>10.02</v>
      </c>
      <c r="F44" s="1">
        <v>8.41</v>
      </c>
      <c r="G44" s="1">
        <v>12.6</v>
      </c>
      <c r="H44" s="1"/>
      <c r="I44" s="1"/>
      <c r="J44" s="1"/>
    </row>
    <row r="45" spans="1:10" x14ac:dyDescent="0.15">
      <c r="A45" t="s">
        <v>53</v>
      </c>
      <c r="B45" s="1"/>
      <c r="C45" s="1"/>
      <c r="D45" s="1">
        <v>0.46</v>
      </c>
      <c r="E45" s="1"/>
      <c r="F45" s="1">
        <v>132.47</v>
      </c>
      <c r="G45" s="1">
        <v>161.83000000000001</v>
      </c>
      <c r="H45" s="1">
        <v>213.35</v>
      </c>
      <c r="I45" s="1">
        <v>598.69000000000005</v>
      </c>
      <c r="J45" s="1">
        <v>288.14</v>
      </c>
    </row>
    <row r="46" spans="1:10" x14ac:dyDescent="0.15">
      <c r="A46" t="s">
        <v>54</v>
      </c>
      <c r="B46" s="1"/>
      <c r="C46" s="1"/>
      <c r="D46" s="1">
        <v>66.48</v>
      </c>
      <c r="E46" s="1">
        <v>89.63</v>
      </c>
      <c r="F46" s="1">
        <v>3901.25</v>
      </c>
      <c r="G46" s="1">
        <v>52.24</v>
      </c>
      <c r="H46" s="1"/>
      <c r="I46" s="1"/>
      <c r="J46" s="1">
        <v>4962.43</v>
      </c>
    </row>
    <row r="47" spans="1:10" x14ac:dyDescent="0.15">
      <c r="A47" t="s">
        <v>55</v>
      </c>
      <c r="B47" s="1"/>
      <c r="C47" s="1"/>
      <c r="D47" s="1"/>
      <c r="E47" s="1"/>
      <c r="F47" s="1"/>
      <c r="G47" s="1">
        <v>0</v>
      </c>
      <c r="H47" s="1">
        <v>0</v>
      </c>
      <c r="I47" s="1"/>
      <c r="J47" s="1"/>
    </row>
    <row r="48" spans="1:10" x14ac:dyDescent="0.15">
      <c r="A48" s="2" t="s">
        <v>56</v>
      </c>
      <c r="B48" s="1">
        <v>7653.41</v>
      </c>
      <c r="C48" s="1"/>
      <c r="D48" s="1">
        <v>14561.3</v>
      </c>
      <c r="E48" s="1">
        <v>46653.52</v>
      </c>
      <c r="F48" s="1">
        <v>78292.77</v>
      </c>
      <c r="G48" s="1">
        <v>101531.77</v>
      </c>
      <c r="H48" s="1">
        <v>123511.57</v>
      </c>
      <c r="I48" s="1">
        <v>133733.87</v>
      </c>
      <c r="J48" s="1">
        <v>155444.68</v>
      </c>
    </row>
    <row r="49" spans="1:10" x14ac:dyDescent="0.15">
      <c r="A49" s="2" t="s">
        <v>57</v>
      </c>
      <c r="B49" s="3" t="s">
        <v>14</v>
      </c>
      <c r="C49" s="3" t="s">
        <v>14</v>
      </c>
      <c r="D49" s="3" t="s">
        <v>14</v>
      </c>
      <c r="E49" s="3" t="s">
        <v>14</v>
      </c>
      <c r="F49" s="3" t="s">
        <v>14</v>
      </c>
      <c r="G49" s="3" t="s">
        <v>14</v>
      </c>
      <c r="H49" s="3" t="s">
        <v>14</v>
      </c>
      <c r="I49" s="3" t="s">
        <v>14</v>
      </c>
      <c r="J49" s="3" t="s">
        <v>14</v>
      </c>
    </row>
    <row r="50" spans="1:10" x14ac:dyDescent="0.15">
      <c r="A50" t="s">
        <v>58</v>
      </c>
      <c r="B50" s="1">
        <v>628.23</v>
      </c>
      <c r="C50" s="1">
        <v>748.23</v>
      </c>
      <c r="D50" s="1">
        <v>828.23</v>
      </c>
      <c r="E50" s="1">
        <v>2979.27</v>
      </c>
      <c r="F50" s="1">
        <v>3910.58</v>
      </c>
      <c r="G50" s="1">
        <v>5210.58</v>
      </c>
      <c r="H50" s="1">
        <v>5410.58</v>
      </c>
      <c r="I50" s="1">
        <v>6221.48</v>
      </c>
      <c r="J50" s="1">
        <v>6221.48</v>
      </c>
    </row>
    <row r="51" spans="1:10" x14ac:dyDescent="0.15">
      <c r="A51" t="s">
        <v>59</v>
      </c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15">
      <c r="A52" t="s">
        <v>60</v>
      </c>
      <c r="B52" s="1"/>
      <c r="C52" s="1"/>
      <c r="D52" s="1"/>
      <c r="E52" s="1"/>
      <c r="F52" s="1"/>
      <c r="G52" s="1"/>
      <c r="H52" s="1"/>
      <c r="I52" s="1"/>
      <c r="J52" s="1"/>
    </row>
    <row r="53" spans="1:10" x14ac:dyDescent="0.15">
      <c r="A53" t="s">
        <v>61</v>
      </c>
      <c r="B53" s="1">
        <v>0.41</v>
      </c>
      <c r="C53" s="1">
        <v>0.41</v>
      </c>
      <c r="D53" s="1">
        <v>0.41</v>
      </c>
      <c r="E53" s="1">
        <v>0.41</v>
      </c>
      <c r="F53" s="1">
        <v>0.41</v>
      </c>
      <c r="G53" s="1">
        <v>650.96</v>
      </c>
      <c r="H53" s="1">
        <v>750.96</v>
      </c>
      <c r="I53" s="1">
        <v>1074.77</v>
      </c>
      <c r="J53" s="1">
        <v>1074.77</v>
      </c>
    </row>
    <row r="54" spans="1:10" x14ac:dyDescent="0.15">
      <c r="A54" t="s">
        <v>62</v>
      </c>
      <c r="B54" s="1"/>
      <c r="C54" s="1"/>
      <c r="D54" s="1"/>
      <c r="E54" s="1"/>
      <c r="F54" s="1"/>
      <c r="G54" s="1"/>
      <c r="H54" s="1"/>
      <c r="I54" s="1"/>
      <c r="J54" s="1"/>
    </row>
    <row r="55" spans="1:10" x14ac:dyDescent="0.15">
      <c r="A55" t="s">
        <v>63</v>
      </c>
      <c r="B55" s="1"/>
      <c r="C55" s="1"/>
      <c r="D55" s="1"/>
      <c r="E55" s="1"/>
      <c r="F55" s="1"/>
      <c r="G55" s="1"/>
      <c r="H55" s="1"/>
      <c r="I55" s="1">
        <v>12.07</v>
      </c>
      <c r="J55" s="1">
        <v>26.08</v>
      </c>
    </row>
    <row r="56" spans="1:10" x14ac:dyDescent="0.15">
      <c r="A56" t="s">
        <v>64</v>
      </c>
      <c r="B56" s="1">
        <v>2.36</v>
      </c>
      <c r="C56" s="1">
        <v>28.71</v>
      </c>
      <c r="D56" s="1">
        <v>52.09</v>
      </c>
      <c r="E56" s="1">
        <v>253.56</v>
      </c>
      <c r="F56" s="1">
        <v>381.34</v>
      </c>
      <c r="G56" s="1">
        <v>198.04</v>
      </c>
      <c r="H56" s="1">
        <v>296.64999999999998</v>
      </c>
      <c r="I56" s="1">
        <v>414.18</v>
      </c>
      <c r="J56" s="1">
        <v>525.28</v>
      </c>
    </row>
    <row r="57" spans="1:10" x14ac:dyDescent="0.15">
      <c r="A57" t="s">
        <v>65</v>
      </c>
      <c r="B57" s="1">
        <v>-364.41</v>
      </c>
      <c r="C57" s="1">
        <v>-204.38</v>
      </c>
      <c r="D57" s="1">
        <v>60.15</v>
      </c>
      <c r="E57" s="1">
        <v>320.69</v>
      </c>
      <c r="F57" s="1">
        <v>655.55</v>
      </c>
      <c r="G57" s="1">
        <v>620.86</v>
      </c>
      <c r="H57" s="1">
        <v>537.9</v>
      </c>
      <c r="I57" s="1">
        <v>982.87</v>
      </c>
      <c r="J57" s="1">
        <v>524.98</v>
      </c>
    </row>
    <row r="58" spans="1:10" x14ac:dyDescent="0.15">
      <c r="A58" t="s">
        <v>66</v>
      </c>
      <c r="B58" s="1"/>
      <c r="C58" s="1"/>
      <c r="D58" s="1"/>
      <c r="E58" s="1"/>
      <c r="F58" s="1"/>
      <c r="G58" s="1">
        <v>600</v>
      </c>
      <c r="H58" s="1">
        <v>975.45</v>
      </c>
      <c r="I58" s="1">
        <v>1117.1099999999999</v>
      </c>
      <c r="J58" s="1">
        <v>2085.23</v>
      </c>
    </row>
    <row r="59" spans="1:10" x14ac:dyDescent="0.15">
      <c r="A59" t="s">
        <v>67</v>
      </c>
      <c r="B59" s="1"/>
      <c r="C59" s="1"/>
      <c r="D59" s="1"/>
      <c r="E59" s="1"/>
      <c r="F59" s="1"/>
      <c r="G59" s="1"/>
      <c r="H59" s="1"/>
      <c r="I59" s="1"/>
      <c r="J59" s="1"/>
    </row>
    <row r="60" spans="1:10" x14ac:dyDescent="0.15">
      <c r="A60" t="s">
        <v>68</v>
      </c>
      <c r="B60" s="1"/>
      <c r="C60" s="1"/>
      <c r="D60" s="1"/>
      <c r="E60" s="1"/>
      <c r="F60" s="1"/>
      <c r="G60" s="1"/>
      <c r="H60" s="1"/>
      <c r="I60" s="1"/>
      <c r="J60" s="1"/>
    </row>
    <row r="61" spans="1:10" x14ac:dyDescent="0.15">
      <c r="A61" t="s">
        <v>69</v>
      </c>
      <c r="B61" s="1"/>
      <c r="C61" s="1"/>
      <c r="D61" s="1"/>
      <c r="E61" s="1"/>
      <c r="F61" s="1"/>
      <c r="G61" s="1"/>
      <c r="H61" s="1"/>
      <c r="I61" s="1"/>
      <c r="J61" s="1"/>
    </row>
    <row r="62" spans="1:10" x14ac:dyDescent="0.15">
      <c r="A62" t="s">
        <v>70</v>
      </c>
      <c r="B62" s="1"/>
      <c r="C62" s="1"/>
      <c r="D62" s="1"/>
      <c r="E62" s="1"/>
      <c r="F62" s="1"/>
      <c r="G62" s="1"/>
      <c r="H62" s="1"/>
      <c r="I62" s="1"/>
      <c r="J62" s="1"/>
    </row>
    <row r="63" spans="1:10" x14ac:dyDescent="0.15">
      <c r="A63" s="2" t="s">
        <v>71</v>
      </c>
      <c r="B63" s="1">
        <v>266.58</v>
      </c>
      <c r="C63" s="1">
        <v>572.96</v>
      </c>
      <c r="D63" s="1">
        <v>940.88</v>
      </c>
      <c r="E63" s="1">
        <v>3553.92</v>
      </c>
      <c r="F63" s="1">
        <v>4947.8900000000003</v>
      </c>
      <c r="G63" s="1">
        <v>7280.44</v>
      </c>
      <c r="H63" s="1">
        <v>7971.54</v>
      </c>
      <c r="I63" s="1">
        <v>9822.4599999999991</v>
      </c>
      <c r="J63" s="1">
        <v>10457.82</v>
      </c>
    </row>
    <row r="64" spans="1:10" x14ac:dyDescent="0.15">
      <c r="A64" t="s">
        <v>72</v>
      </c>
      <c r="B64" s="1"/>
      <c r="C64" s="1"/>
      <c r="D64" s="1"/>
      <c r="E64" s="1"/>
      <c r="F64" s="1"/>
      <c r="G64" s="1">
        <v>76.77</v>
      </c>
      <c r="H64" s="1">
        <v>77.849999999999994</v>
      </c>
      <c r="I64" s="1">
        <v>80.66</v>
      </c>
      <c r="J64" s="1">
        <v>82.75</v>
      </c>
    </row>
    <row r="65" spans="1:10" x14ac:dyDescent="0.15">
      <c r="A65" s="2" t="s">
        <v>73</v>
      </c>
      <c r="B65" s="1">
        <v>266.58</v>
      </c>
      <c r="C65" s="1">
        <v>572.96</v>
      </c>
      <c r="D65" s="1">
        <v>940.88</v>
      </c>
      <c r="E65" s="1">
        <v>3553.92</v>
      </c>
      <c r="F65" s="1">
        <v>4947.8900000000003</v>
      </c>
      <c r="G65" s="1">
        <v>7357.22</v>
      </c>
      <c r="H65" s="1">
        <v>8049.38</v>
      </c>
      <c r="I65" s="1">
        <v>9903.1200000000008</v>
      </c>
      <c r="J65" s="1">
        <v>10540.57</v>
      </c>
    </row>
    <row r="66" spans="1:10" x14ac:dyDescent="0.15">
      <c r="A66" t="s">
        <v>74</v>
      </c>
      <c r="B66" s="1"/>
      <c r="C66" s="1"/>
      <c r="D66" s="1"/>
      <c r="E66" s="1"/>
      <c r="F66" s="1"/>
      <c r="G66" s="1"/>
      <c r="H66" s="1"/>
      <c r="I66" s="1"/>
      <c r="J66" s="1"/>
    </row>
    <row r="67" spans="1:10" x14ac:dyDescent="0.15">
      <c r="A67" t="s">
        <v>75</v>
      </c>
      <c r="B67" s="1"/>
      <c r="C67" s="1"/>
      <c r="D67" s="1"/>
      <c r="E67" s="1"/>
      <c r="F67" s="1"/>
      <c r="G67" s="1"/>
      <c r="H67" s="1"/>
      <c r="I67" s="1"/>
      <c r="J67" s="1"/>
    </row>
    <row r="68" spans="1:10" x14ac:dyDescent="0.15">
      <c r="A68" s="2" t="s">
        <v>76</v>
      </c>
      <c r="B68" s="1">
        <v>7919.99</v>
      </c>
      <c r="C68" s="1">
        <v>11390.79</v>
      </c>
      <c r="D68" s="1">
        <v>15502.18</v>
      </c>
      <c r="E68" s="1">
        <v>50207.45</v>
      </c>
      <c r="F68" s="1">
        <v>83240.66</v>
      </c>
      <c r="G68" s="1">
        <v>108888.99</v>
      </c>
      <c r="H68" s="1">
        <v>131560.95999999999</v>
      </c>
      <c r="I68" s="1">
        <v>143637</v>
      </c>
      <c r="J68" s="1">
        <v>165985.25</v>
      </c>
    </row>
    <row r="69" spans="1:10" x14ac:dyDescent="0.15">
      <c r="A69" t="s">
        <v>77</v>
      </c>
      <c r="B69" s="3" t="s">
        <v>78</v>
      </c>
      <c r="C69" s="3" t="s">
        <v>78</v>
      </c>
      <c r="D69" s="3" t="s">
        <v>78</v>
      </c>
      <c r="E69" s="3" t="s">
        <v>78</v>
      </c>
      <c r="F69" s="3" t="s">
        <v>78</v>
      </c>
      <c r="G69" s="3" t="s">
        <v>78</v>
      </c>
      <c r="H69" s="3" t="s">
        <v>78</v>
      </c>
      <c r="I69" s="3" t="s">
        <v>78</v>
      </c>
      <c r="J69" s="3" t="s">
        <v>78</v>
      </c>
    </row>
    <row r="70" spans="1:10" x14ac:dyDescent="0.15">
      <c r="A70" t="s">
        <v>79</v>
      </c>
      <c r="B70" s="3" t="s">
        <v>78</v>
      </c>
      <c r="C70" s="3" t="s">
        <v>78</v>
      </c>
      <c r="D70" s="3" t="s">
        <v>78</v>
      </c>
      <c r="E70" s="3" t="s">
        <v>78</v>
      </c>
      <c r="F70" s="3" t="s">
        <v>78</v>
      </c>
      <c r="G70" s="3" t="s">
        <v>78</v>
      </c>
      <c r="H70" s="3" t="s">
        <v>78</v>
      </c>
      <c r="I70" s="3" t="s">
        <v>78</v>
      </c>
      <c r="J70" s="3" t="s">
        <v>78</v>
      </c>
    </row>
    <row r="71" spans="1:10" x14ac:dyDescent="0.15">
      <c r="A71" t="s">
        <v>80</v>
      </c>
      <c r="B71" s="3" t="s">
        <v>81</v>
      </c>
      <c r="C71" s="3" t="s">
        <v>81</v>
      </c>
      <c r="D71" s="3" t="s">
        <v>81</v>
      </c>
      <c r="E71" s="3" t="s">
        <v>81</v>
      </c>
      <c r="F71" s="3" t="s">
        <v>81</v>
      </c>
      <c r="G71" s="3" t="s">
        <v>81</v>
      </c>
      <c r="H71" s="3" t="s">
        <v>81</v>
      </c>
      <c r="I71" s="3" t="s">
        <v>81</v>
      </c>
      <c r="J71" s="3" t="s">
        <v>81</v>
      </c>
    </row>
    <row r="72" spans="1:10" x14ac:dyDescent="0.15">
      <c r="A72" t="s">
        <v>82</v>
      </c>
      <c r="B72" s="3" t="s">
        <v>83</v>
      </c>
      <c r="C72" s="3" t="s">
        <v>83</v>
      </c>
      <c r="D72" s="3" t="s">
        <v>83</v>
      </c>
      <c r="E72" s="3" t="s">
        <v>83</v>
      </c>
      <c r="F72" s="3" t="s">
        <v>83</v>
      </c>
      <c r="G72" s="3" t="s">
        <v>83</v>
      </c>
      <c r="H72" s="3" t="s">
        <v>83</v>
      </c>
      <c r="I72" s="3" t="s">
        <v>83</v>
      </c>
      <c r="J72" s="3" t="s">
        <v>83</v>
      </c>
    </row>
    <row r="73" spans="1:10" x14ac:dyDescent="0.15">
      <c r="A73" t="s">
        <v>84</v>
      </c>
      <c r="B73" s="3" t="s">
        <v>14</v>
      </c>
      <c r="C73" s="3" t="s">
        <v>85</v>
      </c>
      <c r="D73" s="3" t="s">
        <v>85</v>
      </c>
      <c r="E73" s="3" t="s">
        <v>14</v>
      </c>
      <c r="F73" s="3" t="s">
        <v>85</v>
      </c>
      <c r="G73" s="3" t="s">
        <v>85</v>
      </c>
      <c r="H73" s="3" t="s">
        <v>85</v>
      </c>
      <c r="I73" s="3" t="s">
        <v>85</v>
      </c>
      <c r="J73" s="3" t="s">
        <v>85</v>
      </c>
    </row>
    <row r="74" spans="1:10" x14ac:dyDescent="0.15">
      <c r="A74" t="s">
        <v>86</v>
      </c>
      <c r="B74" s="3" t="s">
        <v>14</v>
      </c>
      <c r="C74" s="3" t="s">
        <v>14</v>
      </c>
      <c r="D74" s="3" t="s">
        <v>14</v>
      </c>
      <c r="E74" s="3" t="s">
        <v>14</v>
      </c>
      <c r="F74" s="3" t="s">
        <v>14</v>
      </c>
      <c r="G74" s="3" t="s">
        <v>14</v>
      </c>
      <c r="H74" s="3" t="s">
        <v>14</v>
      </c>
      <c r="I74" s="3" t="s">
        <v>14</v>
      </c>
      <c r="J74" s="3" t="s">
        <v>14</v>
      </c>
    </row>
    <row r="75" spans="1:10" x14ac:dyDescent="0.15">
      <c r="A75" t="s">
        <v>87</v>
      </c>
      <c r="C75" t="s">
        <v>88</v>
      </c>
      <c r="D75" t="s">
        <v>88</v>
      </c>
      <c r="F75" t="s">
        <v>88</v>
      </c>
      <c r="G75" t="s">
        <v>88</v>
      </c>
      <c r="H75" t="s">
        <v>88</v>
      </c>
      <c r="I75" t="s">
        <v>88</v>
      </c>
      <c r="J75" t="s">
        <v>88</v>
      </c>
    </row>
    <row r="76" spans="1:10" x14ac:dyDescent="0.15">
      <c r="A76" t="s">
        <v>89</v>
      </c>
      <c r="B76" s="3" t="s">
        <v>90</v>
      </c>
      <c r="C76" s="3" t="s">
        <v>90</v>
      </c>
      <c r="D76" s="3" t="s">
        <v>91</v>
      </c>
      <c r="E76" s="3" t="s">
        <v>92</v>
      </c>
      <c r="F76" s="3" t="s">
        <v>92</v>
      </c>
      <c r="G76" s="3" t="s">
        <v>93</v>
      </c>
      <c r="H76" s="3" t="s">
        <v>94</v>
      </c>
      <c r="I76" s="3" t="s">
        <v>95</v>
      </c>
      <c r="J76" s="3" t="s">
        <v>96</v>
      </c>
    </row>
    <row r="77" spans="1:10" x14ac:dyDescent="0.15">
      <c r="A77" t="s">
        <v>97</v>
      </c>
      <c r="B77" s="3" t="s">
        <v>98</v>
      </c>
      <c r="C77" s="3" t="s">
        <v>98</v>
      </c>
      <c r="D77" s="3" t="s">
        <v>98</v>
      </c>
      <c r="E77" s="3" t="s">
        <v>98</v>
      </c>
      <c r="F77" s="3" t="s">
        <v>98</v>
      </c>
      <c r="G77" s="3" t="s">
        <v>98</v>
      </c>
      <c r="H77" s="3" t="s">
        <v>98</v>
      </c>
      <c r="I77" s="3" t="s">
        <v>98</v>
      </c>
      <c r="J77" s="3" t="s">
        <v>98</v>
      </c>
    </row>
    <row r="81" spans="1:1" x14ac:dyDescent="0.15">
      <c r="A81" t="s">
        <v>99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F0200071.00-资产负债表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2016-05-31T08:59:46Z</dcterms:created>
  <dcterms:modified xsi:type="dcterms:W3CDTF">2016-05-31T09:06:27Z</dcterms:modified>
</cp:coreProperties>
</file>