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159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5" i="2" l="1"/>
  <c r="D25" i="2"/>
  <c r="E25" i="2"/>
  <c r="F25" i="2"/>
  <c r="B25" i="2"/>
  <c r="C12" i="2"/>
  <c r="D12" i="2"/>
  <c r="B12" i="2"/>
</calcChain>
</file>

<file path=xl/sharedStrings.xml><?xml version="1.0" encoding="utf-8"?>
<sst xmlns="http://schemas.openxmlformats.org/spreadsheetml/2006/main" count="115" uniqueCount="66">
  <si>
    <t>2010-12-31</t>
  </si>
  <si>
    <t>2011-12-31</t>
  </si>
  <si>
    <t>2012-12-31</t>
  </si>
  <si>
    <t>2013-12-31</t>
  </si>
  <si>
    <t>2014-12-31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</si>
  <si>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</si>
  <si>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</si>
  <si>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</si>
  <si>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</si>
  <si>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</si>
  <si>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</si>
  <si>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</si>
  <si>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</si>
  <si>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</si>
  <si>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交易性金融资产</t>
  </si>
  <si>
    <t>　　衍生金融资产</t>
  </si>
  <si>
    <t>　　应收利息</t>
  </si>
  <si>
    <t>　　发放贷款及垫款</t>
  </si>
  <si>
    <t>　　可供出售金融资产</t>
  </si>
  <si>
    <t>　　固定资产</t>
  </si>
  <si>
    <t>　　递延所得税资产</t>
  </si>
  <si>
    <t>　　其他资产</t>
  </si>
  <si>
    <t>资产总计</t>
  </si>
  <si>
    <t>负债：</t>
  </si>
  <si>
    <t>　　同业和其它金融机构存放款项</t>
  </si>
  <si>
    <t>　　拆入资金</t>
  </si>
  <si>
    <t>　　交易性金融负债</t>
  </si>
  <si>
    <t>　　衍生金融负债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</si>
  <si>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</si>
  <si>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</si>
  <si>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</si>
  <si>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</si>
  <si>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</si>
  <si>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其他负债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</si>
  <si>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</si>
  <si>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</si>
  <si>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</si>
  <si>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</si>
  <si>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</si>
  <si>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</si>
  <si>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</si>
  <si>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</si>
  <si>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外币报表折算差额</t>
  </si>
  <si>
    <t>　　归属于母公司所有者权益合计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</si>
  <si>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</si>
  <si>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</si>
  <si>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</si>
  <si>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</si>
  <si>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</si>
  <si>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</si>
  <si>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</si>
  <si>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</si>
  <si>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</si>
  <si>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</si>
  <si>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</si>
  <si>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</si>
  <si>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</si>
  <si>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</si>
  <si>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2011-04-30</t>
  </si>
  <si>
    <t>2012-04-30</t>
  </si>
  <si>
    <t>2013-04-30</t>
  </si>
  <si>
    <t>2014-04-30</t>
  </si>
  <si>
    <t>2015-04-30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</si>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</sst>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7" fontId="0" fillId="0" borderId="0" xfId="0" applyNumberFormat="1">
      <alignment vertical="center"/>
    </xf>
    <xf numFmtId="177" fontId="0" fillId="0" borderId="0" xfId="0" quotePrefix="1" applyNumberFormat="1">
      <alignment vertical="center"/>
    </xf>
    <xf numFmtId="177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tabSelected="1" workbookViewId="0">
      <selection activeCell="B19" sqref="B19"/>
    </sheetView>
  </sheetViews>
  <sheetFormatPr defaultRowHeight="13.5" x14ac:dyDescent="0.15"/>
  <cols>
    <col min="1" max="1" width="34.125" bestFit="1" customWidth="1"/>
    <col min="2" max="3" width="11.625" bestFit="1" customWidth="1"/>
    <col min="4" max="6" width="15.125" bestFit="1" customWidth="1"/>
  </cols>
  <sheetData>
    <row r="1" spans="1:6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15">
      <c r="A2" s="1" t="s">
        <v>5</v>
      </c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</row>
    <row r="3" spans="1:6" x14ac:dyDescent="0.15">
      <c r="A3" s="1" t="s">
        <v>7</v>
      </c>
      <c r="B3" s="2" t="s">
        <v>8</v>
      </c>
      <c r="C3" s="2" t="s">
        <v>8</v>
      </c>
      <c r="D3" s="2" t="s">
        <v>8</v>
      </c>
      <c r="E3" s="2" t="s">
        <v>8</v>
      </c>
      <c r="F3" s="2" t="s">
        <v>8</v>
      </c>
    </row>
    <row r="4" spans="1:6" x14ac:dyDescent="0.15">
      <c r="A4" s="3" t="s">
        <v>9</v>
      </c>
      <c r="B4" s="2" t="s">
        <v>10</v>
      </c>
      <c r="C4" s="2" t="s">
        <v>10</v>
      </c>
      <c r="D4" s="2" t="s">
        <v>10</v>
      </c>
      <c r="E4" s="2" t="s">
        <v>10</v>
      </c>
      <c r="F4" s="2" t="s">
        <v>10</v>
      </c>
    </row>
    <row r="5" spans="1:6" x14ac:dyDescent="0.15">
      <c r="A5" s="1" t="s">
        <v>11</v>
      </c>
      <c r="B5" s="1"/>
      <c r="C5" s="1"/>
      <c r="D5" s="1">
        <v>1880.51</v>
      </c>
      <c r="E5" s="1">
        <v>2025.83</v>
      </c>
      <c r="F5" s="1">
        <v>1240.53</v>
      </c>
    </row>
    <row r="6" spans="1:6" x14ac:dyDescent="0.15">
      <c r="A6" s="1" t="s">
        <v>12</v>
      </c>
      <c r="B6" s="1"/>
      <c r="C6" s="1"/>
      <c r="D6" s="1">
        <v>332.59</v>
      </c>
      <c r="E6" s="1">
        <v>1181.06</v>
      </c>
      <c r="F6" s="1">
        <v>1225.3399999999999</v>
      </c>
    </row>
    <row r="7" spans="1:6" x14ac:dyDescent="0.15">
      <c r="A7" s="1" t="s">
        <v>13</v>
      </c>
      <c r="B7" s="1"/>
      <c r="C7" s="1"/>
      <c r="D7" s="1">
        <v>6212.03</v>
      </c>
      <c r="E7" s="1">
        <v>10277.74</v>
      </c>
      <c r="F7" s="1">
        <v>7109.66</v>
      </c>
    </row>
    <row r="8" spans="1:6" x14ac:dyDescent="0.15">
      <c r="A8" s="1" t="s">
        <v>14</v>
      </c>
      <c r="B8" s="1"/>
      <c r="C8" s="1"/>
      <c r="D8" s="1">
        <v>694.6</v>
      </c>
      <c r="E8" s="1">
        <v>97.92</v>
      </c>
      <c r="F8" s="1">
        <v>18.03</v>
      </c>
    </row>
    <row r="9" spans="1:6" x14ac:dyDescent="0.15">
      <c r="A9" s="1" t="s">
        <v>15</v>
      </c>
      <c r="B9" s="1"/>
      <c r="C9" s="1"/>
      <c r="D9" s="1">
        <v>457</v>
      </c>
      <c r="E9" s="1">
        <v>899.89</v>
      </c>
      <c r="F9" s="1">
        <v>411.87</v>
      </c>
    </row>
    <row r="10" spans="1:6" x14ac:dyDescent="0.15">
      <c r="A10" s="1" t="s">
        <v>16</v>
      </c>
      <c r="B10" s="1"/>
      <c r="C10" s="1"/>
      <c r="D10" s="1">
        <v>83.42</v>
      </c>
      <c r="E10" s="1">
        <v>97.34</v>
      </c>
      <c r="F10" s="1">
        <v>82.04</v>
      </c>
    </row>
    <row r="11" spans="1:6" x14ac:dyDescent="0.15">
      <c r="A11" s="1" t="s">
        <v>17</v>
      </c>
      <c r="B11" s="1">
        <v>6833.25</v>
      </c>
      <c r="C11" s="1">
        <v>4646.88</v>
      </c>
      <c r="D11" s="1">
        <v>4763.3500000000004</v>
      </c>
      <c r="E11" s="1">
        <v>5852.15</v>
      </c>
      <c r="F11" s="1">
        <v>2291.37</v>
      </c>
    </row>
    <row r="12" spans="1:6" x14ac:dyDescent="0.15">
      <c r="A12" s="1"/>
      <c r="B12" s="1">
        <f>B10+B11</f>
        <v>6833.25</v>
      </c>
      <c r="C12" s="1">
        <f t="shared" ref="C12:D12" si="0">C10+C11</f>
        <v>4646.88</v>
      </c>
      <c r="D12" s="1">
        <f t="shared" si="0"/>
        <v>4846.7700000000004</v>
      </c>
      <c r="E12" s="1"/>
      <c r="F12" s="1"/>
    </row>
    <row r="13" spans="1:6" x14ac:dyDescent="0.15">
      <c r="A13" s="1" t="s">
        <v>18</v>
      </c>
      <c r="B13" s="1"/>
      <c r="C13" s="1"/>
      <c r="D13" s="1">
        <v>1972.41</v>
      </c>
      <c r="E13" s="1">
        <v>1549.58</v>
      </c>
      <c r="F13" s="1">
        <v>2308.7399999999998</v>
      </c>
    </row>
    <row r="14" spans="1:6" x14ac:dyDescent="0.15">
      <c r="A14" s="1" t="s">
        <v>19</v>
      </c>
      <c r="B14" s="1"/>
      <c r="C14" s="1"/>
      <c r="D14" s="1">
        <v>32.61</v>
      </c>
      <c r="E14" s="1">
        <v>21.67</v>
      </c>
      <c r="F14" s="1">
        <v>14.87</v>
      </c>
    </row>
    <row r="15" spans="1:6" x14ac:dyDescent="0.15">
      <c r="A15" s="1" t="s">
        <v>20</v>
      </c>
      <c r="B15" s="1"/>
      <c r="C15" s="1"/>
      <c r="D15" s="1">
        <v>67.83</v>
      </c>
      <c r="E15" s="1">
        <v>126.84</v>
      </c>
      <c r="F15" s="1">
        <v>74.180000000000007</v>
      </c>
    </row>
    <row r="16" spans="1:6" x14ac:dyDescent="0.15">
      <c r="A16" s="1" t="s">
        <v>21</v>
      </c>
      <c r="B16" s="1">
        <v>21573.39</v>
      </c>
      <c r="C16" s="1">
        <v>18396.2</v>
      </c>
      <c r="D16" s="1">
        <v>187.49</v>
      </c>
      <c r="E16" s="1">
        <v>116.95</v>
      </c>
      <c r="F16" s="1">
        <v>97.35</v>
      </c>
    </row>
    <row r="17" spans="1:6" x14ac:dyDescent="0.15">
      <c r="A17" s="3" t="s">
        <v>22</v>
      </c>
      <c r="B17" s="1">
        <v>28406.639999999999</v>
      </c>
      <c r="C17" s="1">
        <v>23043.08</v>
      </c>
      <c r="D17" s="1">
        <v>16683.830000000002</v>
      </c>
      <c r="E17" s="1">
        <v>22246.959999999999</v>
      </c>
      <c r="F17" s="1">
        <v>14873.99</v>
      </c>
    </row>
    <row r="18" spans="1:6" x14ac:dyDescent="0.15">
      <c r="A18" s="3" t="s">
        <v>23</v>
      </c>
      <c r="B18" s="2" t="s">
        <v>10</v>
      </c>
      <c r="C18" s="2" t="s">
        <v>10</v>
      </c>
      <c r="D18" s="2" t="s">
        <v>10</v>
      </c>
      <c r="E18" s="2" t="s">
        <v>10</v>
      </c>
      <c r="F18" s="2" t="s">
        <v>10</v>
      </c>
    </row>
    <row r="19" spans="1:6" x14ac:dyDescent="0.15">
      <c r="A19" s="1" t="s">
        <v>24</v>
      </c>
      <c r="B19" s="1"/>
      <c r="C19" s="1"/>
      <c r="D19" s="1">
        <v>632.28</v>
      </c>
      <c r="E19" s="1">
        <v>401.35</v>
      </c>
      <c r="F19" s="1">
        <v>2460.3000000000002</v>
      </c>
    </row>
    <row r="20" spans="1:6" x14ac:dyDescent="0.15">
      <c r="A20" s="1" t="s">
        <v>25</v>
      </c>
      <c r="B20" s="1"/>
      <c r="C20" s="1"/>
      <c r="D20" s="1">
        <v>2301.16</v>
      </c>
      <c r="E20" s="1">
        <v>6495.34</v>
      </c>
      <c r="F20" s="1">
        <v>1208.6099999999999</v>
      </c>
    </row>
    <row r="21" spans="1:6" x14ac:dyDescent="0.15">
      <c r="A21" s="1" t="s">
        <v>26</v>
      </c>
      <c r="B21" s="1"/>
      <c r="C21" s="1"/>
      <c r="D21" s="1">
        <v>1275.32</v>
      </c>
      <c r="E21" s="1">
        <v>2247.5</v>
      </c>
      <c r="F21" s="1">
        <v>228.65</v>
      </c>
    </row>
    <row r="22" spans="1:6" x14ac:dyDescent="0.15">
      <c r="A22" s="1" t="s">
        <v>27</v>
      </c>
      <c r="B22" s="1"/>
      <c r="C22" s="1"/>
      <c r="D22" s="1">
        <v>448.39</v>
      </c>
      <c r="E22" s="1">
        <v>1124.3800000000001</v>
      </c>
      <c r="F22" s="1">
        <v>428.16</v>
      </c>
    </row>
    <row r="23" spans="1:6" x14ac:dyDescent="0.15">
      <c r="A23" s="1" t="s">
        <v>28</v>
      </c>
      <c r="B23" s="1"/>
      <c r="C23" s="1"/>
      <c r="D23" s="1"/>
      <c r="E23" s="1"/>
      <c r="F23" s="1">
        <v>683</v>
      </c>
    </row>
    <row r="24" spans="1:6" x14ac:dyDescent="0.15">
      <c r="A24" s="1" t="s">
        <v>29</v>
      </c>
      <c r="B24" s="1">
        <v>10523.22</v>
      </c>
      <c r="C24" s="1">
        <v>8588.66</v>
      </c>
      <c r="D24" s="1">
        <v>6550.74</v>
      </c>
      <c r="E24" s="1">
        <v>6703.52</v>
      </c>
      <c r="F24" s="1">
        <v>4606.57</v>
      </c>
    </row>
    <row r="25" spans="1:6" x14ac:dyDescent="0.15">
      <c r="A25" s="1"/>
      <c r="B25" s="1">
        <f>SUM(B19:B24)</f>
        <v>10523.22</v>
      </c>
      <c r="C25" s="1">
        <f t="shared" ref="C25:F25" si="1">SUM(C19:C24)</f>
        <v>8588.66</v>
      </c>
      <c r="D25" s="1">
        <f t="shared" si="1"/>
        <v>11207.89</v>
      </c>
      <c r="E25" s="1">
        <f t="shared" si="1"/>
        <v>16972.09</v>
      </c>
      <c r="F25" s="1">
        <f t="shared" si="1"/>
        <v>9615.2900000000009</v>
      </c>
    </row>
    <row r="26" spans="1:6" x14ac:dyDescent="0.15">
      <c r="A26" s="1" t="s">
        <v>30</v>
      </c>
      <c r="B26" s="1"/>
      <c r="C26" s="1"/>
      <c r="D26" s="1">
        <v>55.05</v>
      </c>
      <c r="E26" s="1">
        <v>44.44</v>
      </c>
      <c r="F26" s="1">
        <v>26.73</v>
      </c>
    </row>
    <row r="27" spans="1:6" x14ac:dyDescent="0.15">
      <c r="A27" s="1" t="s">
        <v>31</v>
      </c>
      <c r="B27" s="1"/>
      <c r="C27" s="1"/>
      <c r="D27" s="1">
        <v>87.41</v>
      </c>
      <c r="E27" s="1">
        <v>130.63</v>
      </c>
      <c r="F27" s="1">
        <v>-30.34</v>
      </c>
    </row>
    <row r="28" spans="1:6" x14ac:dyDescent="0.15">
      <c r="A28" s="1" t="s">
        <v>32</v>
      </c>
      <c r="B28" s="1"/>
      <c r="C28" s="1"/>
      <c r="D28" s="1">
        <v>50.69</v>
      </c>
      <c r="E28" s="1">
        <v>59.84</v>
      </c>
      <c r="F28" s="1">
        <v>80.34</v>
      </c>
    </row>
    <row r="29" spans="1:6" x14ac:dyDescent="0.15">
      <c r="A29" s="1" t="s">
        <v>33</v>
      </c>
      <c r="B29" s="1">
        <v>13484.06</v>
      </c>
      <c r="C29" s="1">
        <v>9658.26</v>
      </c>
      <c r="D29" s="1">
        <v>499.49</v>
      </c>
      <c r="E29" s="1">
        <v>383.74</v>
      </c>
      <c r="F29" s="1">
        <v>325.64</v>
      </c>
    </row>
    <row r="30" spans="1:6" x14ac:dyDescent="0.15">
      <c r="A30" s="3" t="s">
        <v>34</v>
      </c>
      <c r="B30" s="1">
        <v>24007.279999999999</v>
      </c>
      <c r="C30" s="1">
        <v>18246.919999999998</v>
      </c>
      <c r="D30" s="1">
        <v>11900.54</v>
      </c>
      <c r="E30" s="1">
        <v>17590.73</v>
      </c>
      <c r="F30" s="1">
        <v>10017.67</v>
      </c>
    </row>
    <row r="31" spans="1:6" x14ac:dyDescent="0.15">
      <c r="A31" s="3" t="s">
        <v>35</v>
      </c>
      <c r="B31" s="2" t="s">
        <v>10</v>
      </c>
      <c r="C31" s="2" t="s">
        <v>10</v>
      </c>
      <c r="D31" s="2" t="s">
        <v>10</v>
      </c>
      <c r="E31" s="2" t="s">
        <v>10</v>
      </c>
      <c r="F31" s="2" t="s">
        <v>10</v>
      </c>
    </row>
    <row r="32" spans="1:6" x14ac:dyDescent="0.15">
      <c r="A32" s="1" t="s">
        <v>36</v>
      </c>
      <c r="B32" s="1"/>
      <c r="C32" s="1"/>
      <c r="D32" s="1">
        <v>4500</v>
      </c>
      <c r="E32" s="1">
        <v>4500</v>
      </c>
      <c r="F32" s="1">
        <v>4500</v>
      </c>
    </row>
    <row r="33" spans="1:6" x14ac:dyDescent="0.15">
      <c r="A33" s="1" t="s">
        <v>37</v>
      </c>
      <c r="B33" s="1"/>
      <c r="C33" s="1"/>
      <c r="D33" s="1">
        <v>9.6199999999999992</v>
      </c>
      <c r="E33" s="1">
        <v>-1.42</v>
      </c>
      <c r="F33" s="1">
        <v>9.7799999999999994</v>
      </c>
    </row>
    <row r="34" spans="1:6" x14ac:dyDescent="0.15">
      <c r="A34" s="1" t="s">
        <v>38</v>
      </c>
      <c r="B34" s="1"/>
      <c r="C34" s="1"/>
      <c r="D34" s="1"/>
      <c r="E34" s="1"/>
      <c r="F34" s="1">
        <v>-1066.9000000000001</v>
      </c>
    </row>
    <row r="35" spans="1:6" x14ac:dyDescent="0.15">
      <c r="A35" s="1" t="s">
        <v>39</v>
      </c>
      <c r="B35" s="1"/>
      <c r="C35" s="1"/>
      <c r="D35" s="1">
        <v>120.06</v>
      </c>
      <c r="E35" s="1">
        <v>122.81</v>
      </c>
      <c r="F35" s="1">
        <v>141.34</v>
      </c>
    </row>
    <row r="36" spans="1:6" x14ac:dyDescent="0.15">
      <c r="A36" s="1" t="s">
        <v>40</v>
      </c>
      <c r="B36" s="1"/>
      <c r="C36" s="1"/>
      <c r="D36" s="1">
        <v>811.95</v>
      </c>
      <c r="E36" s="1">
        <v>781.47</v>
      </c>
      <c r="F36" s="1">
        <v>948.24</v>
      </c>
    </row>
    <row r="37" spans="1:6" x14ac:dyDescent="0.15">
      <c r="A37" s="1" t="s">
        <v>41</v>
      </c>
      <c r="B37" s="1"/>
      <c r="C37" s="1"/>
      <c r="D37" s="1">
        <v>268.61</v>
      </c>
      <c r="E37" s="1">
        <v>323.85000000000002</v>
      </c>
      <c r="F37" s="1">
        <v>323.85000000000002</v>
      </c>
    </row>
    <row r="38" spans="1:6" x14ac:dyDescent="0.15">
      <c r="A38" s="1" t="s">
        <v>42</v>
      </c>
      <c r="B38" s="1"/>
      <c r="C38" s="1"/>
      <c r="D38" s="1">
        <v>-926.95</v>
      </c>
      <c r="E38" s="1">
        <v>-1070.48</v>
      </c>
      <c r="F38" s="1"/>
    </row>
    <row r="39" spans="1:6" x14ac:dyDescent="0.15">
      <c r="A39" s="3" t="s">
        <v>43</v>
      </c>
      <c r="B39" s="1">
        <v>4399.3599999999997</v>
      </c>
      <c r="C39" s="1">
        <v>4796.16</v>
      </c>
      <c r="D39" s="1">
        <v>4783.29</v>
      </c>
      <c r="E39" s="1">
        <v>4656.2299999999996</v>
      </c>
      <c r="F39" s="1">
        <v>4856.32</v>
      </c>
    </row>
    <row r="40" spans="1:6" x14ac:dyDescent="0.15">
      <c r="A40" s="3" t="s">
        <v>44</v>
      </c>
      <c r="B40" s="1">
        <v>4399.3599999999997</v>
      </c>
      <c r="C40" s="1">
        <v>4796.16</v>
      </c>
      <c r="D40" s="1">
        <v>4783.29</v>
      </c>
      <c r="E40" s="1">
        <v>4656.2299999999996</v>
      </c>
      <c r="F40" s="1">
        <v>4856.32</v>
      </c>
    </row>
    <row r="41" spans="1:6" x14ac:dyDescent="0.15">
      <c r="A41" s="3" t="s">
        <v>45</v>
      </c>
      <c r="B41" s="1">
        <v>28406.639999999999</v>
      </c>
      <c r="C41" s="1">
        <v>23043.08</v>
      </c>
      <c r="D41" s="1">
        <v>16683.830000000002</v>
      </c>
      <c r="E41" s="1">
        <v>22246.959999999999</v>
      </c>
      <c r="F41" s="1">
        <v>14873.99</v>
      </c>
    </row>
    <row r="42" spans="1:6" x14ac:dyDescent="0.15">
      <c r="A42" s="1" t="s">
        <v>46</v>
      </c>
      <c r="B42" s="2" t="s">
        <v>47</v>
      </c>
      <c r="C42" s="2" t="s">
        <v>47</v>
      </c>
      <c r="D42" s="2" t="s">
        <v>47</v>
      </c>
      <c r="E42" s="2" t="s">
        <v>47</v>
      </c>
      <c r="F42" s="2" t="s">
        <v>47</v>
      </c>
    </row>
    <row r="43" spans="1:6" x14ac:dyDescent="0.15">
      <c r="A43" s="1" t="s">
        <v>48</v>
      </c>
      <c r="B43" s="2" t="s">
        <v>47</v>
      </c>
      <c r="C43" s="2" t="s">
        <v>47</v>
      </c>
      <c r="D43" s="2" t="s">
        <v>47</v>
      </c>
      <c r="E43" s="2" t="s">
        <v>47</v>
      </c>
      <c r="F43" s="2" t="s">
        <v>47</v>
      </c>
    </row>
    <row r="44" spans="1:6" x14ac:dyDescent="0.15">
      <c r="A44" s="1" t="s">
        <v>49</v>
      </c>
      <c r="B44" s="2" t="s">
        <v>50</v>
      </c>
      <c r="C44" s="2" t="s">
        <v>50</v>
      </c>
      <c r="D44" s="2" t="s">
        <v>50</v>
      </c>
      <c r="E44" s="2" t="s">
        <v>50</v>
      </c>
      <c r="F44" s="2" t="s">
        <v>50</v>
      </c>
    </row>
    <row r="45" spans="1:6" x14ac:dyDescent="0.15">
      <c r="A45" s="1" t="s">
        <v>51</v>
      </c>
      <c r="B45" s="2" t="s">
        <v>52</v>
      </c>
      <c r="C45" s="2" t="s">
        <v>52</v>
      </c>
      <c r="D45" s="2" t="s">
        <v>52</v>
      </c>
      <c r="E45" s="2" t="s">
        <v>52</v>
      </c>
      <c r="F45" s="2" t="s">
        <v>52</v>
      </c>
    </row>
    <row r="46" spans="1:6" x14ac:dyDescent="0.15">
      <c r="A46" s="1" t="s">
        <v>53</v>
      </c>
      <c r="B46" s="2" t="s">
        <v>10</v>
      </c>
      <c r="C46" s="2" t="s">
        <v>10</v>
      </c>
      <c r="D46" s="2" t="s">
        <v>54</v>
      </c>
      <c r="E46" s="2" t="s">
        <v>54</v>
      </c>
      <c r="F46" s="2" t="s">
        <v>54</v>
      </c>
    </row>
    <row r="47" spans="1:6" x14ac:dyDescent="0.15">
      <c r="A47" s="1" t="s">
        <v>55</v>
      </c>
      <c r="B47" s="1"/>
      <c r="C47" s="1"/>
      <c r="D47" s="1" t="s">
        <v>56</v>
      </c>
      <c r="E47" s="1" t="s">
        <v>56</v>
      </c>
      <c r="F47" s="1" t="s">
        <v>56</v>
      </c>
    </row>
    <row r="48" spans="1:6" x14ac:dyDescent="0.15">
      <c r="A48" s="1" t="s">
        <v>57</v>
      </c>
      <c r="B48" s="2" t="s">
        <v>58</v>
      </c>
      <c r="C48" s="2" t="s">
        <v>59</v>
      </c>
      <c r="D48" s="2" t="s">
        <v>60</v>
      </c>
      <c r="E48" s="2" t="s">
        <v>61</v>
      </c>
      <c r="F48" s="2" t="s">
        <v>62</v>
      </c>
    </row>
    <row r="49" spans="1:6" x14ac:dyDescent="0.15">
      <c r="A49" s="1" t="s">
        <v>63</v>
      </c>
      <c r="B49" s="2" t="s">
        <v>10</v>
      </c>
      <c r="C49" s="2" t="s">
        <v>10</v>
      </c>
      <c r="D49" s="2" t="s">
        <v>64</v>
      </c>
      <c r="E49" s="2" t="s">
        <v>64</v>
      </c>
      <c r="F49" s="2" t="s">
        <v>64</v>
      </c>
    </row>
    <row r="53" spans="1:6" x14ac:dyDescent="0.15">
      <c r="A53" t="s">
        <v>65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F0200159.00-资产负债表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2016-06-09T07:58:32Z</dcterms:created>
  <dcterms:modified xsi:type="dcterms:W3CDTF">2016-06-09T07:59:53Z</dcterms:modified>
</cp:coreProperties>
</file>