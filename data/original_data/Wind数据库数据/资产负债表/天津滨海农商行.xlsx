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297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" i="2" l="1"/>
  <c r="E37" i="2"/>
  <c r="F37" i="2"/>
  <c r="G37" i="2"/>
  <c r="H37" i="2"/>
  <c r="I37" i="2"/>
  <c r="C37" i="2"/>
  <c r="D14" i="2"/>
  <c r="E14" i="2"/>
  <c r="F14" i="2"/>
  <c r="G14" i="2"/>
  <c r="H14" i="2"/>
  <c r="I14" i="2"/>
  <c r="C14" i="2"/>
</calcChain>
</file>

<file path=xl/sharedStrings.xml><?xml version="1.0" encoding="utf-8"?>
<sst xmlns="http://schemas.openxmlformats.org/spreadsheetml/2006/main" count="193" uniqueCount="97">
  <si>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</si>
  <si>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</si>
  <si>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</si>
  <si>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</si>
  <si>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</si>
  <si>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</si>
  <si>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</si>
  <si>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</si>
  <si>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</si>
  <si>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</si>
  <si>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</si>
  <si>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</si>
  <si>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</si>
  <si>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</si>
  <si>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</si>
  <si>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</si>
  <si>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</si>
  <si>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拆出资金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</si>
  <si>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</si>
  <si>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</si>
  <si>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</si>
  <si>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</si>
  <si>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</si>
  <si>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代理业务资产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</si>
  <si>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</si>
  <si>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</si>
  <si>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</si>
  <si>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</si>
  <si>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</si>
  <si>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</si>
  <si>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商誉</t>
  </si>
  <si>
    <t>　　递延所得税资产</t>
  </si>
  <si>
    <t>　　投资性房地产</t>
  </si>
  <si>
    <t>　　其他资产</t>
  </si>
  <si>
    <t>资产差额(特殊报表科目)</t>
  </si>
  <si>
    <t>资产差额(合计平衡项目)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</si>
  <si>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</si>
  <si>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</si>
  <si>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</si>
  <si>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</si>
  <si>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</si>
  <si>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</si>
  <si>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</si>
  <si>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</si>
  <si>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</si>
  <si>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</si>
  <si>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</si>
  <si>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</si>
  <si>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代理业务负债</t>
  </si>
  <si>
    <t>　　应付债券</t>
  </si>
  <si>
    <t>　　递延所得税负债</t>
  </si>
  <si>
    <t>　　预计负债</t>
  </si>
  <si>
    <t>　　其他负债</t>
  </si>
  <si>
    <t>　　负债差额(特殊报表科目)</t>
  </si>
  <si>
    <t>　　负债差额(合计平衡项目)</t>
  </si>
  <si>
    <t>　　负债合计</t>
  </si>
  <si>
    <t>所有者权益(或股东权益)：</t>
  </si>
  <si>
    <t>　　股本</t>
  </si>
  <si>
    <t>　　其它权益工具</t>
  </si>
  <si>
    <t>　　　　其它权益工具：优先股</t>
  </si>
  <si>
    <t>　　资本公积金</t>
  </si>
  <si>
    <t>　　减：库存股</t>
  </si>
  <si>
    <t>　　其它综合收益</t>
  </si>
  <si>
    <t>　　盈余公积金</t>
  </si>
  <si>
    <t>　　未分配利润</t>
  </si>
  <si>
    <t>　　一般风险准备</t>
  </si>
  <si>
    <t>　　外币报表折算差额</t>
  </si>
  <si>
    <t>　　未确认的投资损失</t>
  </si>
  <si>
    <t>　　股东权益差额(特殊报表科目)</t>
  </si>
  <si>
    <t>　　股权权益差额(合计平衡项目)</t>
  </si>
  <si>
    <t>　　归属于母公司所有者权益合计</t>
  </si>
  <si>
    <t>　　少数股东权益</t>
  </si>
  <si>
    <t>　　所有者权益合计</t>
  </si>
  <si>
    <t>负债及股东权益差额(特殊报表项目)</t>
  </si>
  <si>
    <t>负债及股东权益差额(合计平衡项目)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</si>
  <si>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</si>
  <si>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</si>
  <si>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</si>
  <si>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</si>
  <si>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</si>
  <si>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</si>
  <si>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</si>
  <si>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</si>
  <si>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</si>
  <si>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</si>
  <si>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审计意见(境外)</t>
  </si>
  <si>
    <t>原始报表</t>
  </si>
  <si>
    <t>点击浏览</t>
  </si>
  <si>
    <t>公告日期</t>
  </si>
  <si>
    <t>2009-08-18</t>
  </si>
  <si>
    <t>2013-07-22</t>
  </si>
  <si>
    <t>2014-04-29</t>
  </si>
  <si>
    <t>2015-04-29</t>
  </si>
  <si>
    <t>2016-04-28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</si>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</sst>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abSelected="1" topLeftCell="A46" workbookViewId="0">
      <selection activeCell="H65" sqref="H65:I65"/>
    </sheetView>
  </sheetViews>
  <sheetFormatPr defaultRowHeight="13.5" x14ac:dyDescent="0.15"/>
  <cols>
    <col min="1" max="1" width="34.125" bestFit="1" customWidth="1"/>
    <col min="2" max="2" width="15.125" bestFit="1" customWidth="1"/>
    <col min="3" max="3" width="11.625" bestFit="1" customWidth="1"/>
    <col min="4" max="9" width="15.125" bestFit="1" customWidth="1"/>
  </cols>
  <sheetData>
    <row r="1" spans="1:9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x14ac:dyDescent="0.15">
      <c r="A2" t="s">
        <v>8</v>
      </c>
      <c r="B2" s="3" t="s">
        <v>9</v>
      </c>
      <c r="C2" s="3" t="s">
        <v>9</v>
      </c>
      <c r="D2" s="3" t="s">
        <v>9</v>
      </c>
      <c r="E2" s="3" t="s">
        <v>9</v>
      </c>
      <c r="F2" s="3" t="s">
        <v>9</v>
      </c>
      <c r="G2" s="3" t="s">
        <v>9</v>
      </c>
      <c r="H2" s="3" t="s">
        <v>9</v>
      </c>
      <c r="I2" s="3" t="s">
        <v>9</v>
      </c>
    </row>
    <row r="3" spans="1:9" x14ac:dyDescent="0.15">
      <c r="A3" t="s">
        <v>10</v>
      </c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11</v>
      </c>
      <c r="I3" s="3" t="s">
        <v>11</v>
      </c>
    </row>
    <row r="4" spans="1:9" x14ac:dyDescent="0.15">
      <c r="A4" s="2" t="s">
        <v>12</v>
      </c>
      <c r="B4" s="3" t="s">
        <v>13</v>
      </c>
      <c r="C4" s="3" t="s">
        <v>13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</row>
    <row r="5" spans="1:9" x14ac:dyDescent="0.15">
      <c r="A5" t="s">
        <v>14</v>
      </c>
      <c r="B5" s="1"/>
      <c r="C5" s="1">
        <v>3927.41</v>
      </c>
      <c r="D5" s="1">
        <v>6603.25</v>
      </c>
      <c r="E5" s="1">
        <v>7900.21</v>
      </c>
      <c r="F5" s="1">
        <v>8936.52</v>
      </c>
      <c r="G5" s="1">
        <v>13907.36</v>
      </c>
      <c r="H5" s="1">
        <v>13501.77</v>
      </c>
      <c r="I5" s="1">
        <v>14286.09</v>
      </c>
    </row>
    <row r="6" spans="1:9" x14ac:dyDescent="0.15">
      <c r="A6" t="s">
        <v>15</v>
      </c>
      <c r="B6" s="1"/>
      <c r="C6" s="1">
        <v>1236.57</v>
      </c>
      <c r="D6" s="1">
        <v>727.4</v>
      </c>
      <c r="E6" s="1">
        <v>713.71</v>
      </c>
      <c r="F6" s="1">
        <v>873.14</v>
      </c>
      <c r="G6" s="1">
        <v>3061.02</v>
      </c>
      <c r="H6" s="1">
        <v>3539.95</v>
      </c>
      <c r="I6" s="1">
        <v>22415.09</v>
      </c>
    </row>
    <row r="7" spans="1:9" x14ac:dyDescent="0.15">
      <c r="A7" t="s">
        <v>16</v>
      </c>
      <c r="B7" s="1"/>
      <c r="C7" s="1"/>
      <c r="D7" s="1"/>
      <c r="E7" s="1"/>
      <c r="F7" s="1"/>
      <c r="G7" s="1"/>
      <c r="H7" s="1"/>
      <c r="I7" s="1"/>
    </row>
    <row r="8" spans="1:9" x14ac:dyDescent="0.15">
      <c r="A8" t="s">
        <v>17</v>
      </c>
      <c r="B8" s="1"/>
      <c r="C8" s="1"/>
      <c r="D8" s="1"/>
      <c r="E8" s="1">
        <v>680</v>
      </c>
      <c r="F8" s="1"/>
      <c r="G8" s="1"/>
      <c r="H8" s="1">
        <v>1610</v>
      </c>
      <c r="I8" s="1">
        <v>1200</v>
      </c>
    </row>
    <row r="9" spans="1:9" x14ac:dyDescent="0.15">
      <c r="A9" t="s">
        <v>18</v>
      </c>
      <c r="B9" s="1"/>
      <c r="C9" s="1">
        <v>2046.51</v>
      </c>
      <c r="D9" s="1">
        <v>2393.96</v>
      </c>
      <c r="E9" s="1">
        <v>3273.39</v>
      </c>
      <c r="F9" s="1">
        <v>2080.8200000000002</v>
      </c>
      <c r="G9" s="1">
        <v>2963.49</v>
      </c>
      <c r="H9" s="1">
        <v>2347.5</v>
      </c>
      <c r="I9" s="1">
        <v>319.54000000000002</v>
      </c>
    </row>
    <row r="10" spans="1:9" x14ac:dyDescent="0.15">
      <c r="A10" t="s">
        <v>19</v>
      </c>
      <c r="B10" s="1"/>
      <c r="C10" s="1"/>
      <c r="D10" s="1"/>
      <c r="E10" s="1"/>
      <c r="F10" s="1"/>
      <c r="G10" s="1"/>
      <c r="H10" s="1"/>
      <c r="I10" s="1"/>
    </row>
    <row r="11" spans="1:9" x14ac:dyDescent="0.15">
      <c r="A11" t="s">
        <v>20</v>
      </c>
      <c r="B11" s="1"/>
      <c r="C11" s="1"/>
      <c r="D11" s="1">
        <v>450</v>
      </c>
      <c r="E11" s="1">
        <v>1024.4000000000001</v>
      </c>
      <c r="F11" s="1"/>
      <c r="G11" s="1">
        <v>4420</v>
      </c>
      <c r="H11" s="1">
        <v>4203.09</v>
      </c>
      <c r="I11" s="1">
        <v>300</v>
      </c>
    </row>
    <row r="12" spans="1:9" x14ac:dyDescent="0.15">
      <c r="A12" t="s">
        <v>21</v>
      </c>
      <c r="B12" s="1"/>
      <c r="C12" s="1">
        <v>132.27000000000001</v>
      </c>
      <c r="D12" s="1">
        <v>186.88</v>
      </c>
      <c r="E12" s="1">
        <v>209.06</v>
      </c>
      <c r="F12" s="1">
        <v>248.79</v>
      </c>
      <c r="G12" s="1">
        <v>366.71</v>
      </c>
      <c r="H12" s="1">
        <v>320.64999999999998</v>
      </c>
      <c r="I12" s="1">
        <v>352.63</v>
      </c>
    </row>
    <row r="13" spans="1:9" x14ac:dyDescent="0.15">
      <c r="A13" t="s">
        <v>22</v>
      </c>
      <c r="B13" s="1"/>
      <c r="C13" s="1">
        <v>18989.080000000002</v>
      </c>
      <c r="D13" s="1">
        <v>23015.8</v>
      </c>
      <c r="E13" s="1">
        <v>27704.21</v>
      </c>
      <c r="F13" s="1">
        <v>31411.98</v>
      </c>
      <c r="G13" s="1">
        <v>38684.74</v>
      </c>
      <c r="H13" s="1">
        <v>44434.01</v>
      </c>
      <c r="I13" s="1">
        <v>53385.46</v>
      </c>
    </row>
    <row r="14" spans="1:9" x14ac:dyDescent="0.15">
      <c r="B14" s="1"/>
      <c r="C14" s="1">
        <f>C12+C13</f>
        <v>19121.350000000002</v>
      </c>
      <c r="D14" s="1">
        <f t="shared" ref="D14:I14" si="0">D12+D13</f>
        <v>23202.68</v>
      </c>
      <c r="E14" s="1">
        <f t="shared" si="0"/>
        <v>27913.27</v>
      </c>
      <c r="F14" s="1">
        <f t="shared" si="0"/>
        <v>31660.77</v>
      </c>
      <c r="G14" s="1">
        <f t="shared" si="0"/>
        <v>39051.449999999997</v>
      </c>
      <c r="H14" s="1">
        <f t="shared" si="0"/>
        <v>44754.66</v>
      </c>
      <c r="I14" s="1">
        <f t="shared" si="0"/>
        <v>53738.09</v>
      </c>
    </row>
    <row r="15" spans="1:9" x14ac:dyDescent="0.15">
      <c r="A15" t="s">
        <v>23</v>
      </c>
      <c r="B15" s="1"/>
      <c r="C15" s="1"/>
      <c r="D15" s="1"/>
      <c r="E15" s="1"/>
      <c r="F15" s="1"/>
      <c r="G15" s="1"/>
      <c r="H15" s="1"/>
      <c r="I15" s="1"/>
    </row>
    <row r="16" spans="1:9" x14ac:dyDescent="0.15">
      <c r="A16" t="s">
        <v>24</v>
      </c>
      <c r="B16" s="1"/>
      <c r="C16" s="1">
        <v>2545.4499999999998</v>
      </c>
      <c r="D16" s="1">
        <v>3819.51</v>
      </c>
      <c r="E16" s="1">
        <v>2737.54</v>
      </c>
      <c r="F16" s="1">
        <v>1606.16</v>
      </c>
      <c r="G16" s="1">
        <v>1592.9</v>
      </c>
      <c r="H16" s="1">
        <v>996.51</v>
      </c>
      <c r="I16" s="1">
        <v>916.58</v>
      </c>
    </row>
    <row r="17" spans="1:9" x14ac:dyDescent="0.15">
      <c r="A17" t="s">
        <v>25</v>
      </c>
      <c r="B17" s="1"/>
      <c r="C17" s="1">
        <v>3159.61</v>
      </c>
      <c r="D17" s="1">
        <v>2910.47</v>
      </c>
      <c r="E17" s="1">
        <v>2580.71</v>
      </c>
      <c r="F17" s="1">
        <v>6732.4</v>
      </c>
      <c r="G17" s="1">
        <v>6587.19</v>
      </c>
      <c r="H17" s="1">
        <v>10268.06</v>
      </c>
      <c r="I17" s="1">
        <v>8896.3700000000008</v>
      </c>
    </row>
    <row r="18" spans="1:9" x14ac:dyDescent="0.15">
      <c r="A18" t="s">
        <v>26</v>
      </c>
      <c r="B18" s="1"/>
      <c r="C18" s="1"/>
      <c r="D18" s="1">
        <v>50</v>
      </c>
      <c r="E18" s="1">
        <v>50</v>
      </c>
      <c r="F18" s="1">
        <v>50</v>
      </c>
      <c r="G18" s="1">
        <v>105</v>
      </c>
      <c r="H18" s="1"/>
      <c r="I18" s="1"/>
    </row>
    <row r="19" spans="1:9" x14ac:dyDescent="0.15">
      <c r="A19" t="s">
        <v>27</v>
      </c>
      <c r="B19" s="1"/>
      <c r="C19" s="1"/>
      <c r="D19" s="1"/>
      <c r="E19" s="1"/>
      <c r="F19" s="1">
        <v>6207.44</v>
      </c>
      <c r="G19" s="1">
        <v>15249.13</v>
      </c>
      <c r="H19" s="1">
        <v>15349.44</v>
      </c>
      <c r="I19" s="1">
        <v>26568.55</v>
      </c>
    </row>
    <row r="20" spans="1:9" x14ac:dyDescent="0.15">
      <c r="A20" t="s">
        <v>28</v>
      </c>
      <c r="B20" s="1"/>
      <c r="C20" s="1">
        <v>382.79</v>
      </c>
      <c r="D20" s="1">
        <v>404.25</v>
      </c>
      <c r="E20" s="1">
        <v>373.95</v>
      </c>
      <c r="F20" s="1">
        <v>493.21</v>
      </c>
      <c r="G20" s="1">
        <v>548.69000000000005</v>
      </c>
      <c r="H20" s="1">
        <v>544.37</v>
      </c>
      <c r="I20" s="1">
        <v>663.51</v>
      </c>
    </row>
    <row r="21" spans="1:9" x14ac:dyDescent="0.15">
      <c r="A21" t="s">
        <v>29</v>
      </c>
      <c r="B21" s="1"/>
      <c r="C21" s="1">
        <v>7.52</v>
      </c>
      <c r="D21" s="1">
        <v>8.7799999999999994</v>
      </c>
      <c r="E21" s="1">
        <v>14.92</v>
      </c>
      <c r="F21" s="1">
        <v>13.75</v>
      </c>
      <c r="G21" s="1">
        <v>12.09</v>
      </c>
      <c r="H21" s="1">
        <v>16.559999999999999</v>
      </c>
      <c r="I21" s="1">
        <v>18.09</v>
      </c>
    </row>
    <row r="22" spans="1:9" x14ac:dyDescent="0.15">
      <c r="A22" t="s">
        <v>30</v>
      </c>
      <c r="B22" s="1"/>
      <c r="C22" s="1"/>
      <c r="D22" s="1"/>
      <c r="E22" s="1"/>
      <c r="F22" s="1"/>
      <c r="G22" s="1"/>
      <c r="H22" s="1"/>
      <c r="I22" s="1"/>
    </row>
    <row r="23" spans="1:9" x14ac:dyDescent="0.15">
      <c r="A23" t="s">
        <v>31</v>
      </c>
      <c r="B23" s="1"/>
      <c r="C23" s="1">
        <v>60.7</v>
      </c>
      <c r="D23" s="1">
        <v>128.88999999999999</v>
      </c>
      <c r="E23" s="1">
        <v>141.77000000000001</v>
      </c>
      <c r="F23" s="1">
        <v>175.37</v>
      </c>
      <c r="G23" s="1">
        <v>297.14</v>
      </c>
      <c r="H23" s="1">
        <v>368.34</v>
      </c>
      <c r="I23" s="1">
        <v>452.01</v>
      </c>
    </row>
    <row r="24" spans="1:9" x14ac:dyDescent="0.15">
      <c r="A24" t="s">
        <v>32</v>
      </c>
      <c r="B24" s="1"/>
      <c r="C24" s="1"/>
      <c r="D24" s="1"/>
      <c r="E24" s="1"/>
      <c r="F24" s="1"/>
      <c r="G24" s="1"/>
      <c r="H24" s="1"/>
      <c r="I24" s="1"/>
    </row>
    <row r="25" spans="1:9" x14ac:dyDescent="0.15">
      <c r="A25" t="s">
        <v>33</v>
      </c>
      <c r="B25" s="1"/>
      <c r="C25" s="1">
        <v>0</v>
      </c>
      <c r="D25" s="1">
        <v>0</v>
      </c>
      <c r="E25" s="1">
        <v>51.4</v>
      </c>
      <c r="F25" s="1">
        <v>52.67</v>
      </c>
      <c r="G25" s="1">
        <v>7.07</v>
      </c>
      <c r="H25" s="1">
        <v>660.83</v>
      </c>
      <c r="I25" s="1">
        <v>142.91</v>
      </c>
    </row>
    <row r="26" spans="1:9" x14ac:dyDescent="0.15">
      <c r="A26" t="s">
        <v>34</v>
      </c>
      <c r="B26" s="1"/>
      <c r="C26" s="1">
        <v>127.93</v>
      </c>
      <c r="D26" s="1">
        <v>106.15</v>
      </c>
      <c r="E26" s="1">
        <v>122.86</v>
      </c>
      <c r="F26" s="1">
        <v>138.79</v>
      </c>
      <c r="G26" s="1">
        <v>139.38999999999999</v>
      </c>
      <c r="H26" s="1"/>
      <c r="I26" s="1"/>
    </row>
    <row r="27" spans="1:9" x14ac:dyDescent="0.15">
      <c r="A27" t="s">
        <v>35</v>
      </c>
      <c r="B27" s="1"/>
      <c r="C27" s="1"/>
      <c r="D27" s="1"/>
      <c r="E27" s="1"/>
      <c r="F27" s="1">
        <v>0</v>
      </c>
      <c r="G27" s="1"/>
      <c r="H27" s="1"/>
      <c r="I27" s="1"/>
    </row>
    <row r="28" spans="1:9" x14ac:dyDescent="0.15">
      <c r="A28" s="2" t="s">
        <v>36</v>
      </c>
      <c r="B28" s="1">
        <v>21493.01</v>
      </c>
      <c r="C28" s="1">
        <v>32615.82</v>
      </c>
      <c r="D28" s="1">
        <v>40805.339999999997</v>
      </c>
      <c r="E28" s="1">
        <v>47578.13</v>
      </c>
      <c r="F28" s="1">
        <v>59021.02</v>
      </c>
      <c r="G28" s="1">
        <v>87941.92</v>
      </c>
      <c r="H28" s="1">
        <v>98161.09</v>
      </c>
      <c r="I28" s="1">
        <v>129916.83</v>
      </c>
    </row>
    <row r="29" spans="1:9" x14ac:dyDescent="0.15">
      <c r="A29" s="2" t="s">
        <v>37</v>
      </c>
      <c r="B29" s="3" t="s">
        <v>13</v>
      </c>
      <c r="C29" s="3" t="s">
        <v>13</v>
      </c>
      <c r="D29" s="3" t="s">
        <v>13</v>
      </c>
      <c r="E29" s="3" t="s">
        <v>13</v>
      </c>
      <c r="F29" s="3" t="s">
        <v>13</v>
      </c>
      <c r="G29" s="3" t="s">
        <v>13</v>
      </c>
      <c r="H29" s="3" t="s">
        <v>13</v>
      </c>
      <c r="I29" s="3" t="s">
        <v>13</v>
      </c>
    </row>
    <row r="30" spans="1:9" x14ac:dyDescent="0.15">
      <c r="A30" t="s">
        <v>38</v>
      </c>
      <c r="B30" s="1"/>
      <c r="C30" s="1">
        <v>203.19</v>
      </c>
      <c r="D30" s="1">
        <v>148.53</v>
      </c>
      <c r="E30" s="1">
        <v>2651.78</v>
      </c>
      <c r="F30" s="1">
        <v>1992.15</v>
      </c>
      <c r="G30" s="1">
        <v>14555.36</v>
      </c>
      <c r="H30" s="1">
        <v>13370.5</v>
      </c>
      <c r="I30" s="1">
        <v>31079.59</v>
      </c>
    </row>
    <row r="31" spans="1:9" x14ac:dyDescent="0.15">
      <c r="A31" t="s">
        <v>39</v>
      </c>
      <c r="B31" s="1"/>
      <c r="C31" s="1"/>
      <c r="D31" s="1">
        <v>80</v>
      </c>
      <c r="E31" s="1">
        <v>80</v>
      </c>
      <c r="F31" s="1">
        <v>90</v>
      </c>
      <c r="G31" s="1">
        <v>170</v>
      </c>
      <c r="H31" s="1">
        <v>250</v>
      </c>
      <c r="I31" s="1">
        <v>1085.5</v>
      </c>
    </row>
    <row r="32" spans="1:9" x14ac:dyDescent="0.15">
      <c r="A32" t="s">
        <v>40</v>
      </c>
      <c r="B32" s="1"/>
      <c r="C32" s="1"/>
      <c r="D32" s="1"/>
      <c r="E32" s="1">
        <v>70</v>
      </c>
      <c r="F32" s="1">
        <v>500</v>
      </c>
      <c r="G32" s="1">
        <v>110</v>
      </c>
      <c r="H32" s="1">
        <v>960.19</v>
      </c>
      <c r="I32" s="1">
        <v>900</v>
      </c>
    </row>
    <row r="33" spans="1:9" x14ac:dyDescent="0.15">
      <c r="A33" t="s">
        <v>41</v>
      </c>
      <c r="B33" s="1"/>
      <c r="C33" s="1"/>
      <c r="D33" s="1"/>
      <c r="E33" s="1"/>
      <c r="F33" s="1"/>
      <c r="G33" s="1"/>
      <c r="H33" s="1"/>
      <c r="I33" s="1"/>
    </row>
    <row r="34" spans="1:9" x14ac:dyDescent="0.15">
      <c r="A34" t="s">
        <v>42</v>
      </c>
      <c r="B34" s="1"/>
      <c r="C34" s="1"/>
      <c r="D34" s="1"/>
      <c r="E34" s="1"/>
      <c r="F34" s="1"/>
      <c r="G34" s="1"/>
      <c r="H34" s="1"/>
      <c r="I34" s="1"/>
    </row>
    <row r="35" spans="1:9" x14ac:dyDescent="0.15">
      <c r="A35" t="s">
        <v>43</v>
      </c>
      <c r="B35" s="1"/>
      <c r="C35" s="1">
        <v>1220</v>
      </c>
      <c r="D35" s="1"/>
      <c r="E35" s="1"/>
      <c r="F35" s="1">
        <v>1818</v>
      </c>
      <c r="G35" s="1">
        <v>3570.3</v>
      </c>
      <c r="H35" s="1">
        <v>7074.99</v>
      </c>
      <c r="I35" s="1">
        <v>2353.6</v>
      </c>
    </row>
    <row r="36" spans="1:9" x14ac:dyDescent="0.15">
      <c r="A36" t="s">
        <v>44</v>
      </c>
      <c r="B36" s="1"/>
      <c r="C36" s="1">
        <v>27266.799999999999</v>
      </c>
      <c r="D36" s="1">
        <v>35250.57</v>
      </c>
      <c r="E36" s="1">
        <v>38682.639999999999</v>
      </c>
      <c r="F36" s="1">
        <v>45772.3</v>
      </c>
      <c r="G36" s="1">
        <v>57054.46</v>
      </c>
      <c r="H36" s="1">
        <v>62453.9</v>
      </c>
      <c r="I36" s="1">
        <v>75169.8</v>
      </c>
    </row>
    <row r="37" spans="1:9" x14ac:dyDescent="0.15">
      <c r="B37" s="1"/>
      <c r="C37" s="1">
        <f>SUM(C30:C36)</f>
        <v>28689.989999999998</v>
      </c>
      <c r="D37" s="1">
        <f t="shared" ref="D37:I37" si="1">SUM(D30:D36)</f>
        <v>35479.1</v>
      </c>
      <c r="E37" s="1">
        <f t="shared" si="1"/>
        <v>41484.42</v>
      </c>
      <c r="F37" s="1">
        <f t="shared" si="1"/>
        <v>50172.450000000004</v>
      </c>
      <c r="G37" s="1">
        <f t="shared" si="1"/>
        <v>75460.12</v>
      </c>
      <c r="H37" s="1">
        <f t="shared" si="1"/>
        <v>84109.58</v>
      </c>
      <c r="I37" s="1">
        <f t="shared" si="1"/>
        <v>110588.48999999999</v>
      </c>
    </row>
    <row r="38" spans="1:9" x14ac:dyDescent="0.15">
      <c r="A38" t="s">
        <v>45</v>
      </c>
      <c r="B38" s="1"/>
      <c r="C38" s="1">
        <v>92.24</v>
      </c>
      <c r="D38" s="1">
        <v>125.88</v>
      </c>
      <c r="E38" s="1">
        <v>101.6</v>
      </c>
      <c r="F38" s="1">
        <v>99.62</v>
      </c>
      <c r="G38" s="1">
        <v>163.52000000000001</v>
      </c>
      <c r="H38" s="1">
        <v>144.26</v>
      </c>
      <c r="I38" s="1">
        <v>143.84</v>
      </c>
    </row>
    <row r="39" spans="1:9" x14ac:dyDescent="0.15">
      <c r="A39" t="s">
        <v>46</v>
      </c>
      <c r="B39" s="1"/>
      <c r="C39" s="1">
        <v>17.47</v>
      </c>
      <c r="D39" s="1">
        <v>126.58</v>
      </c>
      <c r="E39" s="1">
        <v>78.44</v>
      </c>
      <c r="F39" s="1">
        <v>74.569999999999993</v>
      </c>
      <c r="G39" s="1">
        <v>184.07</v>
      </c>
      <c r="H39" s="1">
        <v>121.43</v>
      </c>
      <c r="I39" s="1">
        <v>211.19</v>
      </c>
    </row>
    <row r="40" spans="1:9" x14ac:dyDescent="0.15">
      <c r="A40" t="s">
        <v>47</v>
      </c>
      <c r="B40" s="1"/>
      <c r="C40" s="1">
        <v>206.96</v>
      </c>
      <c r="D40" s="1">
        <v>259.44</v>
      </c>
      <c r="E40" s="1">
        <v>362.4</v>
      </c>
      <c r="F40" s="1">
        <v>624.92999999999995</v>
      </c>
      <c r="G40" s="1">
        <v>856.29</v>
      </c>
      <c r="H40" s="1">
        <v>1338.47</v>
      </c>
      <c r="I40" s="1">
        <v>1807.47</v>
      </c>
    </row>
    <row r="41" spans="1:9" x14ac:dyDescent="0.15">
      <c r="A41" t="s">
        <v>48</v>
      </c>
      <c r="B41" s="1"/>
      <c r="C41" s="1"/>
      <c r="D41" s="1"/>
      <c r="E41" s="1"/>
      <c r="F41" s="1"/>
      <c r="G41" s="1"/>
      <c r="H41" s="1"/>
      <c r="I41" s="1"/>
    </row>
    <row r="42" spans="1:9" x14ac:dyDescent="0.15">
      <c r="A42" t="s">
        <v>49</v>
      </c>
      <c r="B42" s="1"/>
      <c r="C42" s="1"/>
      <c r="D42" s="1"/>
      <c r="E42" s="1"/>
      <c r="F42" s="1"/>
      <c r="G42" s="1">
        <v>2500</v>
      </c>
      <c r="H42" s="1">
        <v>4000</v>
      </c>
      <c r="I42" s="1">
        <v>5500</v>
      </c>
    </row>
    <row r="43" spans="1:9" x14ac:dyDescent="0.15">
      <c r="A43" t="s">
        <v>50</v>
      </c>
      <c r="B43" s="1"/>
      <c r="C43" s="1">
        <v>6.67</v>
      </c>
      <c r="D43" s="1"/>
      <c r="E43" s="1">
        <v>5.63</v>
      </c>
      <c r="F43" s="1">
        <v>5.36</v>
      </c>
      <c r="G43" s="1"/>
      <c r="H43" s="1">
        <v>1.41</v>
      </c>
      <c r="I43" s="1">
        <v>4.99</v>
      </c>
    </row>
    <row r="44" spans="1:9" x14ac:dyDescent="0.15">
      <c r="A44" t="s">
        <v>51</v>
      </c>
      <c r="B44" s="1"/>
      <c r="C44" s="1"/>
      <c r="D44" s="1"/>
      <c r="E44" s="1"/>
      <c r="F44" s="1"/>
      <c r="G44" s="1"/>
      <c r="H44" s="1"/>
      <c r="I44" s="1"/>
    </row>
    <row r="45" spans="1:9" x14ac:dyDescent="0.15">
      <c r="A45" t="s">
        <v>52</v>
      </c>
      <c r="B45" s="1"/>
      <c r="C45" s="1">
        <v>39.869999999999997</v>
      </c>
      <c r="D45" s="1">
        <v>69.52</v>
      </c>
      <c r="E45" s="1">
        <v>74.78</v>
      </c>
      <c r="F45" s="1">
        <v>1739.91</v>
      </c>
      <c r="G45" s="1">
        <v>1700</v>
      </c>
      <c r="H45" s="1">
        <v>835.87</v>
      </c>
      <c r="I45" s="1">
        <v>992.37</v>
      </c>
    </row>
    <row r="46" spans="1:9" x14ac:dyDescent="0.15">
      <c r="A46" t="s">
        <v>53</v>
      </c>
      <c r="B46" s="1"/>
      <c r="C46" s="1">
        <v>89.1</v>
      </c>
      <c r="D46" s="1">
        <v>90.12</v>
      </c>
      <c r="E46" s="1">
        <v>129.13</v>
      </c>
      <c r="F46" s="1">
        <v>151.41</v>
      </c>
      <c r="G46" s="1">
        <v>264.36</v>
      </c>
      <c r="H46" s="1">
        <v>112.07</v>
      </c>
      <c r="I46" s="1">
        <v>0.1</v>
      </c>
    </row>
    <row r="47" spans="1:9" x14ac:dyDescent="0.15">
      <c r="A47" t="s">
        <v>54</v>
      </c>
      <c r="B47" s="1"/>
      <c r="C47" s="1"/>
      <c r="D47" s="1"/>
      <c r="E47" s="1"/>
      <c r="F47" s="1"/>
      <c r="G47" s="1"/>
      <c r="H47" s="1"/>
      <c r="I47" s="1"/>
    </row>
    <row r="48" spans="1:9" x14ac:dyDescent="0.15">
      <c r="A48" s="2" t="s">
        <v>55</v>
      </c>
      <c r="B48" s="1"/>
      <c r="C48" s="1">
        <v>29142.28</v>
      </c>
      <c r="D48" s="1">
        <v>36150.65</v>
      </c>
      <c r="E48" s="1">
        <v>42236.4</v>
      </c>
      <c r="F48" s="1">
        <v>52868.25</v>
      </c>
      <c r="G48" s="1">
        <v>81128.36</v>
      </c>
      <c r="H48" s="1">
        <v>90663.1</v>
      </c>
      <c r="I48" s="1">
        <v>119248.46</v>
      </c>
    </row>
    <row r="49" spans="1:9" x14ac:dyDescent="0.15">
      <c r="A49" s="2" t="s">
        <v>56</v>
      </c>
      <c r="B49" s="3" t="s">
        <v>13</v>
      </c>
      <c r="C49" s="3" t="s">
        <v>13</v>
      </c>
      <c r="D49" s="3" t="s">
        <v>13</v>
      </c>
      <c r="E49" s="3" t="s">
        <v>13</v>
      </c>
      <c r="F49" s="3" t="s">
        <v>13</v>
      </c>
      <c r="G49" s="3" t="s">
        <v>13</v>
      </c>
      <c r="H49" s="3" t="s">
        <v>13</v>
      </c>
      <c r="I49" s="3" t="s">
        <v>13</v>
      </c>
    </row>
    <row r="50" spans="1:9" x14ac:dyDescent="0.15">
      <c r="A50" t="s">
        <v>57</v>
      </c>
      <c r="B50" s="1"/>
      <c r="C50" s="1">
        <v>2821.08</v>
      </c>
      <c r="D50" s="1">
        <v>3796.28</v>
      </c>
      <c r="E50" s="1">
        <v>4046.28</v>
      </c>
      <c r="F50" s="1">
        <v>4447.59</v>
      </c>
      <c r="G50" s="1">
        <v>4447.59</v>
      </c>
      <c r="H50" s="1">
        <v>4447.59</v>
      </c>
      <c r="I50" s="1">
        <v>5460.2</v>
      </c>
    </row>
    <row r="51" spans="1:9" x14ac:dyDescent="0.15">
      <c r="A51" t="s">
        <v>58</v>
      </c>
      <c r="B51" s="1"/>
      <c r="C51" s="1"/>
      <c r="D51" s="1"/>
      <c r="E51" s="1"/>
      <c r="F51" s="1"/>
      <c r="G51" s="1"/>
      <c r="H51" s="1"/>
      <c r="I51" s="1"/>
    </row>
    <row r="52" spans="1:9" x14ac:dyDescent="0.15">
      <c r="A52" t="s">
        <v>59</v>
      </c>
      <c r="B52" s="1"/>
      <c r="C52" s="1"/>
      <c r="D52" s="1"/>
      <c r="E52" s="1"/>
      <c r="F52" s="1"/>
      <c r="G52" s="1"/>
      <c r="H52" s="1"/>
      <c r="I52" s="1"/>
    </row>
    <row r="53" spans="1:9" x14ac:dyDescent="0.15">
      <c r="A53" t="s">
        <v>60</v>
      </c>
      <c r="B53" s="1"/>
      <c r="C53" s="1">
        <v>13.61</v>
      </c>
      <c r="D53" s="1">
        <v>-31.1</v>
      </c>
      <c r="E53" s="1">
        <v>14.68</v>
      </c>
      <c r="F53" s="1">
        <v>2.8</v>
      </c>
      <c r="G53" s="1">
        <v>-54.36</v>
      </c>
      <c r="H53" s="1">
        <v>3.09</v>
      </c>
      <c r="I53" s="1">
        <v>1337.1</v>
      </c>
    </row>
    <row r="54" spans="1:9" x14ac:dyDescent="0.15">
      <c r="A54" t="s">
        <v>61</v>
      </c>
      <c r="B54" s="1"/>
      <c r="C54" s="1"/>
      <c r="D54" s="1"/>
      <c r="E54" s="1"/>
      <c r="F54" s="1"/>
      <c r="G54" s="1"/>
      <c r="H54" s="1"/>
      <c r="I54" s="1"/>
    </row>
    <row r="55" spans="1:9" x14ac:dyDescent="0.15">
      <c r="A55" t="s">
        <v>62</v>
      </c>
      <c r="B55" s="1"/>
      <c r="C55" s="1"/>
      <c r="D55" s="1"/>
      <c r="E55" s="1"/>
      <c r="F55" s="1"/>
      <c r="G55" s="1"/>
      <c r="H55" s="1"/>
      <c r="I55" s="1"/>
    </row>
    <row r="56" spans="1:9" x14ac:dyDescent="0.15">
      <c r="A56" t="s">
        <v>63</v>
      </c>
      <c r="B56" s="1"/>
      <c r="C56" s="1">
        <v>106.67</v>
      </c>
      <c r="D56" s="1">
        <v>155.75</v>
      </c>
      <c r="E56" s="1">
        <v>216.65</v>
      </c>
      <c r="F56" s="1">
        <v>282.77</v>
      </c>
      <c r="G56" s="1">
        <v>368.69</v>
      </c>
      <c r="H56" s="1">
        <v>445.97</v>
      </c>
      <c r="I56" s="1">
        <v>526.26</v>
      </c>
    </row>
    <row r="57" spans="1:9" x14ac:dyDescent="0.15">
      <c r="A57" t="s">
        <v>64</v>
      </c>
      <c r="B57" s="1"/>
      <c r="C57" s="1">
        <v>153.09</v>
      </c>
      <c r="D57" s="1">
        <v>324.44</v>
      </c>
      <c r="E57" s="1">
        <v>507.72</v>
      </c>
      <c r="F57" s="1">
        <v>676.74</v>
      </c>
      <c r="G57" s="1">
        <v>1011.64</v>
      </c>
      <c r="H57" s="1">
        <v>715.87</v>
      </c>
      <c r="I57" s="1">
        <v>1437.31</v>
      </c>
    </row>
    <row r="58" spans="1:9" x14ac:dyDescent="0.15">
      <c r="A58" t="s">
        <v>65</v>
      </c>
      <c r="B58" s="1"/>
      <c r="C58" s="1">
        <v>332.45</v>
      </c>
      <c r="D58" s="1">
        <v>354.83</v>
      </c>
      <c r="E58" s="1">
        <v>437.51</v>
      </c>
      <c r="F58" s="1">
        <v>484.12</v>
      </c>
      <c r="G58" s="1">
        <v>752.54</v>
      </c>
      <c r="H58" s="1">
        <v>1348.82</v>
      </c>
      <c r="I58" s="1">
        <v>1372.56</v>
      </c>
    </row>
    <row r="59" spans="1:9" x14ac:dyDescent="0.15">
      <c r="A59" t="s">
        <v>66</v>
      </c>
      <c r="B59" s="1"/>
      <c r="C59" s="1"/>
      <c r="D59" s="1"/>
      <c r="E59" s="1"/>
      <c r="F59" s="1"/>
      <c r="G59" s="1"/>
      <c r="H59" s="1"/>
      <c r="I59" s="1"/>
    </row>
    <row r="60" spans="1:9" x14ac:dyDescent="0.15">
      <c r="A60" t="s">
        <v>67</v>
      </c>
      <c r="B60" s="1"/>
      <c r="C60" s="1"/>
      <c r="D60" s="1"/>
      <c r="E60" s="1"/>
      <c r="F60" s="1"/>
      <c r="G60" s="1"/>
      <c r="H60" s="1"/>
      <c r="I60" s="1"/>
    </row>
    <row r="61" spans="1:9" x14ac:dyDescent="0.15">
      <c r="A61" t="s">
        <v>68</v>
      </c>
      <c r="B61" s="1"/>
      <c r="C61" s="1"/>
      <c r="D61" s="1"/>
      <c r="E61" s="1"/>
      <c r="F61" s="1"/>
      <c r="G61" s="1"/>
      <c r="H61" s="1"/>
      <c r="I61" s="1"/>
    </row>
    <row r="62" spans="1:9" x14ac:dyDescent="0.15">
      <c r="A62" t="s">
        <v>69</v>
      </c>
      <c r="B62" s="1"/>
      <c r="C62" s="1"/>
      <c r="D62" s="1"/>
      <c r="E62" s="1"/>
      <c r="F62" s="1"/>
      <c r="G62" s="1"/>
      <c r="H62" s="1"/>
      <c r="I62" s="1"/>
    </row>
    <row r="63" spans="1:9" x14ac:dyDescent="0.15">
      <c r="A63" s="2" t="s">
        <v>70</v>
      </c>
      <c r="B63" s="1">
        <v>2482.5100000000002</v>
      </c>
      <c r="C63" s="1">
        <v>3426.91</v>
      </c>
      <c r="D63" s="1">
        <v>4600.2</v>
      </c>
      <c r="E63" s="1">
        <v>5222.83</v>
      </c>
      <c r="F63" s="1">
        <v>5894.01</v>
      </c>
      <c r="G63" s="1">
        <v>6526.1</v>
      </c>
      <c r="H63" s="1">
        <v>6961.34</v>
      </c>
      <c r="I63" s="1">
        <v>10133.44</v>
      </c>
    </row>
    <row r="64" spans="1:9" x14ac:dyDescent="0.15">
      <c r="A64" t="s">
        <v>71</v>
      </c>
      <c r="B64" s="1"/>
      <c r="C64" s="1">
        <v>46.63</v>
      </c>
      <c r="D64" s="1">
        <v>54.5</v>
      </c>
      <c r="E64" s="1">
        <v>118.9</v>
      </c>
      <c r="F64" s="1">
        <v>258.76</v>
      </c>
      <c r="G64" s="1">
        <v>287.45999999999998</v>
      </c>
      <c r="H64" s="1">
        <v>536.65</v>
      </c>
      <c r="I64" s="1">
        <v>534.92999999999995</v>
      </c>
    </row>
    <row r="65" spans="1:9" x14ac:dyDescent="0.15">
      <c r="A65" s="2" t="s">
        <v>72</v>
      </c>
      <c r="B65" s="1">
        <v>2482.5100000000002</v>
      </c>
      <c r="C65" s="1">
        <v>3473.54</v>
      </c>
      <c r="D65" s="1">
        <v>4654.6899999999996</v>
      </c>
      <c r="E65" s="1">
        <v>5341.73</v>
      </c>
      <c r="F65" s="1">
        <v>6152.77</v>
      </c>
      <c r="G65" s="1">
        <v>6813.56</v>
      </c>
      <c r="H65" s="1">
        <v>7497.99</v>
      </c>
      <c r="I65" s="1">
        <v>10668.37</v>
      </c>
    </row>
    <row r="66" spans="1:9" x14ac:dyDescent="0.15">
      <c r="A66" t="s">
        <v>73</v>
      </c>
      <c r="B66" s="1"/>
      <c r="C66" s="1"/>
      <c r="D66" s="1"/>
      <c r="E66" s="1"/>
      <c r="F66" s="1"/>
      <c r="G66" s="1"/>
      <c r="H66" s="1"/>
      <c r="I66" s="1"/>
    </row>
    <row r="67" spans="1:9" x14ac:dyDescent="0.15">
      <c r="A67" t="s">
        <v>74</v>
      </c>
      <c r="B67" s="1"/>
      <c r="C67" s="1"/>
      <c r="D67" s="1"/>
      <c r="E67" s="1"/>
      <c r="F67" s="1"/>
      <c r="G67" s="1"/>
      <c r="H67" s="1"/>
      <c r="I67" s="1"/>
    </row>
    <row r="68" spans="1:9" x14ac:dyDescent="0.15">
      <c r="A68" s="2" t="s">
        <v>75</v>
      </c>
      <c r="B68" s="1">
        <v>21493.01</v>
      </c>
      <c r="C68" s="1">
        <v>32615.82</v>
      </c>
      <c r="D68" s="1">
        <v>40805.339999999997</v>
      </c>
      <c r="E68" s="1">
        <v>47578.13</v>
      </c>
      <c r="F68" s="1">
        <v>59021.02</v>
      </c>
      <c r="G68" s="1">
        <v>87941.92</v>
      </c>
      <c r="H68" s="1">
        <v>98161.09</v>
      </c>
      <c r="I68" s="1">
        <v>129916.83</v>
      </c>
    </row>
    <row r="69" spans="1:9" x14ac:dyDescent="0.15">
      <c r="A69" t="s">
        <v>76</v>
      </c>
      <c r="B69" s="3" t="s">
        <v>77</v>
      </c>
      <c r="C69" s="3" t="s">
        <v>77</v>
      </c>
      <c r="D69" s="3" t="s">
        <v>77</v>
      </c>
      <c r="E69" s="3" t="s">
        <v>77</v>
      </c>
      <c r="F69" s="3" t="s">
        <v>77</v>
      </c>
      <c r="G69" s="3" t="s">
        <v>77</v>
      </c>
      <c r="H69" s="3" t="s">
        <v>77</v>
      </c>
      <c r="I69" s="3" t="s">
        <v>77</v>
      </c>
    </row>
    <row r="70" spans="1:9" x14ac:dyDescent="0.15">
      <c r="A70" t="s">
        <v>78</v>
      </c>
      <c r="B70" s="3" t="s">
        <v>77</v>
      </c>
      <c r="C70" s="3" t="s">
        <v>77</v>
      </c>
      <c r="D70" s="3" t="s">
        <v>77</v>
      </c>
      <c r="E70" s="3" t="s">
        <v>77</v>
      </c>
      <c r="F70" s="3" t="s">
        <v>77</v>
      </c>
      <c r="G70" s="3" t="s">
        <v>77</v>
      </c>
      <c r="H70" s="3" t="s">
        <v>77</v>
      </c>
      <c r="I70" s="3" t="s">
        <v>77</v>
      </c>
    </row>
    <row r="71" spans="1:9" x14ac:dyDescent="0.15">
      <c r="A71" t="s">
        <v>79</v>
      </c>
      <c r="B71" s="3" t="s">
        <v>80</v>
      </c>
      <c r="C71" s="3" t="s">
        <v>80</v>
      </c>
      <c r="D71" s="3" t="s">
        <v>80</v>
      </c>
      <c r="E71" s="3" t="s">
        <v>80</v>
      </c>
      <c r="F71" s="3" t="s">
        <v>80</v>
      </c>
      <c r="G71" s="3" t="s">
        <v>80</v>
      </c>
      <c r="H71" s="3" t="s">
        <v>80</v>
      </c>
      <c r="I71" s="3" t="s">
        <v>80</v>
      </c>
    </row>
    <row r="72" spans="1:9" x14ac:dyDescent="0.15">
      <c r="A72" t="s">
        <v>81</v>
      </c>
      <c r="B72" s="3" t="s">
        <v>82</v>
      </c>
      <c r="C72" s="3" t="s">
        <v>82</v>
      </c>
      <c r="D72" s="3" t="s">
        <v>82</v>
      </c>
      <c r="E72" s="3" t="s">
        <v>82</v>
      </c>
      <c r="F72" s="3" t="s">
        <v>82</v>
      </c>
      <c r="G72" s="3" t="s">
        <v>82</v>
      </c>
      <c r="H72" s="3" t="s">
        <v>82</v>
      </c>
      <c r="I72" s="3" t="s">
        <v>82</v>
      </c>
    </row>
    <row r="73" spans="1:9" x14ac:dyDescent="0.15">
      <c r="A73" t="s">
        <v>83</v>
      </c>
      <c r="B73" s="3" t="s">
        <v>84</v>
      </c>
      <c r="C73" s="3" t="s">
        <v>13</v>
      </c>
      <c r="D73" s="3" t="s">
        <v>84</v>
      </c>
      <c r="E73" s="3" t="s">
        <v>84</v>
      </c>
      <c r="F73" s="3" t="s">
        <v>84</v>
      </c>
      <c r="G73" s="3" t="s">
        <v>84</v>
      </c>
      <c r="H73" s="3" t="s">
        <v>84</v>
      </c>
      <c r="I73" s="3" t="s">
        <v>84</v>
      </c>
    </row>
    <row r="74" spans="1:9" x14ac:dyDescent="0.15">
      <c r="A74" t="s">
        <v>85</v>
      </c>
      <c r="B74" s="3" t="s">
        <v>13</v>
      </c>
      <c r="C74" s="3" t="s">
        <v>13</v>
      </c>
      <c r="D74" s="3" t="s">
        <v>13</v>
      </c>
      <c r="E74" s="3" t="s">
        <v>13</v>
      </c>
      <c r="F74" s="3" t="s">
        <v>13</v>
      </c>
      <c r="G74" s="3" t="s">
        <v>13</v>
      </c>
      <c r="H74" s="3" t="s">
        <v>13</v>
      </c>
      <c r="I74" s="3" t="s">
        <v>13</v>
      </c>
    </row>
    <row r="75" spans="1:9" x14ac:dyDescent="0.15">
      <c r="A75" t="s">
        <v>86</v>
      </c>
      <c r="D75" t="s">
        <v>87</v>
      </c>
      <c r="E75" t="s">
        <v>87</v>
      </c>
      <c r="F75" t="s">
        <v>87</v>
      </c>
      <c r="G75" t="s">
        <v>87</v>
      </c>
      <c r="H75" t="s">
        <v>87</v>
      </c>
      <c r="I75" t="s">
        <v>87</v>
      </c>
    </row>
    <row r="76" spans="1:9" x14ac:dyDescent="0.15">
      <c r="A76" t="s">
        <v>88</v>
      </c>
      <c r="B76" s="3" t="s">
        <v>89</v>
      </c>
      <c r="C76" s="3" t="s">
        <v>90</v>
      </c>
      <c r="D76" s="3" t="s">
        <v>90</v>
      </c>
      <c r="E76" s="3" t="s">
        <v>90</v>
      </c>
      <c r="F76" s="3" t="s">
        <v>90</v>
      </c>
      <c r="G76" s="3" t="s">
        <v>91</v>
      </c>
      <c r="H76" s="3" t="s">
        <v>92</v>
      </c>
      <c r="I76" s="3" t="s">
        <v>93</v>
      </c>
    </row>
    <row r="77" spans="1:9" x14ac:dyDescent="0.15">
      <c r="A77" t="s">
        <v>94</v>
      </c>
      <c r="B77" s="3" t="s">
        <v>95</v>
      </c>
      <c r="C77" s="3" t="s">
        <v>95</v>
      </c>
      <c r="D77" s="3" t="s">
        <v>95</v>
      </c>
      <c r="E77" s="3" t="s">
        <v>95</v>
      </c>
      <c r="F77" s="3" t="s">
        <v>95</v>
      </c>
      <c r="G77" s="3" t="s">
        <v>95</v>
      </c>
      <c r="H77" s="3" t="s">
        <v>95</v>
      </c>
      <c r="I77" s="3" t="s">
        <v>95</v>
      </c>
    </row>
    <row r="81" spans="1:1" x14ac:dyDescent="0.15">
      <c r="A81" t="s">
        <v>96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F0200297.00-资产负债表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2016-05-31T12:25:16Z</dcterms:created>
  <dcterms:modified xsi:type="dcterms:W3CDTF">2016-05-31T12:30:49Z</dcterms:modified>
</cp:coreProperties>
</file>