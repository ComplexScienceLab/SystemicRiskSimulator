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035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" i="2" l="1"/>
  <c r="I12" i="2"/>
  <c r="J30" i="2"/>
  <c r="I30" i="2"/>
</calcChain>
</file>

<file path=xl/sharedStrings.xml><?xml version="1.0" encoding="utf-8"?>
<sst xmlns="http://schemas.openxmlformats.org/spreadsheetml/2006/main" count="181" uniqueCount="80">
  <si>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</si>
  <si>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</si>
  <si>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</si>
  <si>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</si>
  <si>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</si>
  <si>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</si>
  <si>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</si>
  <si>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</si>
  <si>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</si>
  <si>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</si>
  <si>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</si>
  <si>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</si>
  <si>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</si>
  <si>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</si>
  <si>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</si>
  <si>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</si>
  <si>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</si>
  <si>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贵金属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</si>
  <si>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</si>
  <si>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</si>
  <si>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</si>
  <si>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</si>
  <si>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</si>
  <si>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</si>
  <si>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</si>
  <si>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</si>
  <si>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固定资产</t>
  </si>
  <si>
    <t>　　无形资产</t>
  </si>
  <si>
    <t>　　递延所得税资产</t>
  </si>
  <si>
    <t>　　投资性房地产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</si>
  <si>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</si>
  <si>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</si>
  <si>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</si>
  <si>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</si>
  <si>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</si>
  <si>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</si>
  <si>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</si>
  <si>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</si>
  <si>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</si>
  <si>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</si>
  <si>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</si>
  <si>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</si>
  <si>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</si>
  <si>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</si>
  <si>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预计负债</t>
  </si>
  <si>
    <t>　　其他负债</t>
  </si>
  <si>
    <t>　　负债差额(特殊报表科目)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</si>
  <si>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</si>
  <si>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</si>
  <si>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</si>
  <si>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</si>
  <si>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</si>
  <si>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</si>
  <si>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</si>
  <si>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</si>
  <si>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</si>
  <si>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</si>
  <si>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</si>
  <si>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</si>
  <si>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</si>
  <si>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</si>
  <si>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</si>
  <si>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</si>
  <si>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</si>
  <si>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</si>
  <si>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</si>
  <si>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</si>
  <si>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</si>
  <si>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</si>
  <si>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</si>
  <si>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</si>
  <si>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2012-04-13</t>
  </si>
  <si>
    <t>2012-04-27</t>
  </si>
  <si>
    <t>2013-04-17</t>
  </si>
  <si>
    <t>2014-06-20</t>
  </si>
  <si>
    <t>2015-12-03</t>
  </si>
  <si>
    <t>2016-04-29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</si>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</sst>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tabSelected="1" topLeftCell="A34" workbookViewId="0">
      <pane xSplit="1" topLeftCell="C1" activePane="topRight" state="frozen"/>
      <selection pane="topRight" activeCell="I49" sqref="I49:J49"/>
    </sheetView>
  </sheetViews>
  <sheetFormatPr defaultRowHeight="13.5" x14ac:dyDescent="0.15"/>
  <cols>
    <col min="1" max="1" width="34.125" bestFit="1" customWidth="1"/>
    <col min="2" max="2" width="11.625" bestFit="1" customWidth="1"/>
    <col min="3" max="10" width="15.125" bestFit="1" customWidth="1"/>
  </cols>
  <sheetData>
    <row r="1" spans="1:10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x14ac:dyDescent="0.15">
      <c r="A2" t="s">
        <v>9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  <c r="J2" s="3" t="s">
        <v>10</v>
      </c>
    </row>
    <row r="3" spans="1:10" x14ac:dyDescent="0.15">
      <c r="A3" t="s">
        <v>11</v>
      </c>
      <c r="B3" s="3" t="s">
        <v>12</v>
      </c>
      <c r="C3" s="3" t="s">
        <v>12</v>
      </c>
      <c r="D3" s="3" t="s">
        <v>12</v>
      </c>
      <c r="E3" s="3" t="s">
        <v>12</v>
      </c>
      <c r="F3" s="3" t="s">
        <v>12</v>
      </c>
      <c r="G3" s="3" t="s">
        <v>12</v>
      </c>
      <c r="H3" s="3" t="s">
        <v>12</v>
      </c>
      <c r="I3" s="3" t="s">
        <v>12</v>
      </c>
      <c r="J3" s="3" t="s">
        <v>12</v>
      </c>
    </row>
    <row r="4" spans="1:10" x14ac:dyDescent="0.15">
      <c r="A4" s="2" t="s">
        <v>13</v>
      </c>
      <c r="B4" s="3" t="s">
        <v>14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 t="s">
        <v>14</v>
      </c>
      <c r="J4" s="3" t="s">
        <v>14</v>
      </c>
    </row>
    <row r="5" spans="1:10" x14ac:dyDescent="0.15">
      <c r="A5" t="s">
        <v>15</v>
      </c>
      <c r="B5" s="1">
        <v>9729.6</v>
      </c>
      <c r="C5" s="1">
        <v>15003.37</v>
      </c>
      <c r="D5" s="1">
        <v>16813.46</v>
      </c>
      <c r="E5" s="1">
        <v>23742.28</v>
      </c>
      <c r="F5" s="1">
        <v>32594.86</v>
      </c>
      <c r="G5" s="1">
        <v>36912.639999999999</v>
      </c>
      <c r="H5" s="1">
        <v>42099.95</v>
      </c>
      <c r="I5" s="1">
        <v>46336.15</v>
      </c>
      <c r="J5" s="1">
        <v>45456.25</v>
      </c>
    </row>
    <row r="6" spans="1:10" x14ac:dyDescent="0.15">
      <c r="A6" t="s">
        <v>16</v>
      </c>
      <c r="B6" s="1">
        <v>17.559999999999999</v>
      </c>
      <c r="C6" s="1">
        <v>514.85</v>
      </c>
      <c r="D6" s="1">
        <v>225.55</v>
      </c>
      <c r="E6" s="1">
        <v>747.82</v>
      </c>
      <c r="F6" s="1">
        <v>7170.3</v>
      </c>
      <c r="G6" s="1">
        <v>13896</v>
      </c>
      <c r="H6" s="1">
        <v>6440.41</v>
      </c>
      <c r="I6" s="1">
        <v>5102.25</v>
      </c>
      <c r="J6" s="1">
        <v>9587.24</v>
      </c>
    </row>
    <row r="7" spans="1:10" x14ac:dyDescent="0.15">
      <c r="A7" t="s">
        <v>17</v>
      </c>
      <c r="B7" s="1"/>
      <c r="C7" s="1"/>
      <c r="D7" s="1">
        <v>4.28</v>
      </c>
      <c r="E7" s="1">
        <v>6.94</v>
      </c>
      <c r="F7" s="1">
        <v>6.94</v>
      </c>
      <c r="G7" s="1">
        <v>6.94</v>
      </c>
      <c r="H7" s="1">
        <v>6.94</v>
      </c>
      <c r="I7" s="1">
        <v>6.94</v>
      </c>
      <c r="J7" s="1">
        <v>6.94</v>
      </c>
    </row>
    <row r="8" spans="1:10" x14ac:dyDescent="0.15">
      <c r="A8" t="s">
        <v>18</v>
      </c>
      <c r="B8" s="1">
        <v>80.22</v>
      </c>
      <c r="C8" s="1">
        <v>0.42</v>
      </c>
      <c r="D8" s="1">
        <v>0.2</v>
      </c>
      <c r="E8" s="1">
        <v>0.2</v>
      </c>
      <c r="F8" s="1"/>
      <c r="G8" s="1">
        <v>1107.26</v>
      </c>
      <c r="H8" s="1">
        <v>1636.58</v>
      </c>
      <c r="I8" s="1">
        <v>1385.15</v>
      </c>
      <c r="J8" s="1">
        <v>310.04000000000002</v>
      </c>
    </row>
    <row r="9" spans="1:10" x14ac:dyDescent="0.15">
      <c r="A9" t="s">
        <v>19</v>
      </c>
      <c r="B9" s="1">
        <v>1086.08</v>
      </c>
      <c r="C9" s="1">
        <v>4624.47</v>
      </c>
      <c r="D9" s="1">
        <v>8307.1200000000008</v>
      </c>
      <c r="E9" s="1">
        <v>2817.04</v>
      </c>
      <c r="F9" s="1">
        <v>4441.1000000000004</v>
      </c>
      <c r="G9" s="1">
        <v>2967.99</v>
      </c>
      <c r="H9" s="1">
        <v>2067.11</v>
      </c>
      <c r="I9" s="1">
        <v>2320.33</v>
      </c>
      <c r="J9" s="1">
        <v>2597.77</v>
      </c>
    </row>
    <row r="10" spans="1:10" x14ac:dyDescent="0.15">
      <c r="A10" t="s">
        <v>20</v>
      </c>
      <c r="B10" s="1">
        <v>1913.97</v>
      </c>
      <c r="C10" s="1">
        <v>3911.21</v>
      </c>
      <c r="D10" s="1">
        <v>344.05</v>
      </c>
      <c r="E10" s="1">
        <v>17162.36</v>
      </c>
      <c r="F10" s="1">
        <v>14876.25</v>
      </c>
      <c r="G10" s="1">
        <v>16323.59</v>
      </c>
      <c r="H10" s="1">
        <v>4724.3</v>
      </c>
      <c r="I10" s="1">
        <v>3404.91</v>
      </c>
      <c r="J10" s="1">
        <v>13942.35</v>
      </c>
    </row>
    <row r="11" spans="1:10" x14ac:dyDescent="0.15">
      <c r="A11" t="s">
        <v>21</v>
      </c>
      <c r="B11" s="1">
        <v>96.41</v>
      </c>
      <c r="C11" s="1">
        <v>128.06</v>
      </c>
      <c r="D11" s="1">
        <v>351.28</v>
      </c>
      <c r="E11" s="1">
        <v>510.66</v>
      </c>
      <c r="F11" s="1">
        <v>794.62</v>
      </c>
      <c r="G11" s="1">
        <v>925.24</v>
      </c>
      <c r="H11" s="1">
        <v>869.58</v>
      </c>
      <c r="I11" s="1">
        <v>1007.48</v>
      </c>
      <c r="J11" s="1">
        <v>1600.98</v>
      </c>
    </row>
    <row r="12" spans="1:10" x14ac:dyDescent="0.15">
      <c r="B12" s="1"/>
      <c r="C12" s="1"/>
      <c r="D12" s="1"/>
      <c r="E12" s="1"/>
      <c r="F12" s="1"/>
      <c r="G12" s="1"/>
      <c r="H12" s="1"/>
      <c r="I12" s="1">
        <f>I11+I13</f>
        <v>138371.04</v>
      </c>
      <c r="J12" s="1">
        <f>J11+J13</f>
        <v>156283.74000000002</v>
      </c>
    </row>
    <row r="13" spans="1:10" x14ac:dyDescent="0.15">
      <c r="A13" t="s">
        <v>22</v>
      </c>
      <c r="B13" s="1">
        <v>32122.95</v>
      </c>
      <c r="C13" s="1">
        <v>45782.46</v>
      </c>
      <c r="D13" s="1">
        <v>62658.71</v>
      </c>
      <c r="E13" s="1">
        <v>77405.3</v>
      </c>
      <c r="F13" s="1">
        <v>92201.600000000006</v>
      </c>
      <c r="G13" s="1">
        <v>107627.53</v>
      </c>
      <c r="H13" s="1">
        <v>121643.47</v>
      </c>
      <c r="I13" s="1">
        <v>137363.56</v>
      </c>
      <c r="J13" s="1">
        <v>154682.76</v>
      </c>
    </row>
    <row r="14" spans="1:10" x14ac:dyDescent="0.15">
      <c r="A14" t="s">
        <v>23</v>
      </c>
      <c r="B14" s="1">
        <v>600.70000000000005</v>
      </c>
      <c r="C14" s="1">
        <v>3701.47</v>
      </c>
      <c r="D14" s="1">
        <v>5964.17</v>
      </c>
      <c r="E14" s="1">
        <v>9829.65</v>
      </c>
      <c r="F14" s="1">
        <v>10551.7</v>
      </c>
      <c r="G14" s="1">
        <v>18997.939999999999</v>
      </c>
      <c r="H14" s="1">
        <v>61045.97</v>
      </c>
      <c r="I14" s="1">
        <v>67131.39</v>
      </c>
      <c r="J14" s="1">
        <v>112695.09</v>
      </c>
    </row>
    <row r="15" spans="1:10" x14ac:dyDescent="0.15">
      <c r="A15" t="s">
        <v>24</v>
      </c>
      <c r="B15" s="1">
        <v>1478.66</v>
      </c>
      <c r="C15" s="1">
        <v>1645.68</v>
      </c>
      <c r="D15" s="1">
        <v>3838.57</v>
      </c>
      <c r="E15" s="1">
        <v>5611.4</v>
      </c>
      <c r="F15" s="1">
        <v>11457.56</v>
      </c>
      <c r="G15" s="1">
        <v>10034.09</v>
      </c>
      <c r="H15" s="1">
        <v>9446.65</v>
      </c>
      <c r="I15" s="1">
        <v>7365.58</v>
      </c>
      <c r="J15" s="1">
        <v>8304.57</v>
      </c>
    </row>
    <row r="16" spans="1:10" x14ac:dyDescent="0.15">
      <c r="A16" t="s">
        <v>25</v>
      </c>
      <c r="B16" s="1">
        <v>20.88</v>
      </c>
      <c r="C16" s="1">
        <v>21.33</v>
      </c>
      <c r="D16" s="1">
        <v>23.25</v>
      </c>
      <c r="E16" s="1">
        <v>73.7</v>
      </c>
      <c r="F16" s="1">
        <v>375.22</v>
      </c>
      <c r="G16" s="1">
        <v>391.85</v>
      </c>
      <c r="H16" s="1">
        <v>491.96</v>
      </c>
      <c r="I16" s="1">
        <v>460.56</v>
      </c>
      <c r="J16" s="1"/>
    </row>
    <row r="17" spans="1:10" x14ac:dyDescent="0.15">
      <c r="A17" t="s">
        <v>26</v>
      </c>
      <c r="B17" s="1">
        <v>1327.19</v>
      </c>
      <c r="C17" s="1">
        <v>1914.84</v>
      </c>
      <c r="D17" s="1">
        <v>1956.23</v>
      </c>
      <c r="E17" s="1">
        <v>2241.35</v>
      </c>
      <c r="F17" s="1">
        <v>2650.52</v>
      </c>
      <c r="G17" s="1">
        <v>3000.73</v>
      </c>
      <c r="H17" s="1">
        <v>2939.45</v>
      </c>
      <c r="I17" s="1">
        <v>2986.32</v>
      </c>
      <c r="J17" s="1">
        <v>3071.97</v>
      </c>
    </row>
    <row r="18" spans="1:10" x14ac:dyDescent="0.15">
      <c r="A18" t="s">
        <v>27</v>
      </c>
      <c r="B18" s="1">
        <v>2920.83</v>
      </c>
      <c r="C18" s="1">
        <v>5194.6899999999996</v>
      </c>
      <c r="D18" s="1">
        <v>5098.05</v>
      </c>
      <c r="E18" s="1">
        <v>5001.75</v>
      </c>
      <c r="F18" s="1">
        <v>4906.3500000000004</v>
      </c>
      <c r="G18" s="1">
        <v>4810.62</v>
      </c>
      <c r="H18" s="1">
        <v>5045.99</v>
      </c>
      <c r="I18" s="1">
        <v>3988.25</v>
      </c>
      <c r="J18" s="1">
        <v>360.35</v>
      </c>
    </row>
    <row r="19" spans="1:10" x14ac:dyDescent="0.15">
      <c r="A19" t="s">
        <v>28</v>
      </c>
      <c r="B19" s="1">
        <v>357.78</v>
      </c>
      <c r="C19" s="1">
        <v>556.83000000000004</v>
      </c>
      <c r="D19" s="1">
        <v>506.7</v>
      </c>
      <c r="E19" s="1">
        <v>579.17999999999995</v>
      </c>
      <c r="F19" s="1">
        <v>823.79</v>
      </c>
      <c r="G19" s="1">
        <v>1098.0899999999999</v>
      </c>
      <c r="H19" s="1">
        <v>1242.43</v>
      </c>
      <c r="I19" s="1">
        <v>1315.63</v>
      </c>
      <c r="J19" s="1">
        <v>1316.64</v>
      </c>
    </row>
    <row r="20" spans="1:10" x14ac:dyDescent="0.15">
      <c r="A20" t="s">
        <v>29</v>
      </c>
      <c r="B20" s="1">
        <v>234.76</v>
      </c>
      <c r="C20" s="1">
        <v>229.96</v>
      </c>
      <c r="D20" s="1">
        <v>236.89</v>
      </c>
      <c r="E20" s="1">
        <v>235.79</v>
      </c>
      <c r="F20" s="1">
        <v>244.15</v>
      </c>
      <c r="G20" s="1">
        <v>265.69</v>
      </c>
      <c r="H20" s="1">
        <v>257.27999999999997</v>
      </c>
      <c r="I20" s="1">
        <v>261.18</v>
      </c>
      <c r="J20" s="1">
        <v>256.12</v>
      </c>
    </row>
    <row r="21" spans="1:10" x14ac:dyDescent="0.15">
      <c r="A21" t="s">
        <v>30</v>
      </c>
      <c r="B21" s="1">
        <v>356.19</v>
      </c>
      <c r="C21" s="1">
        <v>1016.12</v>
      </c>
      <c r="D21" s="1">
        <v>10.55</v>
      </c>
      <c r="E21" s="1">
        <v>22.72</v>
      </c>
      <c r="F21" s="1">
        <v>1323.96</v>
      </c>
      <c r="G21" s="1">
        <v>52.86</v>
      </c>
      <c r="H21" s="1">
        <v>54.82</v>
      </c>
      <c r="I21" s="1">
        <v>55.63</v>
      </c>
      <c r="J21" s="1">
        <v>3344.55</v>
      </c>
    </row>
    <row r="22" spans="1:10" x14ac:dyDescent="0.15">
      <c r="A22" t="s">
        <v>31</v>
      </c>
      <c r="B22" s="1">
        <v>1046</v>
      </c>
      <c r="C22" s="1">
        <v>1418.78</v>
      </c>
      <c r="D22" s="1">
        <v>1798.98</v>
      </c>
      <c r="E22" s="1">
        <v>2092.44</v>
      </c>
      <c r="F22" s="1">
        <v>2009.12</v>
      </c>
      <c r="G22" s="1">
        <v>2338.1799999999998</v>
      </c>
      <c r="H22" s="1">
        <v>2229.9499999999998</v>
      </c>
      <c r="I22" s="1">
        <v>3291.89</v>
      </c>
      <c r="J22" s="1"/>
    </row>
    <row r="23" spans="1:10" x14ac:dyDescent="0.15">
      <c r="A23" s="2" t="s">
        <v>32</v>
      </c>
      <c r="B23" s="1">
        <v>53389.79</v>
      </c>
      <c r="C23" s="1">
        <v>85664.55</v>
      </c>
      <c r="D23" s="1">
        <v>108138.05</v>
      </c>
      <c r="E23" s="1">
        <v>148080.56</v>
      </c>
      <c r="F23" s="1">
        <v>186428.03</v>
      </c>
      <c r="G23" s="1">
        <v>220757.26</v>
      </c>
      <c r="H23" s="1">
        <v>262242.84000000003</v>
      </c>
      <c r="I23" s="1">
        <v>283783.2</v>
      </c>
      <c r="J23" s="1">
        <v>357533.63</v>
      </c>
    </row>
    <row r="24" spans="1:10" x14ac:dyDescent="0.15">
      <c r="A24" s="2" t="s">
        <v>33</v>
      </c>
      <c r="B24" s="3" t="s">
        <v>14</v>
      </c>
      <c r="C24" s="3" t="s">
        <v>14</v>
      </c>
      <c r="D24" s="3" t="s">
        <v>14</v>
      </c>
      <c r="E24" s="3" t="s">
        <v>14</v>
      </c>
      <c r="F24" s="3" t="s">
        <v>14</v>
      </c>
      <c r="G24" s="3" t="s">
        <v>14</v>
      </c>
      <c r="H24" s="3" t="s">
        <v>14</v>
      </c>
      <c r="I24" s="3" t="s">
        <v>14</v>
      </c>
      <c r="J24" s="3" t="s">
        <v>14</v>
      </c>
    </row>
    <row r="25" spans="1:10" x14ac:dyDescent="0.15">
      <c r="A25" t="s">
        <v>34</v>
      </c>
      <c r="B25" s="1">
        <v>1246.67</v>
      </c>
      <c r="C25" s="1">
        <v>1163.83</v>
      </c>
      <c r="D25" s="1">
        <v>1131.75</v>
      </c>
      <c r="E25" s="1">
        <v>1112.49</v>
      </c>
      <c r="F25" s="1">
        <v>10405.299999999999</v>
      </c>
      <c r="G25" s="1">
        <v>20223.91</v>
      </c>
      <c r="H25" s="1">
        <v>32747.15</v>
      </c>
      <c r="I25" s="1">
        <v>31143.25</v>
      </c>
      <c r="J25" s="1">
        <v>52239.68</v>
      </c>
    </row>
    <row r="26" spans="1:10" x14ac:dyDescent="0.15">
      <c r="A26" t="s">
        <v>35</v>
      </c>
      <c r="B26" s="1"/>
      <c r="C26" s="1">
        <v>7.16</v>
      </c>
      <c r="D26" s="1">
        <v>7.16</v>
      </c>
      <c r="E26" s="1">
        <v>7.16</v>
      </c>
      <c r="F26" s="1">
        <v>39.409999999999997</v>
      </c>
      <c r="G26" s="1">
        <v>50</v>
      </c>
      <c r="H26" s="1">
        <v>50</v>
      </c>
      <c r="I26" s="1">
        <v>545</v>
      </c>
      <c r="J26" s="1"/>
    </row>
    <row r="27" spans="1:10" x14ac:dyDescent="0.15">
      <c r="A27" t="s">
        <v>36</v>
      </c>
      <c r="B27" s="1">
        <v>1.5</v>
      </c>
      <c r="C27" s="1">
        <v>0.5</v>
      </c>
      <c r="D27" s="1">
        <v>0.5</v>
      </c>
      <c r="E27" s="1">
        <v>35</v>
      </c>
      <c r="F27" s="1">
        <v>370</v>
      </c>
      <c r="G27" s="1">
        <v>3199.59</v>
      </c>
      <c r="H27" s="1">
        <v>984.92</v>
      </c>
      <c r="I27" s="1">
        <v>1300</v>
      </c>
      <c r="J27" s="1">
        <v>1400.3</v>
      </c>
    </row>
    <row r="28" spans="1:10" x14ac:dyDescent="0.15">
      <c r="A28" t="s">
        <v>37</v>
      </c>
      <c r="B28" s="1">
        <v>915.69</v>
      </c>
      <c r="C28" s="1">
        <v>4325.9799999999996</v>
      </c>
      <c r="D28" s="1">
        <v>11175.51</v>
      </c>
      <c r="E28" s="1">
        <v>17030.96</v>
      </c>
      <c r="F28" s="1">
        <v>21407.31</v>
      </c>
      <c r="G28" s="1">
        <v>16164.02</v>
      </c>
      <c r="H28" s="1">
        <v>12738.56</v>
      </c>
      <c r="I28" s="1">
        <v>14348.22</v>
      </c>
      <c r="J28" s="1">
        <v>38276.6</v>
      </c>
    </row>
    <row r="29" spans="1:10" x14ac:dyDescent="0.15">
      <c r="A29" t="s">
        <v>38</v>
      </c>
      <c r="B29" s="1">
        <v>46240.74</v>
      </c>
      <c r="C29" s="1">
        <v>69984.3</v>
      </c>
      <c r="D29" s="1">
        <v>86176.13</v>
      </c>
      <c r="E29" s="1">
        <v>116655.28</v>
      </c>
      <c r="F29" s="1">
        <v>138423.6</v>
      </c>
      <c r="G29" s="1">
        <v>160110.66</v>
      </c>
      <c r="H29" s="1">
        <v>191972.74</v>
      </c>
      <c r="I29" s="1">
        <v>208788.84</v>
      </c>
      <c r="J29" s="1">
        <v>232257.46</v>
      </c>
    </row>
    <row r="30" spans="1:10" x14ac:dyDescent="0.15">
      <c r="B30" s="1"/>
      <c r="C30" s="1"/>
      <c r="D30" s="1"/>
      <c r="E30" s="1"/>
      <c r="F30" s="1"/>
      <c r="G30" s="1"/>
      <c r="H30" s="1"/>
      <c r="I30" s="1">
        <f>SUM(I25:I29)</f>
        <v>256125.31</v>
      </c>
      <c r="J30" s="1">
        <f>SUM(J25:J29)</f>
        <v>324174.03999999998</v>
      </c>
    </row>
    <row r="31" spans="1:10" x14ac:dyDescent="0.15">
      <c r="A31" t="s">
        <v>39</v>
      </c>
      <c r="B31" s="1">
        <v>525.52</v>
      </c>
      <c r="C31" s="1">
        <v>696.68</v>
      </c>
      <c r="D31" s="1">
        <v>693.59</v>
      </c>
      <c r="E31" s="1">
        <v>835.4</v>
      </c>
      <c r="F31" s="1">
        <v>968.28</v>
      </c>
      <c r="G31" s="1">
        <v>1171.98</v>
      </c>
      <c r="H31" s="1">
        <v>1194.72</v>
      </c>
      <c r="I31" s="1">
        <v>1072.8399999999999</v>
      </c>
      <c r="J31" s="1">
        <v>863.26</v>
      </c>
    </row>
    <row r="32" spans="1:10" x14ac:dyDescent="0.15">
      <c r="A32" t="s">
        <v>40</v>
      </c>
      <c r="B32" s="1">
        <v>152.13999999999999</v>
      </c>
      <c r="C32" s="1">
        <v>159</v>
      </c>
      <c r="D32" s="1">
        <v>33.72</v>
      </c>
      <c r="E32" s="1">
        <v>244.14</v>
      </c>
      <c r="F32" s="1">
        <v>434.22</v>
      </c>
      <c r="G32" s="1">
        <v>580.87</v>
      </c>
      <c r="H32" s="1">
        <v>424.31</v>
      </c>
      <c r="I32" s="1">
        <v>683.57</v>
      </c>
      <c r="J32" s="1">
        <v>432.8</v>
      </c>
    </row>
    <row r="33" spans="1:10" x14ac:dyDescent="0.15">
      <c r="A33" t="s">
        <v>41</v>
      </c>
      <c r="B33" s="1">
        <v>386.31</v>
      </c>
      <c r="C33" s="1">
        <v>833.33</v>
      </c>
      <c r="D33" s="1">
        <v>752.7</v>
      </c>
      <c r="E33" s="1">
        <v>1002.77</v>
      </c>
      <c r="F33" s="1">
        <v>1470.21</v>
      </c>
      <c r="G33" s="1">
        <v>2351.96</v>
      </c>
      <c r="H33" s="1">
        <v>3435.8</v>
      </c>
      <c r="I33" s="1">
        <v>4801.16</v>
      </c>
      <c r="J33" s="1">
        <v>5497.08</v>
      </c>
    </row>
    <row r="34" spans="1:10" x14ac:dyDescent="0.15">
      <c r="A34" t="s">
        <v>42</v>
      </c>
      <c r="B34" s="1"/>
      <c r="C34" s="1"/>
      <c r="D34" s="1"/>
      <c r="E34" s="1"/>
      <c r="F34" s="1"/>
      <c r="G34" s="1">
        <v>2000</v>
      </c>
      <c r="H34" s="1">
        <v>2000</v>
      </c>
      <c r="I34" s="1">
        <v>2000</v>
      </c>
      <c r="J34" s="1">
        <v>4000</v>
      </c>
    </row>
    <row r="35" spans="1:10" x14ac:dyDescent="0.15">
      <c r="A35" t="s">
        <v>43</v>
      </c>
      <c r="B35" s="1">
        <v>105.36</v>
      </c>
      <c r="C35" s="1">
        <v>195.72</v>
      </c>
      <c r="D35" s="1">
        <v>160.08000000000001</v>
      </c>
      <c r="E35" s="1">
        <v>134.01</v>
      </c>
      <c r="F35" s="1">
        <v>135.11000000000001</v>
      </c>
      <c r="G35" s="1">
        <v>139.09</v>
      </c>
      <c r="H35" s="1">
        <v>136.12</v>
      </c>
      <c r="I35" s="1">
        <v>165.54</v>
      </c>
      <c r="J35" s="1">
        <v>275.35000000000002</v>
      </c>
    </row>
    <row r="36" spans="1:10" x14ac:dyDescent="0.15">
      <c r="A36" t="s">
        <v>44</v>
      </c>
      <c r="B36" s="1"/>
      <c r="C36" s="1">
        <v>13.3</v>
      </c>
      <c r="D36" s="1"/>
      <c r="E36" s="1"/>
      <c r="F36" s="1"/>
      <c r="G36" s="1">
        <v>0.62</v>
      </c>
      <c r="H36" s="1">
        <v>1.1100000000000001</v>
      </c>
      <c r="I36" s="1">
        <v>2.3199999999999998</v>
      </c>
      <c r="J36" s="1">
        <v>2.1</v>
      </c>
    </row>
    <row r="37" spans="1:10" x14ac:dyDescent="0.15">
      <c r="A37" t="s">
        <v>45</v>
      </c>
      <c r="B37" s="1">
        <v>376.12</v>
      </c>
      <c r="C37" s="1">
        <v>1137.7</v>
      </c>
      <c r="D37" s="1">
        <v>91.75</v>
      </c>
      <c r="E37" s="1">
        <v>113.93</v>
      </c>
      <c r="F37" s="1">
        <v>103.63</v>
      </c>
      <c r="G37" s="1">
        <v>345.69</v>
      </c>
      <c r="H37" s="1">
        <v>423.41</v>
      </c>
      <c r="I37" s="1">
        <v>316.32</v>
      </c>
      <c r="J37" s="1">
        <v>1272.46</v>
      </c>
    </row>
    <row r="38" spans="1:10" x14ac:dyDescent="0.15">
      <c r="A38" t="s">
        <v>46</v>
      </c>
      <c r="B38" s="1">
        <v>97.69</v>
      </c>
      <c r="C38" s="1">
        <v>248.39</v>
      </c>
      <c r="D38" s="1">
        <v>138.74</v>
      </c>
      <c r="E38" s="1">
        <v>205.25</v>
      </c>
      <c r="F38" s="1">
        <v>248.37</v>
      </c>
      <c r="G38" s="1">
        <v>240.12</v>
      </c>
      <c r="H38" s="1">
        <v>264.20999999999998</v>
      </c>
      <c r="I38" s="1">
        <v>246.53</v>
      </c>
      <c r="J38" s="1"/>
    </row>
    <row r="39" spans="1:10" x14ac:dyDescent="0.15">
      <c r="A39" s="2" t="s">
        <v>47</v>
      </c>
      <c r="B39" s="1">
        <v>50047.74</v>
      </c>
      <c r="C39" s="1">
        <v>78765.899999999994</v>
      </c>
      <c r="D39" s="1">
        <v>100361.63</v>
      </c>
      <c r="E39" s="1">
        <v>137376.4</v>
      </c>
      <c r="F39" s="1">
        <v>174005.45</v>
      </c>
      <c r="G39" s="1">
        <v>206578.51</v>
      </c>
      <c r="H39" s="1">
        <v>246373.06</v>
      </c>
      <c r="I39" s="1">
        <v>265413.59999999998</v>
      </c>
      <c r="J39" s="1">
        <v>336905.23</v>
      </c>
    </row>
    <row r="40" spans="1:10" x14ac:dyDescent="0.15">
      <c r="A40" s="2" t="s">
        <v>48</v>
      </c>
      <c r="B40" s="3" t="s">
        <v>14</v>
      </c>
      <c r="C40" s="3" t="s">
        <v>14</v>
      </c>
      <c r="D40" s="3" t="s">
        <v>14</v>
      </c>
      <c r="E40" s="3" t="s">
        <v>14</v>
      </c>
      <c r="F40" s="3" t="s">
        <v>14</v>
      </c>
      <c r="G40" s="3" t="s">
        <v>14</v>
      </c>
      <c r="H40" s="3" t="s">
        <v>14</v>
      </c>
      <c r="I40" s="3" t="s">
        <v>14</v>
      </c>
      <c r="J40" s="3" t="s">
        <v>14</v>
      </c>
    </row>
    <row r="41" spans="1:10" x14ac:dyDescent="0.15">
      <c r="A41" t="s">
        <v>49</v>
      </c>
      <c r="B41" s="1">
        <v>3422.08</v>
      </c>
      <c r="C41" s="1">
        <v>5306.98</v>
      </c>
      <c r="D41" s="1">
        <v>5366.98</v>
      </c>
      <c r="E41" s="1">
        <v>6566.98</v>
      </c>
      <c r="F41" s="1">
        <v>7066.98</v>
      </c>
      <c r="G41" s="1">
        <v>7066.98</v>
      </c>
      <c r="H41" s="1">
        <v>7066.98</v>
      </c>
      <c r="I41" s="1">
        <v>7066.98</v>
      </c>
      <c r="J41" s="1">
        <v>7066.98</v>
      </c>
    </row>
    <row r="42" spans="1:10" x14ac:dyDescent="0.15">
      <c r="A42" t="s">
        <v>50</v>
      </c>
      <c r="B42" s="1">
        <v>-54.71</v>
      </c>
      <c r="C42" s="1">
        <v>1084.8900000000001</v>
      </c>
      <c r="D42" s="1">
        <v>1075.8800000000001</v>
      </c>
      <c r="E42" s="1">
        <v>1957.31</v>
      </c>
      <c r="F42" s="1">
        <v>1986.74</v>
      </c>
      <c r="G42" s="1">
        <v>2009.09</v>
      </c>
      <c r="H42" s="1">
        <v>1701.74</v>
      </c>
      <c r="I42" s="1">
        <v>2006.2</v>
      </c>
      <c r="J42" s="1">
        <v>2006.2</v>
      </c>
    </row>
    <row r="43" spans="1:10" x14ac:dyDescent="0.15">
      <c r="A43" t="s">
        <v>51</v>
      </c>
      <c r="B43" s="1"/>
      <c r="C43" s="1"/>
      <c r="D43" s="1"/>
      <c r="E43" s="1"/>
      <c r="F43" s="1"/>
      <c r="G43" s="1"/>
      <c r="H43" s="1"/>
      <c r="I43" s="1">
        <v>76.16</v>
      </c>
      <c r="J43" s="1">
        <v>419.46</v>
      </c>
    </row>
    <row r="44" spans="1:10" x14ac:dyDescent="0.15">
      <c r="A44" t="s">
        <v>52</v>
      </c>
      <c r="B44" s="1"/>
      <c r="C44" s="1">
        <v>50.67</v>
      </c>
      <c r="D44" s="1">
        <v>133.33000000000001</v>
      </c>
      <c r="E44" s="1">
        <v>252.44</v>
      </c>
      <c r="F44" s="1">
        <v>252.44</v>
      </c>
      <c r="G44" s="1">
        <v>608.36</v>
      </c>
      <c r="H44" s="1">
        <v>848.67</v>
      </c>
      <c r="I44" s="1">
        <v>1112.69</v>
      </c>
      <c r="J44" s="1">
        <v>1367.51</v>
      </c>
    </row>
    <row r="45" spans="1:10" x14ac:dyDescent="0.15">
      <c r="A45" t="s">
        <v>53</v>
      </c>
      <c r="B45" s="1">
        <v>-25.32</v>
      </c>
      <c r="C45" s="1">
        <v>372.56</v>
      </c>
      <c r="D45" s="1">
        <v>1116.68</v>
      </c>
      <c r="E45" s="1">
        <v>1130.58</v>
      </c>
      <c r="F45" s="1">
        <v>1779.94</v>
      </c>
      <c r="G45" s="1">
        <v>2802.11</v>
      </c>
      <c r="H45" s="1">
        <v>3282.8</v>
      </c>
      <c r="I45" s="1">
        <v>4477.1499999999996</v>
      </c>
      <c r="J45" s="1">
        <v>5840.69</v>
      </c>
    </row>
    <row r="46" spans="1:10" x14ac:dyDescent="0.15">
      <c r="A46" t="s">
        <v>54</v>
      </c>
      <c r="B46" s="1"/>
      <c r="C46" s="1">
        <v>83.55</v>
      </c>
      <c r="D46" s="1">
        <v>83.55</v>
      </c>
      <c r="E46" s="1">
        <v>711.94</v>
      </c>
      <c r="F46" s="1">
        <v>1057.08</v>
      </c>
      <c r="G46" s="1">
        <v>1358.21</v>
      </c>
      <c r="H46" s="1">
        <v>2583</v>
      </c>
      <c r="I46" s="1">
        <v>3122.15</v>
      </c>
      <c r="J46" s="1">
        <v>3382.48</v>
      </c>
    </row>
    <row r="47" spans="1:10" x14ac:dyDescent="0.15">
      <c r="A47" s="2" t="s">
        <v>55</v>
      </c>
      <c r="B47" s="1">
        <v>3342.05</v>
      </c>
      <c r="C47" s="1">
        <v>6898.65</v>
      </c>
      <c r="D47" s="1">
        <v>7776.42</v>
      </c>
      <c r="E47" s="1">
        <v>10619.25</v>
      </c>
      <c r="F47" s="1">
        <v>12143.18</v>
      </c>
      <c r="G47" s="1">
        <v>13844.75</v>
      </c>
      <c r="H47" s="1">
        <v>15483.19</v>
      </c>
      <c r="I47" s="1">
        <v>17861.330000000002</v>
      </c>
      <c r="J47" s="1">
        <v>20083.310000000001</v>
      </c>
    </row>
    <row r="48" spans="1:10" x14ac:dyDescent="0.15">
      <c r="A48" t="s">
        <v>56</v>
      </c>
      <c r="B48" s="1"/>
      <c r="C48" s="1"/>
      <c r="D48" s="1"/>
      <c r="E48" s="1">
        <v>84.92</v>
      </c>
      <c r="F48" s="1">
        <v>279.39999999999998</v>
      </c>
      <c r="G48" s="1">
        <v>334</v>
      </c>
      <c r="H48" s="1">
        <v>386.6</v>
      </c>
      <c r="I48" s="1">
        <v>508.27</v>
      </c>
      <c r="J48" s="1">
        <v>545.08000000000004</v>
      </c>
    </row>
    <row r="49" spans="1:10" x14ac:dyDescent="0.15">
      <c r="A49" s="2" t="s">
        <v>57</v>
      </c>
      <c r="B49" s="1">
        <v>3342.05</v>
      </c>
      <c r="C49" s="1">
        <v>6898.65</v>
      </c>
      <c r="D49" s="1">
        <v>7776.42</v>
      </c>
      <c r="E49" s="1">
        <v>10704.16</v>
      </c>
      <c r="F49" s="1">
        <v>12422.59</v>
      </c>
      <c r="G49" s="1">
        <v>14178.75</v>
      </c>
      <c r="H49" s="1">
        <v>15869.78</v>
      </c>
      <c r="I49" s="1">
        <v>18369.599999999999</v>
      </c>
      <c r="J49" s="1">
        <v>20628.400000000001</v>
      </c>
    </row>
    <row r="50" spans="1:10" x14ac:dyDescent="0.15">
      <c r="A50" s="2" t="s">
        <v>58</v>
      </c>
      <c r="B50" s="1">
        <v>53389.79</v>
      </c>
      <c r="C50" s="1">
        <v>85664.55</v>
      </c>
      <c r="D50" s="1">
        <v>108138.05</v>
      </c>
      <c r="E50" s="1">
        <v>148080.56</v>
      </c>
      <c r="F50" s="1">
        <v>186428.03</v>
      </c>
      <c r="G50" s="1">
        <v>220757.26</v>
      </c>
      <c r="H50" s="1">
        <v>262242.84000000003</v>
      </c>
      <c r="I50" s="1">
        <v>283783.2</v>
      </c>
      <c r="J50" s="1">
        <v>357533.63</v>
      </c>
    </row>
    <row r="51" spans="1:10" x14ac:dyDescent="0.15">
      <c r="A51" t="s">
        <v>59</v>
      </c>
      <c r="B51" s="3" t="s">
        <v>60</v>
      </c>
      <c r="C51" s="3" t="s">
        <v>60</v>
      </c>
      <c r="D51" s="3" t="s">
        <v>60</v>
      </c>
      <c r="E51" s="3" t="s">
        <v>60</v>
      </c>
      <c r="F51" s="3" t="s">
        <v>60</v>
      </c>
      <c r="G51" s="3" t="s">
        <v>60</v>
      </c>
      <c r="H51" s="3" t="s">
        <v>60</v>
      </c>
      <c r="I51" s="3" t="s">
        <v>60</v>
      </c>
      <c r="J51" s="3" t="s">
        <v>60</v>
      </c>
    </row>
    <row r="52" spans="1:10" x14ac:dyDescent="0.15">
      <c r="A52" t="s">
        <v>61</v>
      </c>
      <c r="B52" s="3" t="s">
        <v>60</v>
      </c>
      <c r="C52" s="3" t="s">
        <v>60</v>
      </c>
      <c r="D52" s="3" t="s">
        <v>60</v>
      </c>
      <c r="E52" s="3" t="s">
        <v>60</v>
      </c>
      <c r="F52" s="3" t="s">
        <v>60</v>
      </c>
      <c r="G52" s="3" t="s">
        <v>60</v>
      </c>
      <c r="H52" s="3" t="s">
        <v>60</v>
      </c>
      <c r="I52" s="3" t="s">
        <v>60</v>
      </c>
      <c r="J52" s="3" t="s">
        <v>60</v>
      </c>
    </row>
    <row r="53" spans="1:10" x14ac:dyDescent="0.15">
      <c r="A53" t="s">
        <v>62</v>
      </c>
      <c r="B53" s="3" t="s">
        <v>63</v>
      </c>
      <c r="C53" s="3" t="s">
        <v>63</v>
      </c>
      <c r="D53" s="3" t="s">
        <v>63</v>
      </c>
      <c r="E53" s="3" t="s">
        <v>63</v>
      </c>
      <c r="F53" s="3" t="s">
        <v>63</v>
      </c>
      <c r="G53" s="3" t="s">
        <v>63</v>
      </c>
      <c r="H53" s="3" t="s">
        <v>63</v>
      </c>
      <c r="I53" s="3" t="s">
        <v>63</v>
      </c>
      <c r="J53" s="3" t="s">
        <v>63</v>
      </c>
    </row>
    <row r="54" spans="1:10" x14ac:dyDescent="0.15">
      <c r="A54" t="s">
        <v>64</v>
      </c>
      <c r="B54" s="3" t="s">
        <v>65</v>
      </c>
      <c r="C54" s="3" t="s">
        <v>65</v>
      </c>
      <c r="D54" s="3" t="s">
        <v>65</v>
      </c>
      <c r="E54" s="3" t="s">
        <v>65</v>
      </c>
      <c r="F54" s="3" t="s">
        <v>65</v>
      </c>
      <c r="G54" s="3" t="s">
        <v>65</v>
      </c>
      <c r="H54" s="3" t="s">
        <v>65</v>
      </c>
      <c r="I54" s="3" t="s">
        <v>65</v>
      </c>
      <c r="J54" s="3" t="s">
        <v>65</v>
      </c>
    </row>
    <row r="55" spans="1:10" x14ac:dyDescent="0.15">
      <c r="A55" t="s">
        <v>66</v>
      </c>
      <c r="B55" s="3" t="s">
        <v>14</v>
      </c>
      <c r="C55" s="3" t="s">
        <v>67</v>
      </c>
      <c r="D55" s="3" t="s">
        <v>67</v>
      </c>
      <c r="E55" s="3" t="s">
        <v>67</v>
      </c>
      <c r="F55" s="3" t="s">
        <v>67</v>
      </c>
      <c r="G55" s="3" t="s">
        <v>67</v>
      </c>
      <c r="H55" s="3" t="s">
        <v>67</v>
      </c>
      <c r="I55" s="3" t="s">
        <v>67</v>
      </c>
      <c r="J55" s="3" t="s">
        <v>67</v>
      </c>
    </row>
    <row r="56" spans="1:10" x14ac:dyDescent="0.15">
      <c r="A56" t="s">
        <v>68</v>
      </c>
      <c r="C56" t="s">
        <v>69</v>
      </c>
      <c r="D56" t="s">
        <v>69</v>
      </c>
      <c r="E56" t="s">
        <v>69</v>
      </c>
      <c r="F56" t="s">
        <v>69</v>
      </c>
      <c r="G56" t="s">
        <v>69</v>
      </c>
      <c r="H56" t="s">
        <v>69</v>
      </c>
      <c r="I56" t="s">
        <v>69</v>
      </c>
      <c r="J56" t="s">
        <v>69</v>
      </c>
    </row>
    <row r="57" spans="1:10" x14ac:dyDescent="0.15">
      <c r="A57" t="s">
        <v>70</v>
      </c>
      <c r="B57" s="3" t="s">
        <v>71</v>
      </c>
      <c r="C57" s="3" t="s">
        <v>71</v>
      </c>
      <c r="D57" s="3" t="s">
        <v>71</v>
      </c>
      <c r="E57" s="3" t="s">
        <v>71</v>
      </c>
      <c r="F57" s="3" t="s">
        <v>72</v>
      </c>
      <c r="G57" s="3" t="s">
        <v>73</v>
      </c>
      <c r="H57" s="3" t="s">
        <v>74</v>
      </c>
      <c r="I57" s="3" t="s">
        <v>75</v>
      </c>
      <c r="J57" s="3" t="s">
        <v>76</v>
      </c>
    </row>
    <row r="58" spans="1:10" x14ac:dyDescent="0.15">
      <c r="A58" t="s">
        <v>77</v>
      </c>
      <c r="B58" s="3" t="s">
        <v>78</v>
      </c>
      <c r="C58" s="3" t="s">
        <v>78</v>
      </c>
      <c r="D58" s="3" t="s">
        <v>78</v>
      </c>
      <c r="E58" s="3" t="s">
        <v>78</v>
      </c>
      <c r="F58" s="3" t="s">
        <v>78</v>
      </c>
      <c r="G58" s="3" t="s">
        <v>78</v>
      </c>
      <c r="H58" s="3" t="s">
        <v>78</v>
      </c>
      <c r="I58" s="3" t="s">
        <v>78</v>
      </c>
      <c r="J58" s="3" t="s">
        <v>78</v>
      </c>
    </row>
    <row r="62" spans="1:10" x14ac:dyDescent="0.15">
      <c r="A62" t="s">
        <v>79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F0200035.00-资产负债表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2016-05-31T03:05:06Z</dcterms:created>
  <dcterms:modified xsi:type="dcterms:W3CDTF">2016-05-31T03:08:39Z</dcterms:modified>
</cp:coreProperties>
</file>