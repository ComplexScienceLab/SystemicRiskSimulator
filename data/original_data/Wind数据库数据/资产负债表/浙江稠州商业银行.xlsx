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105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9" i="2" l="1"/>
  <c r="F29" i="2"/>
  <c r="G29" i="2"/>
  <c r="H29" i="2"/>
  <c r="I29" i="2"/>
  <c r="J29" i="2"/>
  <c r="K29" i="2"/>
  <c r="D29" i="2"/>
  <c r="E12" i="2"/>
  <c r="F12" i="2"/>
  <c r="G12" i="2"/>
  <c r="H12" i="2"/>
  <c r="I12" i="2"/>
  <c r="J12" i="2"/>
  <c r="K12" i="2"/>
  <c r="D12" i="2"/>
</calcChain>
</file>

<file path=xl/sharedStrings.xml><?xml version="1.0" encoding="utf-8"?>
<sst xmlns="http://schemas.openxmlformats.org/spreadsheetml/2006/main" count="192" uniqueCount="81">
  <si>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</si>
  <si>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</si>
  <si>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</si>
  <si>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</si>
  <si>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</si>
  <si>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</si>
  <si>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</si>
  <si>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</si>
  <si>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</si>
  <si>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</si>
  <si>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</si>
  <si>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</si>
  <si>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</si>
  <si>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</si>
  <si>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</si>
  <si>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</si>
  <si>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</si>
  <si>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</si>
  <si>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拆出资金</t>
  </si>
  <si>
    <t>　　交易性金融资产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</si>
  <si>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</si>
  <si>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</si>
  <si>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</si>
  <si>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</si>
  <si>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</si>
  <si>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</si>
  <si>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</si>
  <si>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</si>
  <si>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</si>
  <si>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</si>
  <si>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投资性房地产</t>
  </si>
  <si>
    <t>　　其他资产</t>
  </si>
  <si>
    <t>资产总计</t>
  </si>
  <si>
    <t>负债：</t>
  </si>
  <si>
    <t>　　同业和其它金融机构存放款项</t>
  </si>
  <si>
    <t>　　向中央银行借款</t>
  </si>
  <si>
    <t>　　拆入资金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</si>
  <si>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</si>
  <si>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</si>
  <si>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</si>
  <si>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</si>
  <si>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</si>
  <si>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</si>
  <si>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</si>
  <si>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其他负债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</si>
  <si>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</si>
  <si>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</si>
  <si>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</si>
  <si>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</si>
  <si>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</si>
  <si>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</si>
  <si>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</si>
  <si>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</si>
  <si>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</si>
  <si>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</si>
  <si>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</si>
  <si>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</si>
  <si>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</si>
  <si>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</si>
  <si>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</si>
  <si>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</si>
  <si>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</si>
  <si>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</si>
  <si>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</si>
  <si>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</si>
  <si>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</si>
  <si>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</si>
  <si>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</si>
  <si>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</si>
  <si>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2008-05-31</t>
  </si>
  <si>
    <t>2012-12-06</t>
  </si>
  <si>
    <t>2010-05-27</t>
  </si>
  <si>
    <t>2011-04-30</t>
  </si>
  <si>
    <t>2012-04-24</t>
  </si>
  <si>
    <t>2013-04-26</t>
  </si>
  <si>
    <t>2014-04-17</t>
  </si>
  <si>
    <t>2015-04-23</t>
  </si>
  <si>
    <t>2016-04-20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</si>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</sst>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"/>
  <sheetViews>
    <sheetView tabSelected="1" topLeftCell="B28" workbookViewId="0">
      <selection activeCell="K46" sqref="K46"/>
    </sheetView>
  </sheetViews>
  <sheetFormatPr defaultRowHeight="13.5" x14ac:dyDescent="0.15"/>
  <cols>
    <col min="1" max="1" width="34.125" bestFit="1" customWidth="1"/>
    <col min="2" max="2" width="11.625" bestFit="1" customWidth="1"/>
    <col min="3" max="4" width="15.125" bestFit="1" customWidth="1"/>
    <col min="5" max="5" width="11.625" bestFit="1" customWidth="1"/>
    <col min="6" max="11" width="15.125" bestFit="1" customWidth="1"/>
  </cols>
  <sheetData>
    <row r="1" spans="1:11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x14ac:dyDescent="0.15">
      <c r="A2" t="s">
        <v>10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11</v>
      </c>
      <c r="J2" s="3" t="s">
        <v>11</v>
      </c>
      <c r="K2" s="3" t="s">
        <v>11</v>
      </c>
    </row>
    <row r="3" spans="1:11" x14ac:dyDescent="0.15">
      <c r="A3" t="s">
        <v>12</v>
      </c>
      <c r="B3" s="3" t="s">
        <v>13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13</v>
      </c>
      <c r="K3" s="3" t="s">
        <v>13</v>
      </c>
    </row>
    <row r="4" spans="1:11" x14ac:dyDescent="0.15">
      <c r="A4" s="2" t="s">
        <v>14</v>
      </c>
      <c r="B4" s="3" t="s">
        <v>15</v>
      </c>
      <c r="C4" s="3" t="s">
        <v>15</v>
      </c>
      <c r="D4" s="3" t="s">
        <v>15</v>
      </c>
      <c r="E4" s="3" t="s">
        <v>15</v>
      </c>
      <c r="F4" s="3" t="s">
        <v>15</v>
      </c>
      <c r="G4" s="3" t="s">
        <v>15</v>
      </c>
      <c r="H4" s="3" t="s">
        <v>15</v>
      </c>
      <c r="I4" s="3" t="s">
        <v>15</v>
      </c>
      <c r="J4" s="3" t="s">
        <v>15</v>
      </c>
      <c r="K4" s="3" t="s">
        <v>15</v>
      </c>
    </row>
    <row r="5" spans="1:11" x14ac:dyDescent="0.15">
      <c r="A5" t="s">
        <v>16</v>
      </c>
      <c r="B5" s="1">
        <v>1093.96</v>
      </c>
      <c r="C5" s="1">
        <v>1859.05</v>
      </c>
      <c r="D5" s="1">
        <v>4875.57</v>
      </c>
      <c r="E5" s="1">
        <v>6657.8</v>
      </c>
      <c r="F5" s="1">
        <v>7677.47</v>
      </c>
      <c r="G5" s="1">
        <v>11286.11</v>
      </c>
      <c r="H5" s="1">
        <v>15477.67</v>
      </c>
      <c r="I5" s="1">
        <v>15719.15</v>
      </c>
      <c r="J5" s="1">
        <v>16209.05</v>
      </c>
      <c r="K5" s="1">
        <v>15980.66</v>
      </c>
    </row>
    <row r="6" spans="1:11" x14ac:dyDescent="0.15">
      <c r="A6" t="s">
        <v>17</v>
      </c>
      <c r="B6" s="1">
        <v>1025.28</v>
      </c>
      <c r="C6" s="1">
        <v>1926.41</v>
      </c>
      <c r="D6" s="1">
        <v>1153.1400000000001</v>
      </c>
      <c r="E6" s="1">
        <v>1272.31</v>
      </c>
      <c r="F6" s="1">
        <v>5397.14</v>
      </c>
      <c r="G6" s="1">
        <v>6532.07</v>
      </c>
      <c r="H6" s="1">
        <v>6825.81</v>
      </c>
      <c r="I6" s="1">
        <v>2914.75</v>
      </c>
      <c r="J6" s="1">
        <v>1751.8</v>
      </c>
      <c r="K6" s="1">
        <v>1287.3699999999999</v>
      </c>
    </row>
    <row r="7" spans="1:11" x14ac:dyDescent="0.15">
      <c r="A7" t="s">
        <v>18</v>
      </c>
      <c r="B7" s="1"/>
      <c r="C7" s="1"/>
      <c r="D7" s="1"/>
      <c r="E7" s="1"/>
      <c r="F7" s="1"/>
      <c r="G7" s="1">
        <v>165</v>
      </c>
      <c r="H7" s="1">
        <v>290.70999999999998</v>
      </c>
      <c r="I7" s="1">
        <v>300</v>
      </c>
      <c r="J7" s="1">
        <v>21.42</v>
      </c>
      <c r="K7" s="1">
        <v>100</v>
      </c>
    </row>
    <row r="8" spans="1:11" x14ac:dyDescent="0.15">
      <c r="A8" t="s">
        <v>19</v>
      </c>
      <c r="B8" s="1"/>
      <c r="C8" s="1"/>
      <c r="D8" s="1"/>
      <c r="E8" s="1"/>
      <c r="F8" s="1"/>
      <c r="G8" s="1"/>
      <c r="H8" s="1">
        <v>101.75</v>
      </c>
      <c r="I8" s="1">
        <v>1301.54</v>
      </c>
      <c r="J8" s="1">
        <v>1026.9000000000001</v>
      </c>
      <c r="K8" s="1">
        <v>4215.6499999999996</v>
      </c>
    </row>
    <row r="9" spans="1:11" x14ac:dyDescent="0.15">
      <c r="A9" t="s">
        <v>20</v>
      </c>
      <c r="B9" s="1"/>
      <c r="C9" s="1"/>
      <c r="D9" s="1">
        <v>390</v>
      </c>
      <c r="E9" s="1">
        <v>2572.56</v>
      </c>
      <c r="F9" s="1">
        <v>11129.11</v>
      </c>
      <c r="G9" s="1">
        <v>9850.59</v>
      </c>
      <c r="H9" s="1">
        <v>18988.57</v>
      </c>
      <c r="I9" s="1">
        <v>16626.5</v>
      </c>
      <c r="J9" s="1">
        <v>13479.23</v>
      </c>
      <c r="K9" s="1">
        <v>7680.59</v>
      </c>
    </row>
    <row r="10" spans="1:11" x14ac:dyDescent="0.15">
      <c r="A10" t="s">
        <v>21</v>
      </c>
      <c r="B10" s="1">
        <v>53.79</v>
      </c>
      <c r="C10" s="1">
        <v>83.13</v>
      </c>
      <c r="D10" s="1">
        <v>34.909999999999997</v>
      </c>
      <c r="E10" s="1">
        <v>53.86</v>
      </c>
      <c r="F10" s="1">
        <v>65.48</v>
      </c>
      <c r="G10" s="1">
        <v>145.37</v>
      </c>
      <c r="H10" s="1">
        <v>249.92</v>
      </c>
      <c r="I10" s="1">
        <v>207.38</v>
      </c>
      <c r="J10" s="1">
        <v>210.29</v>
      </c>
      <c r="K10" s="1">
        <v>265.26</v>
      </c>
    </row>
    <row r="11" spans="1:11" x14ac:dyDescent="0.15">
      <c r="A11" t="s">
        <v>22</v>
      </c>
      <c r="B11" s="1"/>
      <c r="C11" s="1"/>
      <c r="D11" s="1">
        <v>11277.9</v>
      </c>
      <c r="E11" s="1">
        <v>19731.47</v>
      </c>
      <c r="F11" s="1">
        <v>24986.54</v>
      </c>
      <c r="G11" s="1">
        <v>31323.15</v>
      </c>
      <c r="H11" s="1">
        <v>40615.85</v>
      </c>
      <c r="I11" s="1">
        <v>48901.54</v>
      </c>
      <c r="J11" s="1">
        <v>53134.78</v>
      </c>
      <c r="K11" s="1">
        <v>57752.88</v>
      </c>
    </row>
    <row r="12" spans="1:11" x14ac:dyDescent="0.15">
      <c r="B12" s="1"/>
      <c r="C12" s="1"/>
      <c r="D12" s="1">
        <f>D10+D11</f>
        <v>11312.81</v>
      </c>
      <c r="E12" s="1">
        <f t="shared" ref="E12:K12" si="0">E10+E11</f>
        <v>19785.330000000002</v>
      </c>
      <c r="F12" s="1">
        <f t="shared" si="0"/>
        <v>25052.02</v>
      </c>
      <c r="G12" s="1">
        <f t="shared" si="0"/>
        <v>31468.52</v>
      </c>
      <c r="H12" s="1">
        <f t="shared" si="0"/>
        <v>40865.769999999997</v>
      </c>
      <c r="I12" s="1">
        <f t="shared" si="0"/>
        <v>49108.92</v>
      </c>
      <c r="J12" s="1">
        <f t="shared" si="0"/>
        <v>53345.07</v>
      </c>
      <c r="K12" s="1">
        <f t="shared" si="0"/>
        <v>58018.14</v>
      </c>
    </row>
    <row r="13" spans="1:11" x14ac:dyDescent="0.15">
      <c r="A13" t="s">
        <v>23</v>
      </c>
      <c r="B13" s="1"/>
      <c r="C13" s="1"/>
      <c r="D13" s="1"/>
      <c r="E13" s="1"/>
      <c r="F13" s="1"/>
      <c r="G13" s="1"/>
      <c r="H13" s="1"/>
      <c r="I13" s="1"/>
      <c r="J13" s="1">
        <v>1353.01</v>
      </c>
      <c r="K13" s="1">
        <v>180.36</v>
      </c>
    </row>
    <row r="14" spans="1:11" x14ac:dyDescent="0.15">
      <c r="A14" t="s">
        <v>24</v>
      </c>
      <c r="B14" s="1"/>
      <c r="C14" s="1"/>
      <c r="D14" s="1">
        <v>799.16</v>
      </c>
      <c r="E14" s="1">
        <v>1767.62</v>
      </c>
      <c r="F14" s="1">
        <v>675.23</v>
      </c>
      <c r="G14" s="1">
        <v>880.64</v>
      </c>
      <c r="H14" s="1">
        <v>1167.68</v>
      </c>
      <c r="I14" s="1">
        <v>1705.58</v>
      </c>
      <c r="J14" s="1">
        <v>1615.7</v>
      </c>
      <c r="K14" s="1">
        <v>2066.46</v>
      </c>
    </row>
    <row r="15" spans="1:11" x14ac:dyDescent="0.15">
      <c r="A15" t="s">
        <v>25</v>
      </c>
      <c r="B15" s="1"/>
      <c r="C15" s="1"/>
      <c r="D15" s="1"/>
      <c r="E15" s="1">
        <v>70</v>
      </c>
      <c r="F15" s="1">
        <v>110.89</v>
      </c>
      <c r="G15" s="1">
        <v>336.92</v>
      </c>
      <c r="H15" s="1">
        <v>452.89</v>
      </c>
      <c r="I15" s="1">
        <v>488.64</v>
      </c>
      <c r="J15" s="1">
        <v>530.23</v>
      </c>
      <c r="K15" s="1">
        <v>552.70000000000005</v>
      </c>
    </row>
    <row r="16" spans="1:11" x14ac:dyDescent="0.15">
      <c r="A16" t="s">
        <v>26</v>
      </c>
      <c r="B16" s="1"/>
      <c r="C16" s="1"/>
      <c r="D16" s="1"/>
      <c r="E16" s="1"/>
      <c r="F16" s="1">
        <v>1564</v>
      </c>
      <c r="G16" s="1">
        <v>422.4</v>
      </c>
      <c r="H16" s="1">
        <v>1319.73</v>
      </c>
      <c r="I16" s="1">
        <v>17353.07</v>
      </c>
      <c r="J16" s="1">
        <v>30765.75</v>
      </c>
      <c r="K16" s="1">
        <v>40530.449999999997</v>
      </c>
    </row>
    <row r="17" spans="1:11" x14ac:dyDescent="0.15">
      <c r="A17" t="s">
        <v>27</v>
      </c>
      <c r="B17" s="1">
        <v>125.5</v>
      </c>
      <c r="C17" s="1">
        <v>122.74</v>
      </c>
      <c r="D17" s="1">
        <v>120.78</v>
      </c>
      <c r="E17" s="1">
        <v>121.59</v>
      </c>
      <c r="F17" s="1">
        <v>150.12</v>
      </c>
      <c r="G17" s="1">
        <v>164.25</v>
      </c>
      <c r="H17" s="1">
        <v>174.1</v>
      </c>
      <c r="I17" s="1">
        <v>191.03</v>
      </c>
      <c r="J17" s="1">
        <v>189.35</v>
      </c>
      <c r="K17" s="1">
        <v>226.85</v>
      </c>
    </row>
    <row r="18" spans="1:11" x14ac:dyDescent="0.15">
      <c r="A18" t="s">
        <v>28</v>
      </c>
      <c r="B18" s="1">
        <v>3.25</v>
      </c>
      <c r="C18" s="1">
        <v>3.17</v>
      </c>
      <c r="D18" s="1">
        <v>3.09</v>
      </c>
      <c r="E18" s="1">
        <v>22.99</v>
      </c>
      <c r="F18" s="1">
        <v>32.479999999999997</v>
      </c>
      <c r="G18" s="1">
        <v>33.29</v>
      </c>
      <c r="H18" s="1">
        <v>41.83</v>
      </c>
      <c r="I18" s="1">
        <v>40.19</v>
      </c>
      <c r="J18" s="1">
        <v>851.41</v>
      </c>
      <c r="K18" s="1">
        <v>829.42</v>
      </c>
    </row>
    <row r="19" spans="1:11" x14ac:dyDescent="0.15">
      <c r="A19" t="s">
        <v>29</v>
      </c>
      <c r="B19" s="1"/>
      <c r="C19" s="1"/>
      <c r="D19" s="1">
        <v>9.65</v>
      </c>
      <c r="E19" s="1">
        <v>9.49</v>
      </c>
      <c r="F19" s="1">
        <v>7.88</v>
      </c>
      <c r="G19" s="1">
        <v>68.47</v>
      </c>
      <c r="H19" s="1">
        <v>158.08000000000001</v>
      </c>
      <c r="I19" s="1">
        <v>208.38</v>
      </c>
      <c r="J19" s="1">
        <v>314.17</v>
      </c>
      <c r="K19" s="1">
        <v>428.67</v>
      </c>
    </row>
    <row r="20" spans="1:11" x14ac:dyDescent="0.15">
      <c r="A20" t="s">
        <v>30</v>
      </c>
      <c r="B20" s="1"/>
      <c r="C20" s="1"/>
      <c r="D20" s="1"/>
      <c r="E20" s="1">
        <v>10.94</v>
      </c>
      <c r="F20" s="1"/>
      <c r="G20" s="1"/>
      <c r="H20" s="1"/>
      <c r="I20" s="1"/>
      <c r="J20" s="1"/>
      <c r="K20" s="1"/>
    </row>
    <row r="21" spans="1:11" x14ac:dyDescent="0.15">
      <c r="A21" t="s">
        <v>31</v>
      </c>
      <c r="B21" s="1"/>
      <c r="C21" s="1"/>
      <c r="D21" s="1">
        <v>124.77</v>
      </c>
      <c r="E21" s="1">
        <v>210.86</v>
      </c>
      <c r="F21" s="1">
        <v>679.16</v>
      </c>
      <c r="G21" s="1">
        <v>853.61</v>
      </c>
      <c r="H21" s="1">
        <v>632.61</v>
      </c>
      <c r="I21" s="1">
        <v>1156.76</v>
      </c>
      <c r="J21" s="1">
        <v>966.65</v>
      </c>
      <c r="K21" s="1">
        <v>951.95</v>
      </c>
    </row>
    <row r="22" spans="1:11" x14ac:dyDescent="0.15">
      <c r="A22" s="2" t="s">
        <v>32</v>
      </c>
      <c r="B22" s="1">
        <v>7517.61</v>
      </c>
      <c r="C22" s="1">
        <v>11210.76</v>
      </c>
      <c r="D22" s="1">
        <v>18788.98</v>
      </c>
      <c r="E22" s="1">
        <v>32501.5</v>
      </c>
      <c r="F22" s="1">
        <v>52475.5</v>
      </c>
      <c r="G22" s="1">
        <v>62061.87</v>
      </c>
      <c r="H22" s="1">
        <v>86497.2</v>
      </c>
      <c r="I22" s="1">
        <v>107114.5</v>
      </c>
      <c r="J22" s="1">
        <v>122419.74</v>
      </c>
      <c r="K22" s="1">
        <v>133049.26999999999</v>
      </c>
    </row>
    <row r="23" spans="1:11" x14ac:dyDescent="0.15">
      <c r="A23" s="2" t="s">
        <v>33</v>
      </c>
      <c r="B23" s="3" t="s">
        <v>15</v>
      </c>
      <c r="C23" s="3" t="s">
        <v>15</v>
      </c>
      <c r="D23" s="3" t="s">
        <v>15</v>
      </c>
      <c r="E23" s="3" t="s">
        <v>15</v>
      </c>
      <c r="F23" s="3" t="s">
        <v>15</v>
      </c>
      <c r="G23" s="3" t="s">
        <v>15</v>
      </c>
      <c r="H23" s="3" t="s">
        <v>15</v>
      </c>
      <c r="I23" s="3" t="s">
        <v>15</v>
      </c>
      <c r="J23" s="3" t="s">
        <v>15</v>
      </c>
      <c r="K23" s="3" t="s">
        <v>15</v>
      </c>
    </row>
    <row r="24" spans="1:11" x14ac:dyDescent="0.15">
      <c r="A24" t="s">
        <v>34</v>
      </c>
      <c r="B24" s="1">
        <v>84.08</v>
      </c>
      <c r="C24" s="1">
        <v>256.23</v>
      </c>
      <c r="D24" s="1">
        <v>1050.02</v>
      </c>
      <c r="E24" s="1">
        <v>1893.96</v>
      </c>
      <c r="F24" s="1">
        <v>5971.75</v>
      </c>
      <c r="G24" s="1">
        <v>4185.32</v>
      </c>
      <c r="H24" s="1">
        <v>9742.67</v>
      </c>
      <c r="I24" s="1">
        <v>23439.7</v>
      </c>
      <c r="J24" s="1">
        <v>30658.55</v>
      </c>
      <c r="K24" s="1">
        <v>29702.2</v>
      </c>
    </row>
    <row r="25" spans="1:11" x14ac:dyDescent="0.15">
      <c r="A25" t="s">
        <v>35</v>
      </c>
      <c r="B25" s="1"/>
      <c r="C25" s="1"/>
      <c r="D25" s="1"/>
      <c r="E25" s="1"/>
      <c r="F25" s="1"/>
      <c r="G25" s="1">
        <v>52</v>
      </c>
      <c r="H25" s="1">
        <v>50</v>
      </c>
      <c r="I25" s="1">
        <v>400</v>
      </c>
      <c r="J25" s="1">
        <v>366.49</v>
      </c>
      <c r="K25" s="1">
        <v>252.65</v>
      </c>
    </row>
    <row r="26" spans="1:11" x14ac:dyDescent="0.15">
      <c r="A26" t="s">
        <v>36</v>
      </c>
      <c r="B26" s="1"/>
      <c r="C26" s="1"/>
      <c r="D26" s="1"/>
      <c r="E26" s="1"/>
      <c r="F26" s="1">
        <v>176.31</v>
      </c>
      <c r="G26" s="1">
        <v>591.57000000000005</v>
      </c>
      <c r="H26" s="1">
        <v>4427.95</v>
      </c>
      <c r="I26" s="1">
        <v>1252.17</v>
      </c>
      <c r="J26" s="1">
        <v>418.19</v>
      </c>
      <c r="K26" s="1">
        <v>839.68</v>
      </c>
    </row>
    <row r="27" spans="1:11" x14ac:dyDescent="0.15">
      <c r="A27" t="s">
        <v>37</v>
      </c>
      <c r="B27" s="1"/>
      <c r="C27" s="1"/>
      <c r="D27" s="1">
        <v>410.81</v>
      </c>
      <c r="E27" s="1">
        <v>402.6</v>
      </c>
      <c r="F27" s="1">
        <v>5142.3100000000004</v>
      </c>
      <c r="G27" s="1">
        <v>3678.49</v>
      </c>
      <c r="H27" s="1">
        <v>6435.44</v>
      </c>
      <c r="I27" s="1">
        <v>3918.19</v>
      </c>
      <c r="J27" s="1">
        <v>1472.41</v>
      </c>
      <c r="K27" s="1">
        <v>4050.4</v>
      </c>
    </row>
    <row r="28" spans="1:11" x14ac:dyDescent="0.15">
      <c r="A28" t="s">
        <v>38</v>
      </c>
      <c r="B28" s="1"/>
      <c r="C28" s="1"/>
      <c r="D28" s="1">
        <v>15495.01</v>
      </c>
      <c r="E28" s="1">
        <v>27326.799999999999</v>
      </c>
      <c r="F28" s="1">
        <v>35229</v>
      </c>
      <c r="G28" s="1">
        <v>46367.360000000001</v>
      </c>
      <c r="H28" s="1">
        <v>56592.75</v>
      </c>
      <c r="I28" s="1">
        <v>66896.289999999994</v>
      </c>
      <c r="J28" s="1">
        <v>75416.679999999993</v>
      </c>
      <c r="K28" s="1">
        <v>79115.88</v>
      </c>
    </row>
    <row r="29" spans="1:11" x14ac:dyDescent="0.15">
      <c r="B29" s="1"/>
      <c r="C29" s="1"/>
      <c r="D29" s="1">
        <f>SUM(D24:D28)</f>
        <v>16955.84</v>
      </c>
      <c r="E29" s="1">
        <f t="shared" ref="E29:K29" si="1">SUM(E24:E28)</f>
        <v>29623.360000000001</v>
      </c>
      <c r="F29" s="1">
        <f t="shared" si="1"/>
        <v>46519.37</v>
      </c>
      <c r="G29" s="1">
        <f t="shared" si="1"/>
        <v>54874.74</v>
      </c>
      <c r="H29" s="1">
        <f t="shared" si="1"/>
        <v>77248.81</v>
      </c>
      <c r="I29" s="1">
        <f t="shared" si="1"/>
        <v>95906.349999999991</v>
      </c>
      <c r="J29" s="1">
        <f t="shared" si="1"/>
        <v>108332.31999999999</v>
      </c>
      <c r="K29" s="1">
        <f t="shared" si="1"/>
        <v>113960.81</v>
      </c>
    </row>
    <row r="30" spans="1:11" x14ac:dyDescent="0.15">
      <c r="A30" t="s">
        <v>39</v>
      </c>
      <c r="B30" s="1"/>
      <c r="C30" s="1"/>
      <c r="D30" s="1">
        <v>0.25</v>
      </c>
      <c r="E30" s="1">
        <v>11.15</v>
      </c>
      <c r="F30" s="1">
        <v>0.26</v>
      </c>
      <c r="G30" s="1">
        <v>6.75</v>
      </c>
      <c r="H30" s="1">
        <v>18.21</v>
      </c>
      <c r="I30" s="1">
        <v>49.74</v>
      </c>
      <c r="J30" s="1">
        <v>98.52</v>
      </c>
      <c r="K30" s="1">
        <v>154.61000000000001</v>
      </c>
    </row>
    <row r="31" spans="1:11" x14ac:dyDescent="0.15">
      <c r="A31" t="s">
        <v>40</v>
      </c>
      <c r="B31" s="1">
        <v>46.5</v>
      </c>
      <c r="C31" s="1">
        <v>62.99</v>
      </c>
      <c r="D31" s="1">
        <v>36.299999999999997</v>
      </c>
      <c r="E31" s="1">
        <v>60.53</v>
      </c>
      <c r="F31" s="1">
        <v>91.85</v>
      </c>
      <c r="G31" s="1">
        <v>161.83000000000001</v>
      </c>
      <c r="H31" s="1">
        <v>203.21</v>
      </c>
      <c r="I31" s="1">
        <v>207.53</v>
      </c>
      <c r="J31" s="1">
        <v>248.74</v>
      </c>
      <c r="K31" s="1">
        <v>252.5</v>
      </c>
    </row>
    <row r="32" spans="1:11" x14ac:dyDescent="0.15">
      <c r="A32" t="s">
        <v>41</v>
      </c>
      <c r="B32" s="1">
        <v>20.420000000000002</v>
      </c>
      <c r="C32" s="1">
        <v>43.57</v>
      </c>
      <c r="D32" s="1">
        <v>86.21</v>
      </c>
      <c r="E32" s="1">
        <v>91.1</v>
      </c>
      <c r="F32" s="1">
        <v>157.71</v>
      </c>
      <c r="G32" s="1">
        <v>348.6</v>
      </c>
      <c r="H32" s="1">
        <v>598.41</v>
      </c>
      <c r="I32" s="1">
        <v>944.08</v>
      </c>
      <c r="J32" s="1">
        <v>1326.38</v>
      </c>
      <c r="K32" s="1">
        <v>1279.6500000000001</v>
      </c>
    </row>
    <row r="33" spans="1:11" x14ac:dyDescent="0.15">
      <c r="A33" t="s">
        <v>42</v>
      </c>
      <c r="B33" s="1"/>
      <c r="C33" s="1"/>
      <c r="D33" s="1">
        <v>208</v>
      </c>
      <c r="E33" s="1">
        <v>500</v>
      </c>
      <c r="F33" s="1">
        <v>500</v>
      </c>
      <c r="G33" s="1">
        <v>500</v>
      </c>
      <c r="H33" s="1">
        <v>500</v>
      </c>
      <c r="I33" s="1">
        <v>292</v>
      </c>
      <c r="J33" s="1">
        <v>1500</v>
      </c>
      <c r="K33" s="1">
        <v>3500</v>
      </c>
    </row>
    <row r="34" spans="1:11" x14ac:dyDescent="0.15">
      <c r="A34" t="s">
        <v>43</v>
      </c>
      <c r="B34" s="1"/>
      <c r="C34" s="1"/>
      <c r="D34" s="1"/>
      <c r="E34" s="1"/>
      <c r="F34" s="1"/>
      <c r="G34" s="1"/>
      <c r="H34" s="1"/>
      <c r="I34" s="1"/>
      <c r="J34" s="1"/>
      <c r="K34" s="1">
        <v>6.15</v>
      </c>
    </row>
    <row r="35" spans="1:11" x14ac:dyDescent="0.15">
      <c r="A35" t="s">
        <v>44</v>
      </c>
      <c r="B35" s="1"/>
      <c r="C35" s="1"/>
      <c r="D35" s="1">
        <v>457.92</v>
      </c>
      <c r="E35" s="1">
        <v>63.79</v>
      </c>
      <c r="F35" s="1">
        <v>921.53</v>
      </c>
      <c r="G35" s="1">
        <v>383.69</v>
      </c>
      <c r="H35" s="1">
        <v>832.91</v>
      </c>
      <c r="I35" s="1">
        <v>574.32000000000005</v>
      </c>
      <c r="J35" s="1">
        <v>715.6</v>
      </c>
      <c r="K35" s="1">
        <v>2642.71</v>
      </c>
    </row>
    <row r="36" spans="1:11" x14ac:dyDescent="0.15">
      <c r="A36" s="2" t="s">
        <v>45</v>
      </c>
      <c r="B36" s="1">
        <v>6998.93</v>
      </c>
      <c r="C36" s="1">
        <v>10373.93</v>
      </c>
      <c r="D36" s="1">
        <v>17744.52</v>
      </c>
      <c r="E36" s="1">
        <v>30349.93</v>
      </c>
      <c r="F36" s="1">
        <v>48190.71</v>
      </c>
      <c r="G36" s="1">
        <v>56275.62</v>
      </c>
      <c r="H36" s="1">
        <v>79401.56</v>
      </c>
      <c r="I36" s="1">
        <v>97974.02</v>
      </c>
      <c r="J36" s="1">
        <v>112221.57</v>
      </c>
      <c r="K36" s="1">
        <v>121796.45</v>
      </c>
    </row>
    <row r="37" spans="1:11" x14ac:dyDescent="0.15">
      <c r="A37" s="2" t="s">
        <v>46</v>
      </c>
      <c r="B37" s="3" t="s">
        <v>15</v>
      </c>
      <c r="C37" s="3" t="s">
        <v>15</v>
      </c>
      <c r="D37" s="3" t="s">
        <v>15</v>
      </c>
      <c r="E37" s="3" t="s">
        <v>15</v>
      </c>
      <c r="F37" s="3" t="s">
        <v>15</v>
      </c>
      <c r="G37" s="3" t="s">
        <v>15</v>
      </c>
      <c r="H37" s="3" t="s">
        <v>15</v>
      </c>
      <c r="I37" s="3" t="s">
        <v>15</v>
      </c>
      <c r="J37" s="3" t="s">
        <v>15</v>
      </c>
      <c r="K37" s="3" t="s">
        <v>15</v>
      </c>
    </row>
    <row r="38" spans="1:11" x14ac:dyDescent="0.15">
      <c r="A38" t="s">
        <v>47</v>
      </c>
      <c r="B38" s="1">
        <v>262</v>
      </c>
      <c r="C38" s="1">
        <v>613.08000000000004</v>
      </c>
      <c r="D38" s="1">
        <v>613.08000000000004</v>
      </c>
      <c r="E38" s="1">
        <v>800</v>
      </c>
      <c r="F38" s="1">
        <v>1075.52</v>
      </c>
      <c r="G38" s="1">
        <v>1200</v>
      </c>
      <c r="H38" s="1">
        <v>1337.83</v>
      </c>
      <c r="I38" s="1">
        <v>1532</v>
      </c>
      <c r="J38" s="1">
        <v>3064</v>
      </c>
      <c r="K38" s="1">
        <v>3064</v>
      </c>
    </row>
    <row r="39" spans="1:11" x14ac:dyDescent="0.15">
      <c r="A39" t="s">
        <v>48</v>
      </c>
      <c r="B39" s="1">
        <v>89.53</v>
      </c>
      <c r="C39" s="1">
        <v>79.680000000000007</v>
      </c>
      <c r="D39" s="1">
        <v>79.680000000000007</v>
      </c>
      <c r="E39" s="1">
        <v>733.9</v>
      </c>
      <c r="F39" s="1">
        <v>2111.5</v>
      </c>
      <c r="G39" s="1">
        <v>2733.9</v>
      </c>
      <c r="H39" s="1">
        <v>3221.81</v>
      </c>
      <c r="I39" s="1">
        <v>3909.18</v>
      </c>
      <c r="J39" s="1">
        <v>2383.4299999999998</v>
      </c>
      <c r="K39" s="1">
        <v>2377.1799999999998</v>
      </c>
    </row>
    <row r="40" spans="1:11" x14ac:dyDescent="0.15">
      <c r="A40" t="s">
        <v>49</v>
      </c>
      <c r="B40" s="1"/>
      <c r="C40" s="1"/>
      <c r="D40" s="1"/>
      <c r="E40" s="1"/>
      <c r="F40" s="1"/>
      <c r="G40" s="1"/>
      <c r="H40" s="1"/>
      <c r="I40" s="1"/>
      <c r="J40" s="1"/>
      <c r="K40" s="1">
        <v>0.08</v>
      </c>
    </row>
    <row r="41" spans="1:11" x14ac:dyDescent="0.15">
      <c r="A41" t="s">
        <v>50</v>
      </c>
      <c r="B41" s="1">
        <v>47.02</v>
      </c>
      <c r="C41" s="1">
        <v>60.7</v>
      </c>
      <c r="D41" s="1">
        <v>81.94</v>
      </c>
      <c r="E41" s="1">
        <v>108.53</v>
      </c>
      <c r="F41" s="1">
        <v>156.54</v>
      </c>
      <c r="G41" s="1">
        <v>232</v>
      </c>
      <c r="H41" s="1">
        <v>329.57</v>
      </c>
      <c r="I41" s="1">
        <v>445.19</v>
      </c>
      <c r="J41" s="1">
        <v>576.65</v>
      </c>
      <c r="K41" s="1">
        <v>712.38</v>
      </c>
    </row>
    <row r="42" spans="1:11" x14ac:dyDescent="0.15">
      <c r="A42" t="s">
        <v>51</v>
      </c>
      <c r="B42" s="1">
        <v>72.38</v>
      </c>
      <c r="C42" s="1">
        <v>21.86</v>
      </c>
      <c r="D42" s="1">
        <v>155.44999999999999</v>
      </c>
      <c r="E42" s="1">
        <v>278.87</v>
      </c>
      <c r="F42" s="1">
        <v>611.97</v>
      </c>
      <c r="G42" s="1">
        <v>1223.23</v>
      </c>
      <c r="H42" s="1">
        <v>1403.78</v>
      </c>
      <c r="I42" s="1">
        <v>2119.1999999999998</v>
      </c>
      <c r="J42" s="1">
        <v>2771.54</v>
      </c>
      <c r="K42" s="1">
        <v>3425.74</v>
      </c>
    </row>
    <row r="43" spans="1:11" x14ac:dyDescent="0.15">
      <c r="A43" t="s">
        <v>52</v>
      </c>
      <c r="B43" s="1">
        <v>47.74</v>
      </c>
      <c r="C43" s="1">
        <v>61.51</v>
      </c>
      <c r="D43" s="1">
        <v>114.31</v>
      </c>
      <c r="E43" s="1">
        <v>230.27</v>
      </c>
      <c r="F43" s="1">
        <v>329.26</v>
      </c>
      <c r="G43" s="1">
        <v>397.13</v>
      </c>
      <c r="H43" s="1">
        <v>756.69</v>
      </c>
      <c r="I43" s="1">
        <v>1085.57</v>
      </c>
      <c r="J43" s="1">
        <v>1347.18</v>
      </c>
      <c r="K43" s="1">
        <v>1613.31</v>
      </c>
    </row>
    <row r="44" spans="1:11" x14ac:dyDescent="0.15">
      <c r="A44" s="2" t="s">
        <v>53</v>
      </c>
      <c r="B44" s="1">
        <v>518.67999999999995</v>
      </c>
      <c r="C44" s="1">
        <v>836.83</v>
      </c>
      <c r="D44" s="1">
        <v>1044.46</v>
      </c>
      <c r="E44" s="1">
        <v>2151.5700000000002</v>
      </c>
      <c r="F44" s="1">
        <v>4284.79</v>
      </c>
      <c r="G44" s="1">
        <v>5786.25</v>
      </c>
      <c r="H44" s="1">
        <v>7049.68</v>
      </c>
      <c r="I44" s="1">
        <v>9091.14</v>
      </c>
      <c r="J44" s="1">
        <v>10142.82</v>
      </c>
      <c r="K44" s="1">
        <v>11192.69</v>
      </c>
    </row>
    <row r="45" spans="1:11" x14ac:dyDescent="0.15">
      <c r="A45" t="s">
        <v>54</v>
      </c>
      <c r="B45" s="1"/>
      <c r="C45" s="1"/>
      <c r="D45" s="1"/>
      <c r="E45" s="1"/>
      <c r="F45" s="1"/>
      <c r="G45" s="1"/>
      <c r="H45" s="1">
        <v>45.96</v>
      </c>
      <c r="I45" s="1">
        <v>49.34</v>
      </c>
      <c r="J45" s="1">
        <v>55.36</v>
      </c>
      <c r="K45" s="1">
        <v>60.13</v>
      </c>
    </row>
    <row r="46" spans="1:11" x14ac:dyDescent="0.15">
      <c r="A46" s="2" t="s">
        <v>55</v>
      </c>
      <c r="B46" s="1">
        <v>518.67999999999995</v>
      </c>
      <c r="C46" s="1">
        <v>836.83</v>
      </c>
      <c r="D46" s="1">
        <v>1044.46</v>
      </c>
      <c r="E46" s="1">
        <v>2151.5700000000002</v>
      </c>
      <c r="F46" s="1">
        <v>4284.79</v>
      </c>
      <c r="G46" s="1">
        <v>5786.25</v>
      </c>
      <c r="H46" s="1">
        <v>7095.64</v>
      </c>
      <c r="I46" s="1">
        <v>9140.48</v>
      </c>
      <c r="J46" s="1">
        <v>10198.17</v>
      </c>
      <c r="K46" s="1">
        <v>11252.83</v>
      </c>
    </row>
    <row r="47" spans="1:11" x14ac:dyDescent="0.15">
      <c r="A47" s="2" t="s">
        <v>56</v>
      </c>
      <c r="B47" s="1">
        <v>7517.61</v>
      </c>
      <c r="C47" s="1">
        <v>11210.76</v>
      </c>
      <c r="D47" s="1">
        <v>18788.98</v>
      </c>
      <c r="E47" s="1">
        <v>32501.5</v>
      </c>
      <c r="F47" s="1">
        <v>52475.5</v>
      </c>
      <c r="G47" s="1">
        <v>62061.87</v>
      </c>
      <c r="H47" s="1">
        <v>86497.2</v>
      </c>
      <c r="I47" s="1">
        <v>107114.5</v>
      </c>
      <c r="J47" s="1">
        <v>122419.74</v>
      </c>
      <c r="K47" s="1">
        <v>133049.26999999999</v>
      </c>
    </row>
    <row r="48" spans="1:11" x14ac:dyDescent="0.15">
      <c r="A48" t="s">
        <v>57</v>
      </c>
      <c r="B48" s="3" t="s">
        <v>58</v>
      </c>
      <c r="C48" s="3" t="s">
        <v>58</v>
      </c>
      <c r="D48" s="3" t="s">
        <v>58</v>
      </c>
      <c r="E48" s="3" t="s">
        <v>58</v>
      </c>
      <c r="F48" s="3" t="s">
        <v>58</v>
      </c>
      <c r="G48" s="3" t="s">
        <v>58</v>
      </c>
      <c r="H48" s="3" t="s">
        <v>58</v>
      </c>
      <c r="I48" s="3" t="s">
        <v>58</v>
      </c>
      <c r="J48" s="3" t="s">
        <v>58</v>
      </c>
      <c r="K48" s="3" t="s">
        <v>58</v>
      </c>
    </row>
    <row r="49" spans="1:11" x14ac:dyDescent="0.15">
      <c r="A49" t="s">
        <v>59</v>
      </c>
      <c r="B49" s="3" t="s">
        <v>58</v>
      </c>
      <c r="C49" s="3" t="s">
        <v>58</v>
      </c>
      <c r="D49" s="3" t="s">
        <v>58</v>
      </c>
      <c r="E49" s="3" t="s">
        <v>58</v>
      </c>
      <c r="F49" s="3" t="s">
        <v>58</v>
      </c>
      <c r="G49" s="3" t="s">
        <v>58</v>
      </c>
      <c r="H49" s="3" t="s">
        <v>58</v>
      </c>
      <c r="I49" s="3" t="s">
        <v>58</v>
      </c>
      <c r="J49" s="3" t="s">
        <v>58</v>
      </c>
      <c r="K49" s="3" t="s">
        <v>58</v>
      </c>
    </row>
    <row r="50" spans="1:11" x14ac:dyDescent="0.15">
      <c r="A50" t="s">
        <v>60</v>
      </c>
      <c r="B50" s="3" t="s">
        <v>61</v>
      </c>
      <c r="C50" s="3" t="s">
        <v>61</v>
      </c>
      <c r="D50" s="3" t="s">
        <v>61</v>
      </c>
      <c r="E50" s="3" t="s">
        <v>61</v>
      </c>
      <c r="F50" s="3" t="s">
        <v>61</v>
      </c>
      <c r="G50" s="3" t="s">
        <v>61</v>
      </c>
      <c r="H50" s="3" t="s">
        <v>61</v>
      </c>
      <c r="I50" s="3" t="s">
        <v>61</v>
      </c>
      <c r="J50" s="3" t="s">
        <v>61</v>
      </c>
      <c r="K50" s="3" t="s">
        <v>61</v>
      </c>
    </row>
    <row r="51" spans="1:11" x14ac:dyDescent="0.15">
      <c r="A51" t="s">
        <v>62</v>
      </c>
      <c r="B51" s="3" t="s">
        <v>63</v>
      </c>
      <c r="C51" s="3" t="s">
        <v>63</v>
      </c>
      <c r="D51" s="3" t="s">
        <v>63</v>
      </c>
      <c r="E51" s="3" t="s">
        <v>63</v>
      </c>
      <c r="F51" s="3" t="s">
        <v>63</v>
      </c>
      <c r="G51" s="3" t="s">
        <v>63</v>
      </c>
      <c r="H51" s="3" t="s">
        <v>63</v>
      </c>
      <c r="I51" s="3" t="s">
        <v>63</v>
      </c>
      <c r="J51" s="3" t="s">
        <v>63</v>
      </c>
      <c r="K51" s="3" t="s">
        <v>63</v>
      </c>
    </row>
    <row r="52" spans="1:11" x14ac:dyDescent="0.15">
      <c r="A52" t="s">
        <v>64</v>
      </c>
      <c r="B52" s="3" t="s">
        <v>15</v>
      </c>
      <c r="C52" s="3" t="s">
        <v>65</v>
      </c>
      <c r="D52" s="3" t="s">
        <v>65</v>
      </c>
      <c r="E52" s="3" t="s">
        <v>15</v>
      </c>
      <c r="F52" s="3" t="s">
        <v>65</v>
      </c>
      <c r="G52" s="3" t="s">
        <v>65</v>
      </c>
      <c r="H52" s="3" t="s">
        <v>65</v>
      </c>
      <c r="I52" s="3" t="s">
        <v>65</v>
      </c>
      <c r="J52" s="3" t="s">
        <v>65</v>
      </c>
      <c r="K52" s="3" t="s">
        <v>65</v>
      </c>
    </row>
    <row r="53" spans="1:11" x14ac:dyDescent="0.15">
      <c r="A53" t="s">
        <v>66</v>
      </c>
      <c r="C53" t="s">
        <v>67</v>
      </c>
      <c r="D53" t="s">
        <v>67</v>
      </c>
      <c r="E53" t="s">
        <v>67</v>
      </c>
      <c r="F53" t="s">
        <v>67</v>
      </c>
      <c r="G53" t="s">
        <v>67</v>
      </c>
      <c r="H53" t="s">
        <v>67</v>
      </c>
      <c r="I53" t="s">
        <v>67</v>
      </c>
      <c r="J53" t="s">
        <v>67</v>
      </c>
      <c r="K53" t="s">
        <v>67</v>
      </c>
    </row>
    <row r="54" spans="1:11" x14ac:dyDescent="0.15">
      <c r="A54" t="s">
        <v>68</v>
      </c>
      <c r="B54" s="3" t="s">
        <v>69</v>
      </c>
      <c r="C54" s="3" t="s">
        <v>69</v>
      </c>
      <c r="D54" s="3" t="s">
        <v>70</v>
      </c>
      <c r="E54" s="3" t="s">
        <v>71</v>
      </c>
      <c r="F54" s="3" t="s">
        <v>72</v>
      </c>
      <c r="G54" s="3" t="s">
        <v>73</v>
      </c>
      <c r="H54" s="3" t="s">
        <v>74</v>
      </c>
      <c r="I54" s="3" t="s">
        <v>75</v>
      </c>
      <c r="J54" s="3" t="s">
        <v>76</v>
      </c>
      <c r="K54" s="3" t="s">
        <v>77</v>
      </c>
    </row>
    <row r="55" spans="1:11" x14ac:dyDescent="0.15">
      <c r="A55" t="s">
        <v>78</v>
      </c>
      <c r="B55" s="3" t="s">
        <v>79</v>
      </c>
      <c r="C55" s="3" t="s">
        <v>79</v>
      </c>
      <c r="D55" s="3" t="s">
        <v>79</v>
      </c>
      <c r="E55" s="3" t="s">
        <v>79</v>
      </c>
      <c r="F55" s="3" t="s">
        <v>79</v>
      </c>
      <c r="G55" s="3" t="s">
        <v>79</v>
      </c>
      <c r="H55" s="3" t="s">
        <v>79</v>
      </c>
      <c r="I55" s="3" t="s">
        <v>79</v>
      </c>
      <c r="J55" s="3" t="s">
        <v>79</v>
      </c>
      <c r="K55" s="3" t="s">
        <v>79</v>
      </c>
    </row>
    <row r="59" spans="1:11" x14ac:dyDescent="0.15">
      <c r="A59" t="s">
        <v>80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F0200105.00-资产负债表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2016-05-31T11:17:07Z</dcterms:created>
  <dcterms:modified xsi:type="dcterms:W3CDTF">2016-05-31T11:22:30Z</dcterms:modified>
</cp:coreProperties>
</file>