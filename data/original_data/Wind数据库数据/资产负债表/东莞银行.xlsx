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421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2" l="1"/>
  <c r="G14" i="2"/>
  <c r="H14" i="2"/>
  <c r="I14" i="2"/>
  <c r="J14" i="2"/>
  <c r="K14" i="2"/>
  <c r="L14" i="2"/>
  <c r="M14" i="2"/>
  <c r="N14" i="2"/>
  <c r="E14" i="2"/>
  <c r="F37" i="2"/>
  <c r="G37" i="2"/>
  <c r="H37" i="2"/>
  <c r="I37" i="2"/>
  <c r="J37" i="2"/>
  <c r="K37" i="2"/>
  <c r="L37" i="2"/>
  <c r="M37" i="2"/>
  <c r="N37" i="2"/>
  <c r="E37" i="2"/>
</calcChain>
</file>

<file path=xl/sharedStrings.xml><?xml version="1.0" encoding="utf-8"?>
<sst xmlns="http://schemas.openxmlformats.org/spreadsheetml/2006/main" count="268" uniqueCount="109">
  <si>
    <t>2003-12-31</t>
  </si>
  <si>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</si>
  <si>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</si>
  <si>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</si>
  <si>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</si>
  <si>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</si>
  <si>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</si>
  <si>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</si>
  <si>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</si>
  <si>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</si>
  <si>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</si>
  <si>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</si>
  <si>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</si>
  <si>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</si>
  <si>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</si>
  <si>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</si>
  <si>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</si>
  <si>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</si>
  <si>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</si>
  <si>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</si>
  <si>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</si>
  <si>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</si>
  <si>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</si>
  <si>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</si>
  <si>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</si>
  <si>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</si>
  <si>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</si>
  <si>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</si>
  <si>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代理业务资产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</si>
  <si>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</si>
  <si>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</si>
  <si>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</si>
  <si>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</si>
  <si>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</si>
  <si>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</si>
  <si>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</si>
  <si>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</si>
  <si>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</si>
  <si>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</si>
  <si>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</si>
  <si>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</si>
  <si>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</si>
  <si>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</si>
  <si>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</si>
  <si>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</si>
  <si>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</si>
  <si>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</si>
  <si>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</si>
  <si>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</si>
  <si>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</si>
  <si>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</si>
  <si>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</si>
  <si>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</si>
  <si>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代理业务负债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</si>
  <si>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</si>
  <si>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</si>
  <si>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</si>
  <si>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</si>
  <si>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</si>
  <si>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</si>
  <si>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</si>
  <si>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</si>
  <si>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</si>
  <si>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</si>
  <si>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</si>
  <si>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</si>
  <si>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</si>
  <si>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</si>
  <si>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</si>
  <si>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</si>
  <si>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</si>
  <si>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</si>
  <si>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未确认的投资损失</t>
  </si>
  <si>
    <t>　　股东权益差额(特殊报表科目)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</si>
  <si>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</si>
  <si>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</si>
  <si>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</si>
  <si>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</si>
  <si>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负债及股东权益差额(特殊报表项目)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</si>
  <si>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</si>
  <si>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</si>
  <si>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</si>
  <si>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</si>
  <si>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</si>
  <si>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</si>
  <si>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</si>
  <si>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</si>
  <si>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</si>
  <si>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</si>
  <si>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</si>
  <si>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</si>
  <si>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</si>
  <si>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</si>
  <si>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</si>
  <si>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2007-08-17</t>
  </si>
  <si>
    <t>2009-05-08</t>
  </si>
  <si>
    <t>2008-05-22</t>
  </si>
  <si>
    <t>2009-04-28</t>
  </si>
  <si>
    <t>2010-04-23</t>
  </si>
  <si>
    <t>2011-04-26</t>
  </si>
  <si>
    <t>2012-04-28</t>
  </si>
  <si>
    <t>2013-04-24</t>
  </si>
  <si>
    <t>2014-04-24</t>
  </si>
  <si>
    <t>2015-04-30</t>
  </si>
  <si>
    <t>2016-04-30</t>
  </si>
  <si>
    <t>数据来源</t>
  </si>
  <si>
    <t>WIND调整计算值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</si>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</sst>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Views>
    <sheetView tabSelected="1" topLeftCell="E52" workbookViewId="0">
      <selection activeCell="N65" sqref="N65"/>
    </sheetView>
  </sheetViews>
  <sheetFormatPr defaultRowHeight="13.5" x14ac:dyDescent="0.15"/>
  <cols>
    <col min="1" max="1" width="34.125" bestFit="1" customWidth="1"/>
    <col min="2" max="4" width="15.375" bestFit="1" customWidth="1"/>
    <col min="5" max="14" width="15.125" bestFit="1" customWidth="1"/>
  </cols>
  <sheetData>
    <row r="1" spans="1:14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15">
      <c r="A2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  <c r="N2" s="3" t="s">
        <v>14</v>
      </c>
    </row>
    <row r="3" spans="1:14" x14ac:dyDescent="0.15">
      <c r="A3" t="s">
        <v>15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</row>
    <row r="4" spans="1:14" x14ac:dyDescent="0.15">
      <c r="A4" s="2" t="s">
        <v>17</v>
      </c>
      <c r="B4" s="3" t="s">
        <v>18</v>
      </c>
      <c r="C4" s="3" t="s">
        <v>18</v>
      </c>
      <c r="D4" s="3" t="s">
        <v>18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18</v>
      </c>
      <c r="K4" s="3" t="s">
        <v>18</v>
      </c>
      <c r="L4" s="3" t="s">
        <v>18</v>
      </c>
      <c r="M4" s="3" t="s">
        <v>18</v>
      </c>
      <c r="N4" s="3" t="s">
        <v>18</v>
      </c>
    </row>
    <row r="5" spans="1:14" x14ac:dyDescent="0.15">
      <c r="A5" t="s">
        <v>19</v>
      </c>
      <c r="B5" s="1"/>
      <c r="C5" s="1"/>
      <c r="D5" s="1"/>
      <c r="E5" s="1">
        <v>8674.02</v>
      </c>
      <c r="F5" s="1">
        <v>8702.24</v>
      </c>
      <c r="G5" s="1">
        <v>9012.84</v>
      </c>
      <c r="H5" s="1">
        <v>9757.49</v>
      </c>
      <c r="I5" s="1">
        <v>15189.92</v>
      </c>
      <c r="J5" s="1">
        <v>19473.2</v>
      </c>
      <c r="K5" s="1">
        <v>21832.49</v>
      </c>
      <c r="L5" s="1">
        <v>23957.27</v>
      </c>
      <c r="M5" s="1">
        <v>24667.95</v>
      </c>
      <c r="N5" s="1">
        <v>23703.81</v>
      </c>
    </row>
    <row r="6" spans="1:14" x14ac:dyDescent="0.15">
      <c r="A6" t="s">
        <v>20</v>
      </c>
      <c r="B6" s="1"/>
      <c r="C6" s="1"/>
      <c r="D6" s="1"/>
      <c r="E6" s="1">
        <v>1675.83</v>
      </c>
      <c r="F6" s="1">
        <v>499.29</v>
      </c>
      <c r="G6" s="1">
        <v>4125.1899999999996</v>
      </c>
      <c r="H6" s="1">
        <v>3229.56</v>
      </c>
      <c r="I6" s="1">
        <v>1701.83</v>
      </c>
      <c r="J6" s="1">
        <v>1196.18</v>
      </c>
      <c r="K6" s="1">
        <v>691.33</v>
      </c>
      <c r="L6" s="1">
        <v>12725.79</v>
      </c>
      <c r="M6" s="1">
        <v>6227.29</v>
      </c>
      <c r="N6" s="1">
        <v>2215.4499999999998</v>
      </c>
    </row>
    <row r="7" spans="1:14" x14ac:dyDescent="0.15">
      <c r="A7" t="s">
        <v>21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15">
      <c r="A8" t="s">
        <v>22</v>
      </c>
      <c r="B8" s="1"/>
      <c r="C8" s="1"/>
      <c r="D8" s="1"/>
      <c r="E8" s="1"/>
      <c r="F8" s="1"/>
      <c r="G8" s="1"/>
      <c r="H8" s="1">
        <v>206.21</v>
      </c>
      <c r="I8" s="1"/>
      <c r="J8" s="1"/>
      <c r="K8" s="1"/>
      <c r="L8" s="1">
        <v>550</v>
      </c>
      <c r="M8" s="1"/>
      <c r="N8" s="1"/>
    </row>
    <row r="9" spans="1:14" x14ac:dyDescent="0.15">
      <c r="A9" t="s">
        <v>23</v>
      </c>
      <c r="B9" s="1">
        <v>1261.54</v>
      </c>
      <c r="C9" s="1">
        <v>1687.49</v>
      </c>
      <c r="D9" s="1">
        <v>2000.44</v>
      </c>
      <c r="E9" s="1">
        <v>1995.09</v>
      </c>
      <c r="F9" s="1">
        <v>5507.02</v>
      </c>
      <c r="G9" s="1">
        <v>5123.87</v>
      </c>
      <c r="H9" s="1">
        <v>2637.98</v>
      </c>
      <c r="I9" s="1">
        <v>1178.5899999999999</v>
      </c>
      <c r="J9" s="1">
        <v>995.69</v>
      </c>
      <c r="K9" s="1">
        <v>1407.83</v>
      </c>
      <c r="L9" s="1">
        <v>158.94999999999999</v>
      </c>
      <c r="M9" s="1">
        <v>1102.1099999999999</v>
      </c>
      <c r="N9" s="1">
        <v>448.96</v>
      </c>
    </row>
    <row r="10" spans="1:14" x14ac:dyDescent="0.15">
      <c r="A10" t="s">
        <v>24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15">
      <c r="A11" t="s">
        <v>25</v>
      </c>
      <c r="B11" s="1"/>
      <c r="C11" s="1"/>
      <c r="D11" s="1"/>
      <c r="E11" s="1">
        <v>2153.8000000000002</v>
      </c>
      <c r="F11" s="1">
        <v>5354.44</v>
      </c>
      <c r="G11" s="1">
        <v>5675.98</v>
      </c>
      <c r="H11" s="1">
        <v>6377.61</v>
      </c>
      <c r="I11" s="1">
        <v>15466.67</v>
      </c>
      <c r="J11" s="1">
        <v>14041.78</v>
      </c>
      <c r="K11" s="1">
        <v>2950.5</v>
      </c>
      <c r="L11" s="1">
        <v>13971.31</v>
      </c>
      <c r="M11" s="1">
        <v>10871.29</v>
      </c>
      <c r="N11" s="1">
        <v>7685.23</v>
      </c>
    </row>
    <row r="12" spans="1:14" x14ac:dyDescent="0.15">
      <c r="A12" t="s">
        <v>26</v>
      </c>
      <c r="B12" s="1"/>
      <c r="C12" s="1">
        <v>72.73</v>
      </c>
      <c r="D12" s="1">
        <v>51.25</v>
      </c>
      <c r="E12" s="1">
        <v>192.04</v>
      </c>
      <c r="F12" s="1">
        <v>191.19</v>
      </c>
      <c r="G12" s="1">
        <v>250.45</v>
      </c>
      <c r="H12" s="1">
        <v>361.6</v>
      </c>
      <c r="I12" s="1">
        <v>342.08</v>
      </c>
      <c r="J12" s="1">
        <v>323.36</v>
      </c>
      <c r="K12" s="1">
        <v>320.85000000000002</v>
      </c>
      <c r="L12" s="1">
        <v>610.80999999999995</v>
      </c>
      <c r="M12" s="1">
        <v>697.83</v>
      </c>
      <c r="N12" s="1">
        <v>646.74</v>
      </c>
    </row>
    <row r="13" spans="1:14" x14ac:dyDescent="0.15">
      <c r="A13" t="s">
        <v>27</v>
      </c>
      <c r="B13" s="1"/>
      <c r="C13" s="1"/>
      <c r="D13" s="1"/>
      <c r="E13" s="1">
        <v>21093.57</v>
      </c>
      <c r="F13" s="1">
        <v>25955.15</v>
      </c>
      <c r="G13" s="1">
        <v>27312.240000000002</v>
      </c>
      <c r="H13" s="1">
        <v>31689.33</v>
      </c>
      <c r="I13" s="1">
        <v>38825.58</v>
      </c>
      <c r="J13" s="1">
        <v>46778.54</v>
      </c>
      <c r="K13" s="1">
        <v>56571.73</v>
      </c>
      <c r="L13" s="1">
        <v>66000.03</v>
      </c>
      <c r="M13" s="1">
        <v>75954.28</v>
      </c>
      <c r="N13" s="1">
        <v>85399.73</v>
      </c>
    </row>
    <row r="14" spans="1:14" x14ac:dyDescent="0.15">
      <c r="B14" s="1"/>
      <c r="C14" s="1"/>
      <c r="D14" s="1"/>
      <c r="E14" s="1">
        <f>E12+E13</f>
        <v>21285.61</v>
      </c>
      <c r="F14" s="1">
        <f t="shared" ref="F14:N14" si="0">F12+F13</f>
        <v>26146.34</v>
      </c>
      <c r="G14" s="1">
        <f t="shared" si="0"/>
        <v>27562.690000000002</v>
      </c>
      <c r="H14" s="1">
        <f t="shared" si="0"/>
        <v>32050.93</v>
      </c>
      <c r="I14" s="1">
        <f t="shared" si="0"/>
        <v>39167.660000000003</v>
      </c>
      <c r="J14" s="1">
        <f t="shared" si="0"/>
        <v>47101.9</v>
      </c>
      <c r="K14" s="1">
        <f t="shared" si="0"/>
        <v>56892.58</v>
      </c>
      <c r="L14" s="1">
        <f t="shared" si="0"/>
        <v>66610.84</v>
      </c>
      <c r="M14" s="1">
        <f t="shared" si="0"/>
        <v>76652.11</v>
      </c>
      <c r="N14" s="1">
        <f t="shared" si="0"/>
        <v>86046.47</v>
      </c>
    </row>
    <row r="15" spans="1:14" x14ac:dyDescent="0.15">
      <c r="A15" t="s">
        <v>28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15">
      <c r="A16" t="s">
        <v>29</v>
      </c>
      <c r="B16" s="1"/>
      <c r="C16" s="1"/>
      <c r="D16" s="1"/>
      <c r="E16" s="1">
        <v>405.06</v>
      </c>
      <c r="F16" s="1">
        <v>472.45</v>
      </c>
      <c r="G16" s="1">
        <v>4432.6099999999997</v>
      </c>
      <c r="H16" s="1">
        <v>3428.77</v>
      </c>
      <c r="I16" s="1">
        <v>2457.0500000000002</v>
      </c>
      <c r="J16" s="1">
        <v>1905.15</v>
      </c>
      <c r="K16" s="1">
        <v>1250.74</v>
      </c>
      <c r="L16" s="1">
        <v>2236.83</v>
      </c>
      <c r="M16" s="1">
        <v>1983.86</v>
      </c>
      <c r="N16" s="1">
        <v>2426.9</v>
      </c>
    </row>
    <row r="17" spans="1:14" x14ac:dyDescent="0.15">
      <c r="A17" t="s">
        <v>30</v>
      </c>
      <c r="B17" s="1"/>
      <c r="C17" s="1"/>
      <c r="D17" s="1"/>
      <c r="E17" s="1">
        <v>12221.6</v>
      </c>
      <c r="F17" s="1">
        <v>13502.59</v>
      </c>
      <c r="G17" s="1">
        <v>10393.64</v>
      </c>
      <c r="H17" s="1">
        <v>16241.27</v>
      </c>
      <c r="I17" s="1">
        <v>10691.46</v>
      </c>
      <c r="J17" s="1">
        <v>9569.7199999999993</v>
      </c>
      <c r="K17" s="1">
        <v>10107.98</v>
      </c>
      <c r="L17" s="1">
        <v>12874.42</v>
      </c>
      <c r="M17" s="1">
        <v>14276.11</v>
      </c>
      <c r="N17" s="1">
        <v>19396.150000000001</v>
      </c>
    </row>
    <row r="18" spans="1:14" x14ac:dyDescent="0.15">
      <c r="A18" t="s">
        <v>31</v>
      </c>
      <c r="B18" s="1"/>
      <c r="C18" s="1"/>
      <c r="D18" s="1"/>
      <c r="E18" s="1">
        <v>9.44</v>
      </c>
      <c r="F18" s="1">
        <v>9.44</v>
      </c>
      <c r="G18" s="1">
        <v>9.44</v>
      </c>
      <c r="H18" s="1">
        <v>131.69</v>
      </c>
      <c r="I18" s="1">
        <v>207.81</v>
      </c>
      <c r="J18" s="1">
        <v>227.04</v>
      </c>
      <c r="K18" s="1">
        <v>268.99</v>
      </c>
      <c r="L18" s="1">
        <v>280.94</v>
      </c>
      <c r="M18" s="1">
        <v>557.52</v>
      </c>
      <c r="N18" s="1">
        <v>612.14</v>
      </c>
    </row>
    <row r="19" spans="1:14" x14ac:dyDescent="0.15">
      <c r="A19" t="s">
        <v>32</v>
      </c>
      <c r="B19" s="1"/>
      <c r="C19" s="1"/>
      <c r="D19" s="1"/>
      <c r="E19" s="1"/>
      <c r="F19" s="1"/>
      <c r="G19" s="1"/>
      <c r="H19" s="1"/>
      <c r="I19" s="1">
        <v>14592.23</v>
      </c>
      <c r="J19" s="1">
        <v>21899.68</v>
      </c>
      <c r="K19" s="1">
        <v>32183.47</v>
      </c>
      <c r="L19" s="1">
        <v>9414.6299999999992</v>
      </c>
      <c r="M19" s="1">
        <v>28825.89</v>
      </c>
      <c r="N19" s="1">
        <v>39007.81</v>
      </c>
    </row>
    <row r="20" spans="1:14" x14ac:dyDescent="0.15">
      <c r="A20" t="s">
        <v>33</v>
      </c>
      <c r="B20" s="1"/>
      <c r="C20" s="1"/>
      <c r="D20" s="1"/>
      <c r="E20" s="1">
        <v>443.6</v>
      </c>
      <c r="F20" s="1">
        <v>356.78</v>
      </c>
      <c r="G20" s="1">
        <v>388.08</v>
      </c>
      <c r="H20" s="1">
        <v>362.74</v>
      </c>
      <c r="I20" s="1">
        <v>316.08999999999997</v>
      </c>
      <c r="J20" s="1">
        <v>287.97000000000003</v>
      </c>
      <c r="K20" s="1">
        <v>727.48</v>
      </c>
      <c r="L20" s="1">
        <v>784.34</v>
      </c>
      <c r="M20" s="1">
        <v>788.9</v>
      </c>
      <c r="N20" s="1">
        <v>747.85</v>
      </c>
    </row>
    <row r="21" spans="1:14" x14ac:dyDescent="0.15">
      <c r="A21" t="s">
        <v>34</v>
      </c>
      <c r="B21" s="1">
        <v>229.68</v>
      </c>
      <c r="C21" s="1">
        <v>225.05</v>
      </c>
      <c r="D21" s="1">
        <v>217.73</v>
      </c>
      <c r="E21" s="1">
        <v>5.79</v>
      </c>
      <c r="F21" s="1">
        <v>142.51</v>
      </c>
      <c r="G21" s="1">
        <v>139.49</v>
      </c>
      <c r="H21" s="1">
        <v>157.97999999999999</v>
      </c>
      <c r="I21" s="1">
        <v>155.36000000000001</v>
      </c>
      <c r="J21" s="1">
        <v>165.76</v>
      </c>
      <c r="K21" s="1">
        <v>202.5</v>
      </c>
      <c r="L21" s="1">
        <v>198.65</v>
      </c>
      <c r="M21" s="1">
        <v>201.58</v>
      </c>
      <c r="N21" s="1">
        <v>184.62</v>
      </c>
    </row>
    <row r="22" spans="1:14" x14ac:dyDescent="0.15">
      <c r="A22" t="s">
        <v>35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15">
      <c r="A23" t="s">
        <v>36</v>
      </c>
      <c r="B23" s="1"/>
      <c r="C23" s="1"/>
      <c r="D23" s="1"/>
      <c r="E23" s="1">
        <v>262.37</v>
      </c>
      <c r="F23" s="1">
        <v>106.01</v>
      </c>
      <c r="G23" s="1">
        <v>106.45</v>
      </c>
      <c r="H23" s="1">
        <v>80.819999999999993</v>
      </c>
      <c r="I23" s="1">
        <v>122.24</v>
      </c>
      <c r="J23" s="1">
        <v>179.96</v>
      </c>
      <c r="K23" s="1">
        <v>296.01</v>
      </c>
      <c r="L23" s="1">
        <v>322.11</v>
      </c>
      <c r="M23" s="1">
        <v>425.67</v>
      </c>
      <c r="N23" s="1">
        <v>521.86</v>
      </c>
    </row>
    <row r="24" spans="1:14" x14ac:dyDescent="0.15">
      <c r="A24" t="s">
        <v>37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15">
      <c r="A25" t="s">
        <v>38</v>
      </c>
      <c r="B25" s="1"/>
      <c r="C25" s="1"/>
      <c r="D25" s="1"/>
      <c r="E25" s="1">
        <v>1007.71</v>
      </c>
      <c r="F25" s="1">
        <v>2980.28</v>
      </c>
      <c r="G25" s="1">
        <v>3070.47</v>
      </c>
      <c r="H25" s="1">
        <v>4545.82</v>
      </c>
      <c r="I25" s="1">
        <v>6414.35</v>
      </c>
      <c r="J25" s="1">
        <v>5578.95</v>
      </c>
      <c r="K25" s="1">
        <v>11165.12</v>
      </c>
      <c r="L25" s="1">
        <v>19639.04</v>
      </c>
      <c r="M25" s="1">
        <v>20411.240000000002</v>
      </c>
      <c r="N25" s="1">
        <v>9064.3700000000008</v>
      </c>
    </row>
    <row r="26" spans="1:14" x14ac:dyDescent="0.15">
      <c r="A26" t="s">
        <v>39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15">
      <c r="A27" t="s">
        <v>40</v>
      </c>
      <c r="B27" s="1">
        <v>26658.48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15">
      <c r="A28" s="2" t="s">
        <v>41</v>
      </c>
      <c r="B28" s="1">
        <v>28149.71</v>
      </c>
      <c r="C28" s="1">
        <v>31808.42</v>
      </c>
      <c r="D28" s="1">
        <v>39793.42</v>
      </c>
      <c r="E28" s="1">
        <v>50139.92</v>
      </c>
      <c r="F28" s="1">
        <v>63779.4</v>
      </c>
      <c r="G28" s="1">
        <v>70040.740000000005</v>
      </c>
      <c r="H28" s="1">
        <v>79208.86</v>
      </c>
      <c r="I28" s="1">
        <v>107661.26</v>
      </c>
      <c r="J28" s="1">
        <v>122622.98</v>
      </c>
      <c r="K28" s="1">
        <v>139977.01</v>
      </c>
      <c r="L28" s="1">
        <v>163725.12</v>
      </c>
      <c r="M28" s="1">
        <v>186991.52</v>
      </c>
      <c r="N28" s="1">
        <v>192061.62</v>
      </c>
    </row>
    <row r="29" spans="1:14" x14ac:dyDescent="0.15">
      <c r="A29" s="2" t="s">
        <v>42</v>
      </c>
      <c r="B29" s="3" t="s">
        <v>18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</row>
    <row r="30" spans="1:14" x14ac:dyDescent="0.15">
      <c r="A30" t="s">
        <v>43</v>
      </c>
      <c r="B30" s="1"/>
      <c r="C30" s="1"/>
      <c r="D30" s="1"/>
      <c r="E30" s="1">
        <v>618.91999999999996</v>
      </c>
      <c r="F30" s="1">
        <v>2401.13</v>
      </c>
      <c r="G30" s="1"/>
      <c r="H30" s="1">
        <v>2996.38</v>
      </c>
      <c r="I30" s="1">
        <v>10376.870000000001</v>
      </c>
      <c r="J30" s="1">
        <v>8748.74</v>
      </c>
      <c r="K30" s="1">
        <v>9576.0499999999993</v>
      </c>
      <c r="L30" s="1">
        <v>11673.21</v>
      </c>
      <c r="M30" s="1">
        <v>15500.32</v>
      </c>
      <c r="N30" s="1">
        <v>19758.82</v>
      </c>
    </row>
    <row r="31" spans="1:14" x14ac:dyDescent="0.15">
      <c r="A31" t="s">
        <v>44</v>
      </c>
      <c r="B31" s="1"/>
      <c r="C31" s="1"/>
      <c r="D31" s="1"/>
      <c r="E31" s="1"/>
      <c r="F31" s="1"/>
      <c r="G31" s="1">
        <v>2038.53</v>
      </c>
      <c r="H31" s="1"/>
      <c r="I31" s="1">
        <v>50</v>
      </c>
      <c r="J31" s="1">
        <v>57.4</v>
      </c>
      <c r="K31" s="1">
        <v>47.48</v>
      </c>
      <c r="L31" s="1">
        <v>59.39</v>
      </c>
      <c r="M31" s="1">
        <v>356.65</v>
      </c>
      <c r="N31" s="1">
        <v>250</v>
      </c>
    </row>
    <row r="32" spans="1:14" x14ac:dyDescent="0.15">
      <c r="A32" t="s">
        <v>45</v>
      </c>
      <c r="B32" s="1"/>
      <c r="C32" s="1"/>
      <c r="D32" s="1"/>
      <c r="E32" s="1"/>
      <c r="F32" s="1"/>
      <c r="G32" s="1">
        <v>2300</v>
      </c>
      <c r="H32" s="1">
        <v>1300</v>
      </c>
      <c r="I32" s="1">
        <v>3600</v>
      </c>
      <c r="J32" s="1">
        <v>3140.5</v>
      </c>
      <c r="K32" s="1">
        <v>3448.03</v>
      </c>
      <c r="L32" s="1">
        <v>562.07000000000005</v>
      </c>
      <c r="M32" s="1">
        <v>2347.13</v>
      </c>
      <c r="N32" s="1">
        <v>2546.75</v>
      </c>
    </row>
    <row r="33" spans="1:14" x14ac:dyDescent="0.15">
      <c r="A33" t="s">
        <v>46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15">
      <c r="A34" t="s">
        <v>47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15">
      <c r="A35" t="s">
        <v>48</v>
      </c>
      <c r="B35" s="1"/>
      <c r="C35" s="1"/>
      <c r="D35" s="1"/>
      <c r="E35" s="1">
        <v>3792.13</v>
      </c>
      <c r="F35" s="1">
        <v>8573.69</v>
      </c>
      <c r="G35" s="1">
        <v>7862.04</v>
      </c>
      <c r="H35" s="1">
        <v>5550.58</v>
      </c>
      <c r="I35" s="1">
        <v>10458.02</v>
      </c>
      <c r="J35" s="1">
        <v>15396.03</v>
      </c>
      <c r="K35" s="1">
        <v>6986.61</v>
      </c>
      <c r="L35" s="1">
        <v>9261.66</v>
      </c>
      <c r="M35" s="1">
        <v>11932.23</v>
      </c>
      <c r="N35" s="1">
        <v>3928.7</v>
      </c>
    </row>
    <row r="36" spans="1:14" x14ac:dyDescent="0.15">
      <c r="A36" t="s">
        <v>49</v>
      </c>
      <c r="B36" s="1"/>
      <c r="C36" s="1"/>
      <c r="D36" s="1"/>
      <c r="E36" s="1">
        <v>42761.96</v>
      </c>
      <c r="F36" s="1">
        <v>45657.57</v>
      </c>
      <c r="G36" s="1">
        <v>49786.9</v>
      </c>
      <c r="H36" s="1">
        <v>59127.69</v>
      </c>
      <c r="I36" s="1">
        <v>70155.75</v>
      </c>
      <c r="J36" s="1">
        <v>80275.55</v>
      </c>
      <c r="K36" s="1">
        <v>96637.21</v>
      </c>
      <c r="L36" s="1">
        <v>108116.48</v>
      </c>
      <c r="M36" s="1">
        <v>113568.48</v>
      </c>
      <c r="N36" s="1">
        <v>128697.65</v>
      </c>
    </row>
    <row r="37" spans="1:14" x14ac:dyDescent="0.15">
      <c r="B37" s="1"/>
      <c r="C37" s="1"/>
      <c r="D37" s="1"/>
      <c r="E37" s="1">
        <f>SUM(E30:E36)</f>
        <v>47173.01</v>
      </c>
      <c r="F37" s="1">
        <f t="shared" ref="F37:N37" si="1">SUM(F30:F36)</f>
        <v>56632.39</v>
      </c>
      <c r="G37" s="1">
        <f t="shared" si="1"/>
        <v>61987.47</v>
      </c>
      <c r="H37" s="1">
        <f t="shared" si="1"/>
        <v>68974.649999999994</v>
      </c>
      <c r="I37" s="1">
        <f t="shared" si="1"/>
        <v>94640.639999999999</v>
      </c>
      <c r="J37" s="1">
        <f t="shared" si="1"/>
        <v>107618.22</v>
      </c>
      <c r="K37" s="1">
        <f t="shared" si="1"/>
        <v>116695.38</v>
      </c>
      <c r="L37" s="1">
        <f t="shared" si="1"/>
        <v>129672.81</v>
      </c>
      <c r="M37" s="1">
        <f t="shared" si="1"/>
        <v>143704.81</v>
      </c>
      <c r="N37" s="1">
        <f t="shared" si="1"/>
        <v>155181.91999999998</v>
      </c>
    </row>
    <row r="38" spans="1:14" x14ac:dyDescent="0.15">
      <c r="A38" t="s">
        <v>50</v>
      </c>
      <c r="B38" s="1">
        <v>52.97</v>
      </c>
      <c r="C38" s="1">
        <v>69.37</v>
      </c>
      <c r="D38" s="1">
        <v>69.459999999999994</v>
      </c>
      <c r="E38" s="1">
        <v>154.07</v>
      </c>
      <c r="F38" s="1">
        <v>146.66</v>
      </c>
      <c r="G38" s="1">
        <v>116.49</v>
      </c>
      <c r="H38" s="1">
        <v>158.11000000000001</v>
      </c>
      <c r="I38" s="1">
        <v>169.42</v>
      </c>
      <c r="J38" s="1">
        <v>281.06</v>
      </c>
      <c r="K38" s="1">
        <v>330.92</v>
      </c>
      <c r="L38" s="1">
        <v>425.15</v>
      </c>
      <c r="M38" s="1">
        <v>483.14</v>
      </c>
      <c r="N38" s="1">
        <v>549.61</v>
      </c>
    </row>
    <row r="39" spans="1:14" x14ac:dyDescent="0.15">
      <c r="A39" t="s">
        <v>51</v>
      </c>
      <c r="B39" s="1">
        <v>21.61</v>
      </c>
      <c r="C39" s="1">
        <v>27.49</v>
      </c>
      <c r="D39" s="1">
        <v>28.07</v>
      </c>
      <c r="E39" s="1">
        <v>209.61</v>
      </c>
      <c r="F39" s="1">
        <v>268.22000000000003</v>
      </c>
      <c r="G39" s="1">
        <v>107.66</v>
      </c>
      <c r="H39" s="1">
        <v>116.25</v>
      </c>
      <c r="I39" s="1">
        <v>128.52000000000001</v>
      </c>
      <c r="J39" s="1">
        <v>201.45</v>
      </c>
      <c r="K39" s="1">
        <v>219.66</v>
      </c>
      <c r="L39" s="1">
        <v>262.33999999999997</v>
      </c>
      <c r="M39" s="1">
        <v>171.6</v>
      </c>
      <c r="N39" s="1">
        <v>30.36</v>
      </c>
    </row>
    <row r="40" spans="1:14" x14ac:dyDescent="0.15">
      <c r="A40" t="s">
        <v>52</v>
      </c>
      <c r="B40" s="1"/>
      <c r="C40" s="1"/>
      <c r="D40" s="1"/>
      <c r="E40" s="1">
        <v>192.78</v>
      </c>
      <c r="F40" s="1">
        <v>263.33999999999997</v>
      </c>
      <c r="G40" s="1">
        <v>375.25</v>
      </c>
      <c r="H40" s="1">
        <v>420.31</v>
      </c>
      <c r="I40" s="1">
        <v>539.64</v>
      </c>
      <c r="J40" s="1">
        <v>662.3</v>
      </c>
      <c r="K40" s="1">
        <v>985.32</v>
      </c>
      <c r="L40" s="1">
        <v>1459.24</v>
      </c>
      <c r="M40" s="1">
        <v>2355.25</v>
      </c>
      <c r="N40" s="1">
        <v>2766.23</v>
      </c>
    </row>
    <row r="41" spans="1:14" x14ac:dyDescent="0.15">
      <c r="A41" t="s">
        <v>53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15">
      <c r="A42" t="s">
        <v>54</v>
      </c>
      <c r="B42" s="1"/>
      <c r="C42" s="1"/>
      <c r="D42" s="1"/>
      <c r="E42" s="1"/>
      <c r="F42" s="1">
        <v>1011.21</v>
      </c>
      <c r="G42" s="1">
        <v>1012.57</v>
      </c>
      <c r="H42" s="1">
        <v>1014.02</v>
      </c>
      <c r="I42" s="1">
        <v>1015.54</v>
      </c>
      <c r="J42" s="1">
        <v>1017.15</v>
      </c>
      <c r="K42" s="1">
        <v>1001.06</v>
      </c>
      <c r="L42" s="1">
        <v>1001.76</v>
      </c>
      <c r="M42" s="1">
        <v>1002.51</v>
      </c>
      <c r="N42" s="1">
        <v>1003.31</v>
      </c>
    </row>
    <row r="43" spans="1:14" x14ac:dyDescent="0.15">
      <c r="A43" t="s">
        <v>55</v>
      </c>
      <c r="B43" s="1"/>
      <c r="C43" s="1"/>
      <c r="D43" s="1"/>
      <c r="E43" s="1"/>
      <c r="F43" s="1"/>
      <c r="G43" s="1">
        <v>37.81</v>
      </c>
      <c r="H43" s="1">
        <v>1.6</v>
      </c>
      <c r="I43" s="1"/>
      <c r="J43" s="1"/>
      <c r="K43" s="1">
        <v>4.04</v>
      </c>
      <c r="L43" s="1"/>
      <c r="M43" s="1">
        <v>5.84</v>
      </c>
      <c r="N43" s="1">
        <v>17.07</v>
      </c>
    </row>
    <row r="44" spans="1:14" x14ac:dyDescent="0.15">
      <c r="A44" t="s">
        <v>56</v>
      </c>
      <c r="B44" s="1"/>
      <c r="C44" s="1"/>
      <c r="D44" s="1"/>
      <c r="E44" s="1">
        <v>9.7899999999999991</v>
      </c>
      <c r="F44" s="1">
        <v>10.82</v>
      </c>
      <c r="G44" s="1">
        <v>16.04</v>
      </c>
      <c r="H44" s="1">
        <v>31.89</v>
      </c>
      <c r="I44" s="1">
        <v>22.14</v>
      </c>
      <c r="J44" s="1">
        <v>46.43</v>
      </c>
      <c r="K44" s="1">
        <v>26.77</v>
      </c>
      <c r="L44" s="1">
        <v>36.25</v>
      </c>
      <c r="M44" s="1"/>
      <c r="N44" s="1"/>
    </row>
    <row r="45" spans="1:14" x14ac:dyDescent="0.15">
      <c r="A45" t="s">
        <v>57</v>
      </c>
      <c r="B45" s="1"/>
      <c r="C45" s="1"/>
      <c r="D45" s="1"/>
      <c r="E45" s="1">
        <v>355.79</v>
      </c>
      <c r="F45" s="1">
        <v>2737.17</v>
      </c>
      <c r="G45" s="1">
        <v>2883.3</v>
      </c>
      <c r="H45" s="1">
        <v>4355.3599999999997</v>
      </c>
      <c r="I45" s="1">
        <v>6183.39</v>
      </c>
      <c r="J45" s="1">
        <v>5154.1000000000004</v>
      </c>
      <c r="K45" s="1">
        <v>11439.83</v>
      </c>
      <c r="L45" s="1">
        <v>20041.03</v>
      </c>
      <c r="M45" s="1">
        <v>20604.73</v>
      </c>
      <c r="N45" s="1">
        <v>9909.5</v>
      </c>
    </row>
    <row r="46" spans="1:14" x14ac:dyDescent="0.15">
      <c r="A46" t="s">
        <v>58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>
        <v>4882.26</v>
      </c>
      <c r="N46" s="1">
        <v>7443.17</v>
      </c>
    </row>
    <row r="47" spans="1:14" x14ac:dyDescent="0.15">
      <c r="A47" t="s">
        <v>59</v>
      </c>
      <c r="B47" s="1">
        <v>26810.97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15">
      <c r="A48" s="2" t="s">
        <v>60</v>
      </c>
      <c r="B48" s="1">
        <v>26885.56</v>
      </c>
      <c r="C48" s="1">
        <v>30522.78</v>
      </c>
      <c r="D48" s="1">
        <v>38350.639999999999</v>
      </c>
      <c r="E48" s="1">
        <v>48095.05</v>
      </c>
      <c r="F48" s="1">
        <v>61069.82</v>
      </c>
      <c r="G48" s="1">
        <v>66536.59</v>
      </c>
      <c r="H48" s="1">
        <v>75072.2</v>
      </c>
      <c r="I48" s="1">
        <v>102699.28</v>
      </c>
      <c r="J48" s="1">
        <v>114980.71</v>
      </c>
      <c r="K48" s="1">
        <v>130702.98</v>
      </c>
      <c r="L48" s="1">
        <v>152898.57</v>
      </c>
      <c r="M48" s="1">
        <v>173210.14</v>
      </c>
      <c r="N48" s="1">
        <v>176901.19</v>
      </c>
    </row>
    <row r="49" spans="1:14" x14ac:dyDescent="0.15">
      <c r="A49" s="2" t="s">
        <v>61</v>
      </c>
      <c r="B49" s="3" t="s">
        <v>18</v>
      </c>
      <c r="C49" s="3" t="s">
        <v>18</v>
      </c>
      <c r="D49" s="3" t="s">
        <v>18</v>
      </c>
      <c r="E49" s="3" t="s">
        <v>18</v>
      </c>
      <c r="F49" s="3" t="s">
        <v>18</v>
      </c>
      <c r="G49" s="3" t="s">
        <v>18</v>
      </c>
      <c r="H49" s="3" t="s">
        <v>18</v>
      </c>
      <c r="I49" s="3" t="s">
        <v>18</v>
      </c>
      <c r="J49" s="3" t="s">
        <v>18</v>
      </c>
      <c r="K49" s="3" t="s">
        <v>18</v>
      </c>
      <c r="L49" s="3" t="s">
        <v>18</v>
      </c>
      <c r="M49" s="3" t="s">
        <v>18</v>
      </c>
      <c r="N49" s="3" t="s">
        <v>18</v>
      </c>
    </row>
    <row r="50" spans="1:14" x14ac:dyDescent="0.15">
      <c r="A50" t="s">
        <v>62</v>
      </c>
      <c r="B50" s="1">
        <v>1089.22</v>
      </c>
      <c r="C50" s="1">
        <v>1089.22</v>
      </c>
      <c r="D50" s="1">
        <v>1089.22</v>
      </c>
      <c r="E50" s="1">
        <v>1636.8</v>
      </c>
      <c r="F50" s="1">
        <v>1636.8</v>
      </c>
      <c r="G50" s="1">
        <v>1636.8</v>
      </c>
      <c r="H50" s="1">
        <v>1636.8</v>
      </c>
      <c r="I50" s="1">
        <v>1636.8</v>
      </c>
      <c r="J50" s="1">
        <v>1980</v>
      </c>
      <c r="K50" s="1">
        <v>1980</v>
      </c>
      <c r="L50" s="1">
        <v>1980</v>
      </c>
      <c r="M50" s="1">
        <v>2180</v>
      </c>
      <c r="N50" s="1">
        <v>2180</v>
      </c>
    </row>
    <row r="51" spans="1:14" x14ac:dyDescent="0.15">
      <c r="A51" t="s">
        <v>63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15">
      <c r="A52" t="s">
        <v>64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15">
      <c r="A53" t="s">
        <v>65</v>
      </c>
      <c r="B53" s="1"/>
      <c r="C53" s="1"/>
      <c r="D53" s="1"/>
      <c r="E53" s="1">
        <v>31.51</v>
      </c>
      <c r="F53" s="1">
        <v>21.41</v>
      </c>
      <c r="G53" s="1">
        <v>97</v>
      </c>
      <c r="H53" s="1">
        <v>37.57</v>
      </c>
      <c r="I53" s="1">
        <v>30.33</v>
      </c>
      <c r="J53" s="1">
        <v>1234.5999999999999</v>
      </c>
      <c r="K53" s="1">
        <v>1246.97</v>
      </c>
      <c r="L53" s="1">
        <v>1215.4100000000001</v>
      </c>
      <c r="M53" s="1">
        <v>2101.4699999999998</v>
      </c>
      <c r="N53" s="1">
        <v>2101.4699999999998</v>
      </c>
    </row>
    <row r="54" spans="1:14" x14ac:dyDescent="0.15">
      <c r="A54" t="s">
        <v>66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15">
      <c r="A55" t="s">
        <v>67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>
        <v>17.420000000000002</v>
      </c>
      <c r="N55" s="1">
        <v>43.15</v>
      </c>
    </row>
    <row r="56" spans="1:14" x14ac:dyDescent="0.15">
      <c r="A56" t="s">
        <v>68</v>
      </c>
      <c r="B56" s="1">
        <v>154.36000000000001</v>
      </c>
      <c r="C56" s="1">
        <v>175.27</v>
      </c>
      <c r="D56" s="1">
        <v>335.14</v>
      </c>
      <c r="E56" s="1">
        <v>39.19</v>
      </c>
      <c r="F56" s="1">
        <v>118.13</v>
      </c>
      <c r="G56" s="1">
        <v>208.62</v>
      </c>
      <c r="H56" s="1">
        <v>299.43</v>
      </c>
      <c r="I56" s="1">
        <v>405.71</v>
      </c>
      <c r="J56" s="1">
        <v>538.07000000000005</v>
      </c>
      <c r="K56" s="1">
        <v>730.29</v>
      </c>
      <c r="L56" s="1">
        <v>926.76</v>
      </c>
      <c r="M56" s="1">
        <v>1152.92</v>
      </c>
      <c r="N56" s="1">
        <v>1338.93</v>
      </c>
    </row>
    <row r="57" spans="1:14" x14ac:dyDescent="0.15">
      <c r="A57" t="s">
        <v>69</v>
      </c>
      <c r="B57" s="1">
        <v>20.67</v>
      </c>
      <c r="C57" s="1">
        <v>21.27</v>
      </c>
      <c r="D57" s="1">
        <v>22.66</v>
      </c>
      <c r="E57" s="1">
        <v>227.37</v>
      </c>
      <c r="F57" s="1">
        <v>686.24</v>
      </c>
      <c r="G57" s="1">
        <v>1248.46</v>
      </c>
      <c r="H57" s="1">
        <v>1734.39</v>
      </c>
      <c r="I57" s="1">
        <v>2260.66</v>
      </c>
      <c r="J57" s="1">
        <v>2961.79</v>
      </c>
      <c r="K57" s="1">
        <v>3987.57</v>
      </c>
      <c r="L57" s="1">
        <v>4670.5600000000004</v>
      </c>
      <c r="M57" s="1">
        <v>5141.8999999999996</v>
      </c>
      <c r="N57" s="1">
        <v>5374.18</v>
      </c>
    </row>
    <row r="58" spans="1:14" x14ac:dyDescent="0.15">
      <c r="A58" t="s">
        <v>70</v>
      </c>
      <c r="B58" s="1"/>
      <c r="C58" s="1"/>
      <c r="D58" s="1"/>
      <c r="E58" s="1">
        <v>110</v>
      </c>
      <c r="F58" s="1">
        <v>247</v>
      </c>
      <c r="G58" s="1">
        <v>313.27</v>
      </c>
      <c r="H58" s="1">
        <v>413.27</v>
      </c>
      <c r="I58" s="1">
        <v>613.27</v>
      </c>
      <c r="J58" s="1">
        <v>863.27</v>
      </c>
      <c r="K58" s="1">
        <v>1263.27</v>
      </c>
      <c r="L58" s="1">
        <v>1963.27</v>
      </c>
      <c r="M58" s="1">
        <v>3113.27</v>
      </c>
      <c r="N58" s="1">
        <v>4043.27</v>
      </c>
    </row>
    <row r="59" spans="1:14" x14ac:dyDescent="0.15">
      <c r="A59" t="s">
        <v>71</v>
      </c>
      <c r="B59" s="1">
        <v>-0.11</v>
      </c>
      <c r="C59" s="1">
        <v>-0.11</v>
      </c>
      <c r="D59" s="1">
        <v>-4.24</v>
      </c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15">
      <c r="A60" t="s">
        <v>72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15">
      <c r="A61" t="s">
        <v>73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15">
      <c r="A62" t="s">
        <v>74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15">
      <c r="A63" s="2" t="s">
        <v>75</v>
      </c>
      <c r="B63" s="1">
        <v>1264.1400000000001</v>
      </c>
      <c r="C63" s="1">
        <v>1285.6400000000001</v>
      </c>
      <c r="D63" s="1">
        <v>1442.78</v>
      </c>
      <c r="E63" s="1">
        <v>2044.86</v>
      </c>
      <c r="F63" s="1">
        <v>2709.58</v>
      </c>
      <c r="G63" s="1">
        <v>3504.16</v>
      </c>
      <c r="H63" s="1">
        <v>4121.45</v>
      </c>
      <c r="I63" s="1">
        <v>4946.7700000000004</v>
      </c>
      <c r="J63" s="1">
        <v>7577.72</v>
      </c>
      <c r="K63" s="1">
        <v>9208.1</v>
      </c>
      <c r="L63" s="1">
        <v>10755.99</v>
      </c>
      <c r="M63" s="1">
        <v>13706.98</v>
      </c>
      <c r="N63" s="1">
        <v>15081</v>
      </c>
    </row>
    <row r="64" spans="1:14" x14ac:dyDescent="0.15">
      <c r="A64" t="s">
        <v>76</v>
      </c>
      <c r="B64" s="1"/>
      <c r="C64" s="1"/>
      <c r="D64" s="1"/>
      <c r="E64" s="1"/>
      <c r="F64" s="1"/>
      <c r="G64" s="1"/>
      <c r="H64" s="1">
        <v>15.21</v>
      </c>
      <c r="I64" s="1">
        <v>15.22</v>
      </c>
      <c r="J64" s="1">
        <v>64.55</v>
      </c>
      <c r="K64" s="1">
        <v>65.930000000000007</v>
      </c>
      <c r="L64" s="1">
        <v>70.569999999999993</v>
      </c>
      <c r="M64" s="1">
        <v>74.400000000000006</v>
      </c>
      <c r="N64" s="1">
        <v>79.430000000000007</v>
      </c>
    </row>
    <row r="65" spans="1:14" x14ac:dyDescent="0.15">
      <c r="A65" s="2" t="s">
        <v>77</v>
      </c>
      <c r="B65" s="1">
        <v>1264.1400000000001</v>
      </c>
      <c r="C65" s="1">
        <v>1285.6400000000001</v>
      </c>
      <c r="D65" s="1">
        <v>1442.78</v>
      </c>
      <c r="E65" s="1">
        <v>2044.86</v>
      </c>
      <c r="F65" s="1">
        <v>2709.58</v>
      </c>
      <c r="G65" s="1">
        <v>3504.16</v>
      </c>
      <c r="H65" s="1">
        <v>4136.66</v>
      </c>
      <c r="I65" s="1">
        <v>4961.9799999999996</v>
      </c>
      <c r="J65" s="1">
        <v>7642.27</v>
      </c>
      <c r="K65" s="1">
        <v>9274.0300000000007</v>
      </c>
      <c r="L65" s="1">
        <v>10826.56</v>
      </c>
      <c r="M65" s="1">
        <v>13781.37</v>
      </c>
      <c r="N65" s="1">
        <v>15160.43</v>
      </c>
    </row>
    <row r="66" spans="1:14" x14ac:dyDescent="0.15">
      <c r="A66" t="s">
        <v>78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15">
      <c r="A67" t="s">
        <v>79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15">
      <c r="A68" s="2" t="s">
        <v>80</v>
      </c>
      <c r="B68" s="1">
        <v>28149.71</v>
      </c>
      <c r="C68" s="1">
        <v>31808.42</v>
      </c>
      <c r="D68" s="1">
        <v>39793.42</v>
      </c>
      <c r="E68" s="1">
        <v>50139.92</v>
      </c>
      <c r="F68" s="1">
        <v>63779.4</v>
      </c>
      <c r="G68" s="1">
        <v>70040.740000000005</v>
      </c>
      <c r="H68" s="1">
        <v>79208.86</v>
      </c>
      <c r="I68" s="1">
        <v>107661.26</v>
      </c>
      <c r="J68" s="1">
        <v>122622.98</v>
      </c>
      <c r="K68" s="1">
        <v>139977.01</v>
      </c>
      <c r="L68" s="1">
        <v>163725.12</v>
      </c>
      <c r="M68" s="1">
        <v>186991.52</v>
      </c>
      <c r="N68" s="1">
        <v>192061.62</v>
      </c>
    </row>
    <row r="69" spans="1:14" x14ac:dyDescent="0.15">
      <c r="A69" t="s">
        <v>81</v>
      </c>
      <c r="B69" s="3" t="s">
        <v>82</v>
      </c>
      <c r="C69" s="3" t="s">
        <v>82</v>
      </c>
      <c r="D69" s="3" t="s">
        <v>82</v>
      </c>
      <c r="E69" s="3" t="s">
        <v>82</v>
      </c>
      <c r="F69" s="3" t="s">
        <v>82</v>
      </c>
      <c r="G69" s="3" t="s">
        <v>82</v>
      </c>
      <c r="H69" s="3" t="s">
        <v>82</v>
      </c>
      <c r="I69" s="3" t="s">
        <v>82</v>
      </c>
      <c r="J69" s="3" t="s">
        <v>82</v>
      </c>
      <c r="K69" s="3" t="s">
        <v>82</v>
      </c>
      <c r="L69" s="3" t="s">
        <v>82</v>
      </c>
      <c r="M69" s="3" t="s">
        <v>82</v>
      </c>
      <c r="N69" s="3" t="s">
        <v>82</v>
      </c>
    </row>
    <row r="70" spans="1:14" x14ac:dyDescent="0.15">
      <c r="A70" t="s">
        <v>83</v>
      </c>
      <c r="B70" s="3" t="s">
        <v>82</v>
      </c>
      <c r="C70" s="3" t="s">
        <v>82</v>
      </c>
      <c r="D70" s="3" t="s">
        <v>82</v>
      </c>
      <c r="E70" s="3" t="s">
        <v>82</v>
      </c>
      <c r="F70" s="3" t="s">
        <v>82</v>
      </c>
      <c r="G70" s="3" t="s">
        <v>82</v>
      </c>
      <c r="H70" s="3" t="s">
        <v>82</v>
      </c>
      <c r="I70" s="3" t="s">
        <v>82</v>
      </c>
      <c r="J70" s="3" t="s">
        <v>82</v>
      </c>
      <c r="K70" s="3" t="s">
        <v>82</v>
      </c>
      <c r="L70" s="3" t="s">
        <v>82</v>
      </c>
      <c r="M70" s="3" t="s">
        <v>82</v>
      </c>
      <c r="N70" s="3" t="s">
        <v>82</v>
      </c>
    </row>
    <row r="71" spans="1:14" x14ac:dyDescent="0.15">
      <c r="A71" t="s">
        <v>84</v>
      </c>
      <c r="B71" s="3" t="s">
        <v>85</v>
      </c>
      <c r="C71" s="3" t="s">
        <v>85</v>
      </c>
      <c r="D71" s="3" t="s">
        <v>85</v>
      </c>
      <c r="E71" s="3" t="s">
        <v>85</v>
      </c>
      <c r="F71" s="3" t="s">
        <v>85</v>
      </c>
      <c r="G71" s="3" t="s">
        <v>85</v>
      </c>
      <c r="H71" s="3" t="s">
        <v>85</v>
      </c>
      <c r="I71" s="3" t="s">
        <v>85</v>
      </c>
      <c r="J71" s="3" t="s">
        <v>85</v>
      </c>
      <c r="K71" s="3" t="s">
        <v>85</v>
      </c>
      <c r="L71" s="3" t="s">
        <v>85</v>
      </c>
      <c r="M71" s="3" t="s">
        <v>85</v>
      </c>
      <c r="N71" s="3" t="s">
        <v>85</v>
      </c>
    </row>
    <row r="72" spans="1:14" x14ac:dyDescent="0.15">
      <c r="A72" t="s">
        <v>86</v>
      </c>
      <c r="B72" s="3" t="s">
        <v>87</v>
      </c>
      <c r="C72" s="3" t="s">
        <v>87</v>
      </c>
      <c r="D72" s="3" t="s">
        <v>87</v>
      </c>
      <c r="E72" s="3" t="s">
        <v>87</v>
      </c>
      <c r="F72" s="3" t="s">
        <v>87</v>
      </c>
      <c r="G72" s="3" t="s">
        <v>87</v>
      </c>
      <c r="H72" s="3" t="s">
        <v>87</v>
      </c>
      <c r="I72" s="3" t="s">
        <v>87</v>
      </c>
      <c r="J72" s="3" t="s">
        <v>87</v>
      </c>
      <c r="K72" s="3" t="s">
        <v>87</v>
      </c>
      <c r="L72" s="3" t="s">
        <v>87</v>
      </c>
      <c r="M72" s="3" t="s">
        <v>87</v>
      </c>
      <c r="N72" s="3" t="s">
        <v>87</v>
      </c>
    </row>
    <row r="73" spans="1:14" x14ac:dyDescent="0.15">
      <c r="A73" t="s">
        <v>88</v>
      </c>
      <c r="B73" s="3" t="s">
        <v>18</v>
      </c>
      <c r="C73" s="3" t="s">
        <v>89</v>
      </c>
      <c r="D73" s="3" t="s">
        <v>89</v>
      </c>
      <c r="E73" s="3" t="s">
        <v>89</v>
      </c>
      <c r="F73" s="3" t="s">
        <v>89</v>
      </c>
      <c r="G73" s="3" t="s">
        <v>89</v>
      </c>
      <c r="H73" s="3" t="s">
        <v>89</v>
      </c>
      <c r="I73" s="3" t="s">
        <v>89</v>
      </c>
      <c r="J73" s="3" t="s">
        <v>89</v>
      </c>
      <c r="K73" s="3" t="s">
        <v>89</v>
      </c>
      <c r="L73" s="3" t="s">
        <v>89</v>
      </c>
      <c r="M73" s="3" t="s">
        <v>89</v>
      </c>
      <c r="N73" s="3" t="s">
        <v>89</v>
      </c>
    </row>
    <row r="74" spans="1:14" x14ac:dyDescent="0.15">
      <c r="A74" t="s">
        <v>90</v>
      </c>
      <c r="B74" s="3" t="s">
        <v>18</v>
      </c>
      <c r="C74" s="3" t="s">
        <v>18</v>
      </c>
      <c r="D74" s="3" t="s">
        <v>18</v>
      </c>
      <c r="E74" s="3" t="s">
        <v>18</v>
      </c>
      <c r="F74" s="3" t="s">
        <v>18</v>
      </c>
      <c r="G74" s="3" t="s">
        <v>18</v>
      </c>
      <c r="H74" s="3" t="s">
        <v>18</v>
      </c>
      <c r="I74" s="3" t="s">
        <v>18</v>
      </c>
      <c r="J74" s="3" t="s">
        <v>18</v>
      </c>
      <c r="K74" s="3" t="s">
        <v>18</v>
      </c>
      <c r="L74" s="3" t="s">
        <v>18</v>
      </c>
      <c r="M74" s="3" t="s">
        <v>18</v>
      </c>
      <c r="N74" s="3" t="s">
        <v>18</v>
      </c>
    </row>
    <row r="75" spans="1:14" x14ac:dyDescent="0.15">
      <c r="A75" t="s">
        <v>91</v>
      </c>
      <c r="D75" t="s">
        <v>92</v>
      </c>
      <c r="E75" t="s">
        <v>92</v>
      </c>
      <c r="F75" t="s">
        <v>92</v>
      </c>
      <c r="G75" t="s">
        <v>92</v>
      </c>
      <c r="H75" t="s">
        <v>92</v>
      </c>
      <c r="I75" t="s">
        <v>92</v>
      </c>
      <c r="J75" t="s">
        <v>92</v>
      </c>
      <c r="K75" t="s">
        <v>92</v>
      </c>
      <c r="L75" t="s">
        <v>92</v>
      </c>
      <c r="M75" t="s">
        <v>92</v>
      </c>
      <c r="N75" t="s">
        <v>92</v>
      </c>
    </row>
    <row r="76" spans="1:14" x14ac:dyDescent="0.15">
      <c r="A76" t="s">
        <v>93</v>
      </c>
      <c r="B76" s="3" t="s">
        <v>94</v>
      </c>
      <c r="C76" s="3" t="s">
        <v>94</v>
      </c>
      <c r="D76" s="3" t="s">
        <v>94</v>
      </c>
      <c r="E76" s="3" t="s">
        <v>95</v>
      </c>
      <c r="F76" s="3" t="s">
        <v>96</v>
      </c>
      <c r="G76" s="3" t="s">
        <v>97</v>
      </c>
      <c r="H76" s="3" t="s">
        <v>98</v>
      </c>
      <c r="I76" s="3" t="s">
        <v>99</v>
      </c>
      <c r="J76" s="3" t="s">
        <v>100</v>
      </c>
      <c r="K76" s="3" t="s">
        <v>101</v>
      </c>
      <c r="L76" s="3" t="s">
        <v>102</v>
      </c>
      <c r="M76" s="3" t="s">
        <v>103</v>
      </c>
      <c r="N76" s="3" t="s">
        <v>104</v>
      </c>
    </row>
    <row r="77" spans="1:14" x14ac:dyDescent="0.15">
      <c r="A77" t="s">
        <v>105</v>
      </c>
      <c r="B77" s="3" t="s">
        <v>106</v>
      </c>
      <c r="C77" s="3" t="s">
        <v>106</v>
      </c>
      <c r="D77" s="3" t="s">
        <v>106</v>
      </c>
      <c r="E77" s="3" t="s">
        <v>107</v>
      </c>
      <c r="F77" s="3" t="s">
        <v>107</v>
      </c>
      <c r="G77" s="3" t="s">
        <v>107</v>
      </c>
      <c r="H77" s="3" t="s">
        <v>107</v>
      </c>
      <c r="I77" s="3" t="s">
        <v>107</v>
      </c>
      <c r="J77" s="3" t="s">
        <v>107</v>
      </c>
      <c r="K77" s="3" t="s">
        <v>107</v>
      </c>
      <c r="L77" s="3" t="s">
        <v>107</v>
      </c>
      <c r="M77" s="3" t="s">
        <v>107</v>
      </c>
      <c r="N77" s="3" t="s">
        <v>107</v>
      </c>
    </row>
    <row r="81" spans="1:1" x14ac:dyDescent="0.15">
      <c r="A81" t="s">
        <v>108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F0200421.00-资产负债表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2016-05-31T07:28:28Z</dcterms:created>
  <dcterms:modified xsi:type="dcterms:W3CDTF">2016-05-31T07:34:16Z</dcterms:modified>
</cp:coreProperties>
</file>