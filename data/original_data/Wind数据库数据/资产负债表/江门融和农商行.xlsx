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743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2" l="1"/>
  <c r="F11" i="2"/>
  <c r="G11" i="2"/>
  <c r="D11" i="2"/>
  <c r="E27" i="2"/>
  <c r="F27" i="2"/>
  <c r="G27" i="2"/>
  <c r="D27" i="2"/>
</calcChain>
</file>

<file path=xl/sharedStrings.xml><?xml version="1.0" encoding="utf-8"?>
<sst xmlns="http://schemas.openxmlformats.org/spreadsheetml/2006/main" count="132" uniqueCount="70">
  <si>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</si>
  <si>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</si>
  <si>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</si>
  <si>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</si>
  <si>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</si>
  <si>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</si>
  <si>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</si>
  <si>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</si>
  <si>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</si>
  <si>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</si>
  <si>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</si>
  <si>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</si>
  <si>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</si>
  <si>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</si>
  <si>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</si>
  <si>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</si>
  <si>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</si>
  <si>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</si>
  <si>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</si>
  <si>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</si>
  <si>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</si>
  <si>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</si>
  <si>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</si>
  <si>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</si>
  <si>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</si>
  <si>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</si>
  <si>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</si>
  <si>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</si>
  <si>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</si>
  <si>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</si>
  <si>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</si>
  <si>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卖出回购金融资产款</t>
  </si>
  <si>
    <t>　　吸收存款</t>
  </si>
  <si>
    <t>　　应付职工薪酬</t>
  </si>
  <si>
    <t>　　应交税费</t>
  </si>
  <si>
    <t>　　应付利息</t>
  </si>
  <si>
    <t>　　递延所得税负债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</si>
  <si>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</si>
  <si>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</si>
  <si>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</si>
  <si>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</si>
  <si>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</si>
  <si>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</si>
  <si>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</si>
  <si>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</si>
  <si>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</si>
  <si>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</si>
  <si>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</si>
  <si>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</si>
  <si>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</si>
  <si>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</si>
  <si>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</si>
  <si>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</si>
  <si>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</si>
  <si>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</si>
  <si>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</si>
  <si>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</si>
  <si>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</si>
  <si>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</si>
  <si>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</si>
  <si>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</si>
  <si>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</si>
  <si>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</si>
  <si>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2013-04-30</t>
  </si>
  <si>
    <t>2014-03-30</t>
  </si>
  <si>
    <t>2015-03-31</t>
  </si>
  <si>
    <t>2016-03-31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</si>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</sst>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178" fontId="0" fillId="0" borderId="0" xfId="0" quotePrefix="1" applyNumberFormat="1">
      <alignment vertical="center"/>
    </xf>
    <xf numFmtId="178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topLeftCell="A25" workbookViewId="0">
      <selection activeCell="G44" sqref="G44"/>
    </sheetView>
  </sheetViews>
  <sheetFormatPr defaultRowHeight="13.5" x14ac:dyDescent="0.15"/>
  <cols>
    <col min="1" max="1" width="34.125" bestFit="1" customWidth="1"/>
    <col min="2" max="3" width="10.25" customWidth="1"/>
    <col min="4" max="7" width="15.125" bestFit="1" customWidth="1"/>
  </cols>
  <sheetData>
    <row r="1" spans="1:7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15">
      <c r="A2" s="1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 spans="1:7" x14ac:dyDescent="0.15">
      <c r="A3" s="1" t="s">
        <v>8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</row>
    <row r="4" spans="1:7" x14ac:dyDescent="0.15">
      <c r="A4" s="3" t="s">
        <v>10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11</v>
      </c>
    </row>
    <row r="5" spans="1:7" x14ac:dyDescent="0.15">
      <c r="A5" s="1" t="s">
        <v>12</v>
      </c>
      <c r="B5" s="1"/>
      <c r="C5" s="1"/>
      <c r="D5" s="1">
        <v>3526.97</v>
      </c>
      <c r="E5" s="1">
        <v>4555.3500000000004</v>
      </c>
      <c r="F5" s="1">
        <v>4626.75</v>
      </c>
      <c r="G5" s="1">
        <v>4325.5</v>
      </c>
    </row>
    <row r="6" spans="1:7" x14ac:dyDescent="0.15">
      <c r="A6" s="1" t="s">
        <v>13</v>
      </c>
      <c r="B6" s="1"/>
      <c r="C6" s="1"/>
      <c r="D6" s="1">
        <v>2337.2199999999998</v>
      </c>
      <c r="E6" s="1">
        <v>1963.66</v>
      </c>
      <c r="F6" s="1">
        <v>2426.15</v>
      </c>
      <c r="G6" s="1">
        <v>1968.72</v>
      </c>
    </row>
    <row r="7" spans="1:7" x14ac:dyDescent="0.15">
      <c r="A7" s="1" t="s">
        <v>14</v>
      </c>
      <c r="B7" s="1"/>
      <c r="C7" s="1"/>
      <c r="D7" s="1"/>
      <c r="E7" s="1"/>
      <c r="F7" s="1"/>
      <c r="G7" s="1">
        <v>129.87</v>
      </c>
    </row>
    <row r="8" spans="1:7" x14ac:dyDescent="0.15">
      <c r="A8" s="1" t="s">
        <v>15</v>
      </c>
      <c r="B8" s="1"/>
      <c r="C8" s="1"/>
      <c r="D8" s="1"/>
      <c r="E8" s="1">
        <v>492.69</v>
      </c>
      <c r="F8" s="1">
        <v>95.28</v>
      </c>
      <c r="G8" s="1"/>
    </row>
    <row r="9" spans="1:7" x14ac:dyDescent="0.15">
      <c r="A9" s="1" t="s">
        <v>16</v>
      </c>
      <c r="B9" s="1"/>
      <c r="C9" s="1"/>
      <c r="D9" s="1">
        <v>45.06</v>
      </c>
      <c r="E9" s="1">
        <v>106.02</v>
      </c>
      <c r="F9" s="1">
        <v>161.62</v>
      </c>
      <c r="G9" s="1">
        <v>126.32</v>
      </c>
    </row>
    <row r="10" spans="1:7" x14ac:dyDescent="0.15">
      <c r="A10" s="1" t="s">
        <v>17</v>
      </c>
      <c r="B10" s="1"/>
      <c r="C10" s="1"/>
      <c r="D10" s="1">
        <v>11003.14</v>
      </c>
      <c r="E10" s="1">
        <v>12726.49</v>
      </c>
      <c r="F10" s="1">
        <v>15232.81</v>
      </c>
      <c r="G10" s="1">
        <v>15236.99</v>
      </c>
    </row>
    <row r="11" spans="1:7" x14ac:dyDescent="0.15">
      <c r="A11" s="1"/>
      <c r="B11" s="1"/>
      <c r="C11" s="1"/>
      <c r="D11" s="1">
        <f>D9+D10</f>
        <v>11048.199999999999</v>
      </c>
      <c r="E11" s="1">
        <f t="shared" ref="E11:G11" si="0">E9+E10</f>
        <v>12832.51</v>
      </c>
      <c r="F11" s="1">
        <f t="shared" si="0"/>
        <v>15394.43</v>
      </c>
      <c r="G11" s="1">
        <f t="shared" si="0"/>
        <v>15363.31</v>
      </c>
    </row>
    <row r="12" spans="1:7" x14ac:dyDescent="0.15">
      <c r="A12" s="1" t="s">
        <v>18</v>
      </c>
      <c r="B12" s="1"/>
      <c r="C12" s="1"/>
      <c r="D12" s="1">
        <v>479.66</v>
      </c>
      <c r="E12" s="1">
        <v>544.59</v>
      </c>
      <c r="F12" s="1">
        <v>828.49</v>
      </c>
      <c r="G12" s="1">
        <v>1250.51</v>
      </c>
    </row>
    <row r="13" spans="1:7" x14ac:dyDescent="0.15">
      <c r="A13" s="1" t="s">
        <v>19</v>
      </c>
      <c r="B13" s="1"/>
      <c r="C13" s="1"/>
      <c r="D13" s="1">
        <v>520</v>
      </c>
      <c r="E13" s="1">
        <v>1019.15</v>
      </c>
      <c r="F13" s="1">
        <v>818.97</v>
      </c>
      <c r="G13" s="1">
        <v>691.95</v>
      </c>
    </row>
    <row r="14" spans="1:7" x14ac:dyDescent="0.15">
      <c r="A14" s="1" t="s">
        <v>20</v>
      </c>
      <c r="B14" s="1"/>
      <c r="C14" s="1"/>
      <c r="D14" s="1">
        <v>184</v>
      </c>
      <c r="E14" s="1">
        <v>184</v>
      </c>
      <c r="F14" s="1"/>
      <c r="G14" s="1"/>
    </row>
    <row r="15" spans="1:7" x14ac:dyDescent="0.15">
      <c r="A15" s="1" t="s">
        <v>21</v>
      </c>
      <c r="B15" s="1"/>
      <c r="C15" s="1"/>
      <c r="D15" s="1">
        <v>233.32</v>
      </c>
      <c r="E15" s="1">
        <v>859.01</v>
      </c>
      <c r="F15" s="1">
        <v>1696.65</v>
      </c>
      <c r="G15" s="1">
        <v>2924.56</v>
      </c>
    </row>
    <row r="16" spans="1:7" x14ac:dyDescent="0.15">
      <c r="A16" s="1" t="s">
        <v>22</v>
      </c>
      <c r="B16" s="1"/>
      <c r="C16" s="1"/>
      <c r="D16" s="1">
        <v>793.11</v>
      </c>
      <c r="E16" s="1">
        <v>759.7</v>
      </c>
      <c r="F16" s="1">
        <v>229.54</v>
      </c>
      <c r="G16" s="1">
        <v>217.13</v>
      </c>
    </row>
    <row r="17" spans="1:7" x14ac:dyDescent="0.15">
      <c r="A17" s="1" t="s">
        <v>23</v>
      </c>
      <c r="B17" s="1"/>
      <c r="C17" s="1"/>
      <c r="D17" s="1">
        <v>19.440000000000001</v>
      </c>
      <c r="E17" s="1">
        <v>17.579999999999998</v>
      </c>
      <c r="F17" s="1">
        <v>15.97</v>
      </c>
      <c r="G17" s="1">
        <v>14.76</v>
      </c>
    </row>
    <row r="18" spans="1:7" x14ac:dyDescent="0.15">
      <c r="A18" s="1" t="s">
        <v>24</v>
      </c>
      <c r="B18" s="1"/>
      <c r="C18" s="1"/>
      <c r="D18" s="1">
        <v>44.77</v>
      </c>
      <c r="E18" s="1">
        <v>52.02</v>
      </c>
      <c r="F18" s="1">
        <v>23.09</v>
      </c>
      <c r="G18" s="1">
        <v>163.38</v>
      </c>
    </row>
    <row r="19" spans="1:7" x14ac:dyDescent="0.15">
      <c r="A19" s="1" t="s">
        <v>25</v>
      </c>
      <c r="B19" s="1">
        <v>13068.66</v>
      </c>
      <c r="C19" s="1">
        <v>15990.87</v>
      </c>
      <c r="D19" s="1"/>
      <c r="E19" s="1">
        <v>538.1</v>
      </c>
      <c r="F19" s="1">
        <v>1589.1</v>
      </c>
      <c r="G19" s="1">
        <v>2425.19</v>
      </c>
    </row>
    <row r="20" spans="1:7" x14ac:dyDescent="0.15">
      <c r="A20" s="1" t="s">
        <v>26</v>
      </c>
      <c r="B20" s="1"/>
      <c r="C20" s="1"/>
      <c r="D20" s="1">
        <v>395.05</v>
      </c>
      <c r="E20" s="1">
        <v>392.48</v>
      </c>
      <c r="F20" s="1">
        <v>347.88</v>
      </c>
      <c r="G20" s="1">
        <v>346.99</v>
      </c>
    </row>
    <row r="21" spans="1:7" x14ac:dyDescent="0.15">
      <c r="A21" s="3" t="s">
        <v>27</v>
      </c>
      <c r="B21" s="1">
        <v>13068.66</v>
      </c>
      <c r="C21" s="1">
        <v>15990.87</v>
      </c>
      <c r="D21" s="1">
        <v>19581.759999999998</v>
      </c>
      <c r="E21" s="1">
        <v>24210.85</v>
      </c>
      <c r="F21" s="1">
        <v>28092.3</v>
      </c>
      <c r="G21" s="1">
        <v>29821.87</v>
      </c>
    </row>
    <row r="22" spans="1:7" x14ac:dyDescent="0.15">
      <c r="A22" s="3" t="s">
        <v>28</v>
      </c>
      <c r="B22" s="2" t="s">
        <v>11</v>
      </c>
      <c r="C22" s="2" t="s">
        <v>11</v>
      </c>
      <c r="D22" s="2" t="s">
        <v>11</v>
      </c>
      <c r="E22" s="2" t="s">
        <v>11</v>
      </c>
      <c r="F22" s="2" t="s">
        <v>11</v>
      </c>
      <c r="G22" s="2" t="s">
        <v>11</v>
      </c>
    </row>
    <row r="23" spans="1:7" x14ac:dyDescent="0.15">
      <c r="A23" s="1" t="s">
        <v>29</v>
      </c>
      <c r="B23" s="1"/>
      <c r="C23" s="1"/>
      <c r="D23" s="1">
        <v>1000</v>
      </c>
      <c r="E23" s="1">
        <v>2143.17</v>
      </c>
      <c r="F23" s="1">
        <v>2649.58</v>
      </c>
      <c r="G23" s="1">
        <v>2273.27</v>
      </c>
    </row>
    <row r="24" spans="1:7" x14ac:dyDescent="0.15">
      <c r="A24" s="1" t="s">
        <v>30</v>
      </c>
      <c r="B24" s="1"/>
      <c r="C24" s="1"/>
      <c r="D24" s="1"/>
      <c r="E24" s="1"/>
      <c r="F24" s="1">
        <v>65</v>
      </c>
      <c r="G24" s="1">
        <v>102</v>
      </c>
    </row>
    <row r="25" spans="1:7" x14ac:dyDescent="0.15">
      <c r="A25" s="1" t="s">
        <v>31</v>
      </c>
      <c r="B25" s="1"/>
      <c r="C25" s="1"/>
      <c r="D25" s="1"/>
      <c r="E25" s="1"/>
      <c r="F25" s="1">
        <v>227.87</v>
      </c>
      <c r="G25" s="1"/>
    </row>
    <row r="26" spans="1:7" x14ac:dyDescent="0.15">
      <c r="A26" s="1" t="s">
        <v>32</v>
      </c>
      <c r="B26" s="1"/>
      <c r="C26" s="1"/>
      <c r="D26" s="1">
        <v>15582.07</v>
      </c>
      <c r="E26" s="1">
        <v>18715.810000000001</v>
      </c>
      <c r="F26" s="1">
        <v>21373.83</v>
      </c>
      <c r="G26" s="1">
        <v>23589.17</v>
      </c>
    </row>
    <row r="27" spans="1:7" x14ac:dyDescent="0.15">
      <c r="A27" s="1"/>
      <c r="B27" s="1"/>
      <c r="C27" s="1"/>
      <c r="D27" s="1">
        <f>SUM(D23:D26)</f>
        <v>16582.07</v>
      </c>
      <c r="E27" s="1">
        <f t="shared" ref="E27:G27" si="1">SUM(E23:E26)</f>
        <v>20858.980000000003</v>
      </c>
      <c r="F27" s="1">
        <f t="shared" si="1"/>
        <v>24316.280000000002</v>
      </c>
      <c r="G27" s="1">
        <f t="shared" si="1"/>
        <v>25964.44</v>
      </c>
    </row>
    <row r="28" spans="1:7" x14ac:dyDescent="0.15">
      <c r="A28" s="1" t="s">
        <v>33</v>
      </c>
      <c r="B28" s="1"/>
      <c r="C28" s="1"/>
      <c r="D28" s="1">
        <v>46.04</v>
      </c>
      <c r="E28" s="1">
        <v>42.7</v>
      </c>
      <c r="F28" s="1">
        <v>47.1</v>
      </c>
      <c r="G28" s="1">
        <v>34.880000000000003</v>
      </c>
    </row>
    <row r="29" spans="1:7" x14ac:dyDescent="0.15">
      <c r="A29" s="1" t="s">
        <v>34</v>
      </c>
      <c r="B29" s="1"/>
      <c r="C29" s="1"/>
      <c r="D29" s="1">
        <v>92.67</v>
      </c>
      <c r="E29" s="1">
        <v>76.25</v>
      </c>
      <c r="F29" s="1">
        <v>60.64</v>
      </c>
      <c r="G29" s="1">
        <v>65.47</v>
      </c>
    </row>
    <row r="30" spans="1:7" x14ac:dyDescent="0.15">
      <c r="A30" s="1" t="s">
        <v>35</v>
      </c>
      <c r="B30" s="1"/>
      <c r="C30" s="1"/>
      <c r="D30" s="1">
        <v>186.61</v>
      </c>
      <c r="E30" s="1">
        <v>298.18</v>
      </c>
      <c r="F30" s="1">
        <v>407.72</v>
      </c>
      <c r="G30" s="1">
        <v>441.69</v>
      </c>
    </row>
    <row r="31" spans="1:7" x14ac:dyDescent="0.15">
      <c r="A31" s="1" t="s">
        <v>36</v>
      </c>
      <c r="B31" s="1"/>
      <c r="C31" s="1"/>
      <c r="D31" s="1">
        <v>31.57</v>
      </c>
      <c r="E31" s="1">
        <v>27.65</v>
      </c>
      <c r="F31" s="1">
        <v>21.5</v>
      </c>
      <c r="G31" s="1">
        <v>19.45</v>
      </c>
    </row>
    <row r="32" spans="1:7" x14ac:dyDescent="0.15">
      <c r="A32" s="1" t="s">
        <v>37</v>
      </c>
      <c r="B32" s="1">
        <v>12331.03</v>
      </c>
      <c r="C32" s="1">
        <v>13595.79</v>
      </c>
      <c r="D32" s="1">
        <v>4.34</v>
      </c>
      <c r="E32" s="1">
        <v>16.5</v>
      </c>
      <c r="F32" s="1">
        <v>5.14</v>
      </c>
      <c r="G32" s="1">
        <v>4.1500000000000004</v>
      </c>
    </row>
    <row r="33" spans="1:7" x14ac:dyDescent="0.15">
      <c r="A33" s="1" t="s">
        <v>38</v>
      </c>
      <c r="B33" s="1"/>
      <c r="C33" s="1"/>
      <c r="D33" s="1">
        <v>12.07</v>
      </c>
      <c r="E33" s="1">
        <v>49.53</v>
      </c>
      <c r="F33" s="1">
        <v>20.9</v>
      </c>
      <c r="G33" s="1">
        <v>17.88</v>
      </c>
    </row>
    <row r="34" spans="1:7" x14ac:dyDescent="0.15">
      <c r="A34" s="3" t="s">
        <v>39</v>
      </c>
      <c r="B34" s="1">
        <v>12331.03</v>
      </c>
      <c r="C34" s="1">
        <v>13595.79</v>
      </c>
      <c r="D34" s="1">
        <v>16955.38</v>
      </c>
      <c r="E34" s="1">
        <v>21369.78</v>
      </c>
      <c r="F34" s="1">
        <v>24887.4</v>
      </c>
      <c r="G34" s="1">
        <v>26554.880000000001</v>
      </c>
    </row>
    <row r="35" spans="1:7" x14ac:dyDescent="0.15">
      <c r="A35" s="3" t="s">
        <v>40</v>
      </c>
      <c r="B35" s="2" t="s">
        <v>11</v>
      </c>
      <c r="C35" s="2" t="s">
        <v>11</v>
      </c>
      <c r="D35" s="2" t="s">
        <v>11</v>
      </c>
      <c r="E35" s="2" t="s">
        <v>11</v>
      </c>
      <c r="F35" s="2" t="s">
        <v>11</v>
      </c>
      <c r="G35" s="2" t="s">
        <v>11</v>
      </c>
    </row>
    <row r="36" spans="1:7" x14ac:dyDescent="0.15">
      <c r="A36" s="1" t="s">
        <v>41</v>
      </c>
      <c r="B36" s="1"/>
      <c r="C36" s="1"/>
      <c r="D36" s="1">
        <v>1100</v>
      </c>
      <c r="E36" s="1">
        <v>1210</v>
      </c>
      <c r="F36" s="1">
        <v>1270.5</v>
      </c>
      <c r="G36" s="1">
        <v>1397.55</v>
      </c>
    </row>
    <row r="37" spans="1:7" x14ac:dyDescent="0.15">
      <c r="A37" s="1" t="s">
        <v>42</v>
      </c>
      <c r="B37" s="1"/>
      <c r="C37" s="1"/>
      <c r="D37" s="1">
        <v>913.99</v>
      </c>
      <c r="E37" s="1">
        <v>804.14</v>
      </c>
      <c r="F37" s="1">
        <v>743.55</v>
      </c>
      <c r="G37" s="1">
        <v>616.5</v>
      </c>
    </row>
    <row r="38" spans="1:7" x14ac:dyDescent="0.15">
      <c r="A38" s="1" t="s">
        <v>43</v>
      </c>
      <c r="B38" s="1"/>
      <c r="C38" s="1"/>
      <c r="D38" s="1"/>
      <c r="E38" s="1"/>
      <c r="F38" s="1">
        <v>0.46</v>
      </c>
      <c r="G38" s="1">
        <v>4.18</v>
      </c>
    </row>
    <row r="39" spans="1:7" x14ac:dyDescent="0.15">
      <c r="A39" s="1" t="s">
        <v>44</v>
      </c>
      <c r="B39" s="1"/>
      <c r="C39" s="1"/>
      <c r="D39" s="1">
        <v>88.27</v>
      </c>
      <c r="E39" s="1">
        <v>123.48</v>
      </c>
      <c r="F39" s="1">
        <v>146.88999999999999</v>
      </c>
      <c r="G39" s="1">
        <v>164.97</v>
      </c>
    </row>
    <row r="40" spans="1:7" x14ac:dyDescent="0.15">
      <c r="A40" s="1" t="s">
        <v>45</v>
      </c>
      <c r="B40" s="1"/>
      <c r="C40" s="1"/>
      <c r="D40" s="1">
        <v>304.87</v>
      </c>
      <c r="E40" s="1">
        <v>413.8</v>
      </c>
      <c r="F40" s="1">
        <v>367.88</v>
      </c>
      <c r="G40" s="1">
        <v>324.48</v>
      </c>
    </row>
    <row r="41" spans="1:7" x14ac:dyDescent="0.15">
      <c r="A41" s="1" t="s">
        <v>46</v>
      </c>
      <c r="B41" s="1"/>
      <c r="C41" s="1"/>
      <c r="D41" s="1">
        <v>219.24</v>
      </c>
      <c r="E41" s="1">
        <v>289.64999999999998</v>
      </c>
      <c r="F41" s="1">
        <v>354.65</v>
      </c>
      <c r="G41" s="1">
        <v>372.73</v>
      </c>
    </row>
    <row r="42" spans="1:7" x14ac:dyDescent="0.15">
      <c r="A42" s="3" t="s">
        <v>47</v>
      </c>
      <c r="B42" s="1">
        <v>737.63</v>
      </c>
      <c r="C42" s="1">
        <v>2395.08</v>
      </c>
      <c r="D42" s="1">
        <v>2626.38</v>
      </c>
      <c r="E42" s="1">
        <v>2841.07</v>
      </c>
      <c r="F42" s="1">
        <v>2883.93</v>
      </c>
      <c r="G42" s="1">
        <v>2880.42</v>
      </c>
    </row>
    <row r="43" spans="1:7" x14ac:dyDescent="0.15">
      <c r="A43" s="1" t="s">
        <v>48</v>
      </c>
      <c r="B43" s="1"/>
      <c r="C43" s="1"/>
      <c r="D43" s="1"/>
      <c r="E43" s="1"/>
      <c r="F43" s="1">
        <v>320.97000000000003</v>
      </c>
      <c r="G43" s="1">
        <v>386.57</v>
      </c>
    </row>
    <row r="44" spans="1:7" x14ac:dyDescent="0.15">
      <c r="A44" s="3" t="s">
        <v>49</v>
      </c>
      <c r="B44" s="1">
        <v>737.63</v>
      </c>
      <c r="C44" s="1">
        <v>2395.08</v>
      </c>
      <c r="D44" s="1">
        <v>2626.38</v>
      </c>
      <c r="E44" s="1">
        <v>2841.07</v>
      </c>
      <c r="F44" s="1">
        <v>3204.9</v>
      </c>
      <c r="G44" s="1">
        <v>3266.99</v>
      </c>
    </row>
    <row r="45" spans="1:7" x14ac:dyDescent="0.15">
      <c r="A45" s="3" t="s">
        <v>50</v>
      </c>
      <c r="B45" s="1">
        <v>13068.66</v>
      </c>
      <c r="C45" s="1">
        <v>15990.87</v>
      </c>
      <c r="D45" s="1">
        <v>19581.759999999998</v>
      </c>
      <c r="E45" s="1">
        <v>24210.85</v>
      </c>
      <c r="F45" s="1">
        <v>28092.3</v>
      </c>
      <c r="G45" s="1">
        <v>29821.87</v>
      </c>
    </row>
    <row r="46" spans="1:7" x14ac:dyDescent="0.15">
      <c r="A46" s="1" t="s">
        <v>51</v>
      </c>
      <c r="B46" s="2" t="s">
        <v>52</v>
      </c>
      <c r="C46" s="2" t="s">
        <v>52</v>
      </c>
      <c r="D46" s="2" t="s">
        <v>52</v>
      </c>
      <c r="E46" s="2" t="s">
        <v>52</v>
      </c>
      <c r="F46" s="2" t="s">
        <v>52</v>
      </c>
      <c r="G46" s="2" t="s">
        <v>52</v>
      </c>
    </row>
    <row r="47" spans="1:7" x14ac:dyDescent="0.15">
      <c r="A47" s="1" t="s">
        <v>53</v>
      </c>
      <c r="B47" s="2" t="s">
        <v>52</v>
      </c>
      <c r="C47" s="2" t="s">
        <v>52</v>
      </c>
      <c r="D47" s="2" t="s">
        <v>52</v>
      </c>
      <c r="E47" s="2" t="s">
        <v>52</v>
      </c>
      <c r="F47" s="2" t="s">
        <v>52</v>
      </c>
      <c r="G47" s="2" t="s">
        <v>52</v>
      </c>
    </row>
    <row r="48" spans="1:7" x14ac:dyDescent="0.15">
      <c r="A48" s="1" t="s">
        <v>54</v>
      </c>
      <c r="B48" s="2" t="s">
        <v>55</v>
      </c>
      <c r="C48" s="2" t="s">
        <v>55</v>
      </c>
      <c r="D48" s="2" t="s">
        <v>55</v>
      </c>
      <c r="E48" s="2" t="s">
        <v>55</v>
      </c>
      <c r="F48" s="2" t="s">
        <v>55</v>
      </c>
      <c r="G48" s="2" t="s">
        <v>55</v>
      </c>
    </row>
    <row r="49" spans="1:7" x14ac:dyDescent="0.15">
      <c r="A49" s="1" t="s">
        <v>56</v>
      </c>
      <c r="B49" s="2" t="s">
        <v>57</v>
      </c>
      <c r="C49" s="2" t="s">
        <v>57</v>
      </c>
      <c r="D49" s="2" t="s">
        <v>57</v>
      </c>
      <c r="E49" s="2" t="s">
        <v>57</v>
      </c>
      <c r="F49" s="2" t="s">
        <v>57</v>
      </c>
      <c r="G49" s="2" t="s">
        <v>57</v>
      </c>
    </row>
    <row r="50" spans="1:7" x14ac:dyDescent="0.15">
      <c r="A50" s="1" t="s">
        <v>58</v>
      </c>
      <c r="B50" s="2" t="s">
        <v>59</v>
      </c>
      <c r="C50" s="2" t="s">
        <v>59</v>
      </c>
      <c r="D50" s="2" t="s">
        <v>59</v>
      </c>
      <c r="E50" s="2" t="s">
        <v>59</v>
      </c>
      <c r="F50" s="2" t="s">
        <v>59</v>
      </c>
      <c r="G50" s="2" t="s">
        <v>59</v>
      </c>
    </row>
    <row r="51" spans="1:7" x14ac:dyDescent="0.15">
      <c r="A51" s="1" t="s">
        <v>60</v>
      </c>
      <c r="B51" s="1"/>
      <c r="C51" s="1"/>
      <c r="D51" s="1"/>
      <c r="E51" s="1" t="s">
        <v>61</v>
      </c>
      <c r="F51" s="1" t="s">
        <v>61</v>
      </c>
      <c r="G51" s="1" t="s">
        <v>61</v>
      </c>
    </row>
    <row r="52" spans="1:7" x14ac:dyDescent="0.15">
      <c r="A52" s="1" t="s">
        <v>62</v>
      </c>
      <c r="B52" s="2" t="s">
        <v>63</v>
      </c>
      <c r="C52" s="2" t="s">
        <v>63</v>
      </c>
      <c r="D52" s="2" t="s">
        <v>64</v>
      </c>
      <c r="E52" s="2" t="s">
        <v>64</v>
      </c>
      <c r="F52" s="2" t="s">
        <v>65</v>
      </c>
      <c r="G52" s="2" t="s">
        <v>66</v>
      </c>
    </row>
    <row r="53" spans="1:7" x14ac:dyDescent="0.15">
      <c r="A53" s="1" t="s">
        <v>67</v>
      </c>
      <c r="B53" s="2" t="s">
        <v>11</v>
      </c>
      <c r="C53" s="2" t="s">
        <v>11</v>
      </c>
      <c r="D53" s="2" t="s">
        <v>68</v>
      </c>
      <c r="E53" s="2" t="s">
        <v>68</v>
      </c>
      <c r="F53" s="2" t="s">
        <v>68</v>
      </c>
      <c r="G53" s="2" t="s">
        <v>68</v>
      </c>
    </row>
    <row r="57" spans="1:7" x14ac:dyDescent="0.15">
      <c r="A57" t="s">
        <v>69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F0200743.00-资产负债表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2016-06-09T07:42:23Z</dcterms:created>
  <dcterms:modified xsi:type="dcterms:W3CDTF">2016-06-09T07:46:11Z</dcterms:modified>
</cp:coreProperties>
</file>