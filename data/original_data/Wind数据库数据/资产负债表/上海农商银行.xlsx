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221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2" i="2" l="1"/>
  <c r="F32" i="2"/>
  <c r="G14" i="2"/>
  <c r="F14" i="2"/>
</calcChain>
</file>

<file path=xl/sharedStrings.xml><?xml version="1.0" encoding="utf-8"?>
<sst xmlns="http://schemas.openxmlformats.org/spreadsheetml/2006/main" count="211" uniqueCount="87">
  <si>
    <t>2005-12-31</t>
  </si>
  <si>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</si>
  <si>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</si>
  <si>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</si>
  <si>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</si>
  <si>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</si>
  <si>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</si>
  <si>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</si>
  <si>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</si>
  <si>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</si>
  <si>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</si>
  <si>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</si>
  <si>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</si>
  <si>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</si>
  <si>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</si>
  <si>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</si>
  <si>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</si>
  <si>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</si>
  <si>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</si>
  <si>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贵金属</t>
  </si>
  <si>
    <t>　　拆出资金</t>
  </si>
  <si>
    <t>　　交易性金融资产</t>
  </si>
  <si>
    <t>　　衍生金融资产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</si>
  <si>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</si>
  <si>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</si>
  <si>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</si>
  <si>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</si>
  <si>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</si>
  <si>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</si>
  <si>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</si>
  <si>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</si>
  <si>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</si>
  <si>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</si>
  <si>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投资性房地产</t>
  </si>
  <si>
    <t>　　其他资产</t>
  </si>
  <si>
    <t>资产总计</t>
  </si>
  <si>
    <t>负债：</t>
  </si>
  <si>
    <t>　　同业和其它金融机构存放款项</t>
  </si>
  <si>
    <t>　　向中央银行借款</t>
  </si>
  <si>
    <t>　　拆入资金</t>
  </si>
  <si>
    <t>　　衍生金融负债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</si>
  <si>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</si>
  <si>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</si>
  <si>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</si>
  <si>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</si>
  <si>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</si>
  <si>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</si>
  <si>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</si>
  <si>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预计负债</t>
  </si>
  <si>
    <t>　　其他负债</t>
  </si>
  <si>
    <t>　　负债差额(特殊报表科目)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</si>
  <si>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</si>
  <si>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</si>
  <si>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</si>
  <si>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</si>
  <si>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</si>
  <si>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</si>
  <si>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</si>
  <si>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</si>
  <si>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</si>
  <si>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</si>
  <si>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</si>
  <si>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</si>
  <si>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</si>
  <si>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</si>
  <si>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</si>
  <si>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</si>
  <si>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</si>
  <si>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</si>
  <si>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</si>
  <si>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</si>
  <si>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带强调事项段的无保留意见</t>
  </si>
  <si>
    <t>标准无保留意见</t>
  </si>
  <si>
    <t>原始报表</t>
  </si>
  <si>
    <t>点击浏览</t>
  </si>
  <si>
    <t>公告日期</t>
  </si>
  <si>
    <t>2009-11-23</t>
  </si>
  <si>
    <t>2010-04-23</t>
  </si>
  <si>
    <t>2011-04-27</t>
  </si>
  <si>
    <t>2012-04-27</t>
  </si>
  <si>
    <t>2013-05-02</t>
  </si>
  <si>
    <t>2014-04-30</t>
  </si>
  <si>
    <t>2015-05-04</t>
  </si>
  <si>
    <t>2016-04-30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</si>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</sst>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tabSelected="1" topLeftCell="A31" workbookViewId="0">
      <selection activeCell="B51" sqref="B51:G51"/>
    </sheetView>
  </sheetViews>
  <sheetFormatPr defaultRowHeight="13.5" x14ac:dyDescent="0.15"/>
  <cols>
    <col min="1" max="1" width="34.125" bestFit="1" customWidth="1"/>
    <col min="2" max="2" width="12.75" bestFit="1" customWidth="1"/>
    <col min="3" max="3" width="10.625" customWidth="1"/>
    <col min="4" max="4" width="12.5" customWidth="1"/>
    <col min="5" max="5" width="13.25" customWidth="1"/>
    <col min="6" max="12" width="15.125" bestFit="1" customWidth="1"/>
  </cols>
  <sheetData>
    <row r="1" spans="1:12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2" x14ac:dyDescent="0.15">
      <c r="A2" t="s">
        <v>11</v>
      </c>
      <c r="B2" s="3" t="s">
        <v>12</v>
      </c>
      <c r="C2" s="3" t="s">
        <v>12</v>
      </c>
      <c r="D2" s="3" t="s">
        <v>12</v>
      </c>
      <c r="E2" s="3" t="s">
        <v>12</v>
      </c>
      <c r="F2" s="3" t="s">
        <v>12</v>
      </c>
      <c r="G2" s="3" t="s">
        <v>12</v>
      </c>
      <c r="H2" s="3" t="s">
        <v>12</v>
      </c>
      <c r="I2" s="3" t="s">
        <v>12</v>
      </c>
      <c r="J2" s="3" t="s">
        <v>12</v>
      </c>
      <c r="K2" s="3" t="s">
        <v>12</v>
      </c>
      <c r="L2" s="3" t="s">
        <v>12</v>
      </c>
    </row>
    <row r="3" spans="1:12" x14ac:dyDescent="0.15">
      <c r="A3" t="s">
        <v>13</v>
      </c>
      <c r="B3" s="3" t="s">
        <v>14</v>
      </c>
      <c r="C3" s="3" t="s">
        <v>14</v>
      </c>
      <c r="D3" s="3" t="s">
        <v>14</v>
      </c>
      <c r="E3" s="3" t="s">
        <v>14</v>
      </c>
      <c r="F3" s="3" t="s">
        <v>14</v>
      </c>
      <c r="G3" s="3" t="s">
        <v>14</v>
      </c>
      <c r="H3" s="3" t="s">
        <v>14</v>
      </c>
      <c r="I3" s="3" t="s">
        <v>14</v>
      </c>
      <c r="J3" s="3" t="s">
        <v>14</v>
      </c>
      <c r="K3" s="3" t="s">
        <v>14</v>
      </c>
      <c r="L3" s="3" t="s">
        <v>14</v>
      </c>
    </row>
    <row r="4" spans="1:12" x14ac:dyDescent="0.15">
      <c r="A4" s="2" t="s">
        <v>15</v>
      </c>
      <c r="B4" s="3" t="s">
        <v>16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</row>
    <row r="5" spans="1:12" x14ac:dyDescent="0.15">
      <c r="A5" t="s">
        <v>17</v>
      </c>
      <c r="B5" s="1">
        <v>10124.14</v>
      </c>
      <c r="C5" s="1">
        <v>13664.27</v>
      </c>
      <c r="D5" s="1">
        <v>22746.05</v>
      </c>
      <c r="E5" s="1">
        <v>25943.18</v>
      </c>
      <c r="F5" s="1">
        <v>31294.37</v>
      </c>
      <c r="G5" s="1">
        <v>43887.93</v>
      </c>
      <c r="H5" s="1">
        <v>52107.21</v>
      </c>
      <c r="I5" s="1">
        <v>60674.25</v>
      </c>
      <c r="J5" s="1">
        <v>74649.58</v>
      </c>
      <c r="K5" s="1">
        <v>77687.460000000006</v>
      </c>
      <c r="L5" s="1">
        <v>71054.78</v>
      </c>
    </row>
    <row r="6" spans="1:12" x14ac:dyDescent="0.15">
      <c r="A6" t="s">
        <v>18</v>
      </c>
      <c r="B6" s="1">
        <v>7172.19</v>
      </c>
      <c r="C6" s="1">
        <v>1668.45</v>
      </c>
      <c r="D6" s="1">
        <v>3481.62</v>
      </c>
      <c r="E6" s="1">
        <v>5217.9799999999996</v>
      </c>
      <c r="F6" s="1">
        <v>3178.79</v>
      </c>
      <c r="G6" s="1">
        <v>5597</v>
      </c>
      <c r="H6" s="1">
        <v>13659.94</v>
      </c>
      <c r="I6" s="1">
        <v>14540.33</v>
      </c>
      <c r="J6" s="1">
        <v>9106.02</v>
      </c>
      <c r="K6" s="1">
        <v>11117.22</v>
      </c>
      <c r="L6" s="1">
        <v>12363.96</v>
      </c>
    </row>
    <row r="7" spans="1:12" x14ac:dyDescent="0.15">
      <c r="A7" t="s">
        <v>19</v>
      </c>
      <c r="B7" s="1"/>
      <c r="C7" s="1"/>
      <c r="D7" s="1"/>
      <c r="E7" s="1"/>
      <c r="F7" s="1"/>
      <c r="G7" s="1">
        <v>1.78</v>
      </c>
      <c r="H7" s="1">
        <v>9.81</v>
      </c>
      <c r="I7" s="1">
        <v>2.97</v>
      </c>
      <c r="J7" s="1">
        <v>2.88</v>
      </c>
      <c r="K7" s="1">
        <v>50.73</v>
      </c>
      <c r="L7" s="1">
        <v>625.65</v>
      </c>
    </row>
    <row r="8" spans="1:12" x14ac:dyDescent="0.15">
      <c r="A8" t="s">
        <v>20</v>
      </c>
      <c r="B8" s="1"/>
      <c r="C8" s="1"/>
      <c r="D8" s="1"/>
      <c r="E8" s="1"/>
      <c r="F8" s="1"/>
      <c r="G8" s="1">
        <v>86.09</v>
      </c>
      <c r="H8" s="1">
        <v>4063.01</v>
      </c>
      <c r="I8" s="1">
        <v>1251.42</v>
      </c>
      <c r="J8" s="1">
        <v>5281.19</v>
      </c>
      <c r="K8" s="1">
        <v>16401.84</v>
      </c>
      <c r="L8" s="1">
        <v>20096.28</v>
      </c>
    </row>
    <row r="9" spans="1:12" x14ac:dyDescent="0.15">
      <c r="A9" t="s">
        <v>21</v>
      </c>
      <c r="B9" s="1"/>
      <c r="C9" s="1"/>
      <c r="D9" s="1"/>
      <c r="E9" s="1"/>
      <c r="F9" s="1">
        <v>129.28</v>
      </c>
      <c r="G9" s="1">
        <v>47.43</v>
      </c>
      <c r="H9" s="1">
        <v>438.5</v>
      </c>
      <c r="I9" s="1">
        <v>3523.84</v>
      </c>
      <c r="J9" s="1">
        <v>757.27</v>
      </c>
      <c r="K9" s="1">
        <v>2925.32</v>
      </c>
      <c r="L9" s="1">
        <v>1757.09</v>
      </c>
    </row>
    <row r="10" spans="1:12" x14ac:dyDescent="0.15">
      <c r="A10" t="s">
        <v>22</v>
      </c>
      <c r="B10" s="1"/>
      <c r="C10" s="1"/>
      <c r="D10" s="1"/>
      <c r="E10" s="1"/>
      <c r="F10" s="1"/>
      <c r="G10" s="1"/>
      <c r="H10" s="1"/>
      <c r="I10" s="1"/>
      <c r="J10" s="1">
        <v>1.87</v>
      </c>
      <c r="K10" s="1">
        <v>8.58</v>
      </c>
      <c r="L10" s="1">
        <v>225.39</v>
      </c>
    </row>
    <row r="11" spans="1:12" x14ac:dyDescent="0.15">
      <c r="A11" t="s">
        <v>23</v>
      </c>
      <c r="B11" s="1"/>
      <c r="C11" s="1"/>
      <c r="D11" s="1"/>
      <c r="E11" s="1">
        <v>5767.73</v>
      </c>
      <c r="F11" s="1">
        <v>10515.16</v>
      </c>
      <c r="G11" s="1">
        <v>9904.7099999999991</v>
      </c>
      <c r="H11" s="1">
        <v>19106.29</v>
      </c>
      <c r="I11" s="1">
        <v>18663.46</v>
      </c>
      <c r="J11" s="1">
        <v>17029.63</v>
      </c>
      <c r="K11" s="1">
        <v>11315.92</v>
      </c>
      <c r="L11" s="1">
        <v>16693.63</v>
      </c>
    </row>
    <row r="12" spans="1:12" x14ac:dyDescent="0.15">
      <c r="A12" t="s">
        <v>24</v>
      </c>
      <c r="B12" s="1"/>
      <c r="C12" s="1"/>
      <c r="D12" s="1"/>
      <c r="E12" s="1"/>
      <c r="F12" s="1">
        <v>828.63</v>
      </c>
      <c r="G12" s="1">
        <v>733.03</v>
      </c>
      <c r="H12" s="1">
        <v>1097.0999999999999</v>
      </c>
      <c r="I12" s="1">
        <v>1434.51</v>
      </c>
      <c r="J12" s="1">
        <v>1717.34</v>
      </c>
      <c r="K12" s="1">
        <v>1996.36</v>
      </c>
      <c r="L12" s="1">
        <v>2536.7199999999998</v>
      </c>
    </row>
    <row r="13" spans="1:12" x14ac:dyDescent="0.15">
      <c r="A13" t="s">
        <v>25</v>
      </c>
      <c r="B13" s="1"/>
      <c r="C13" s="1"/>
      <c r="D13" s="1"/>
      <c r="E13" s="1"/>
      <c r="F13" s="1">
        <v>116579.76</v>
      </c>
      <c r="G13" s="1">
        <v>138785.60000000001</v>
      </c>
      <c r="H13" s="1">
        <v>162279.88</v>
      </c>
      <c r="I13" s="1">
        <v>189902.58</v>
      </c>
      <c r="J13" s="1">
        <v>223021.02</v>
      </c>
      <c r="K13" s="1">
        <v>252017.63</v>
      </c>
      <c r="L13" s="1">
        <v>289035.45</v>
      </c>
    </row>
    <row r="14" spans="1:12" x14ac:dyDescent="0.15">
      <c r="B14" s="1"/>
      <c r="C14" s="1"/>
      <c r="D14" s="1"/>
      <c r="E14" s="1"/>
      <c r="F14" s="1">
        <f>F12+F13</f>
        <v>117408.39</v>
      </c>
      <c r="G14" s="1">
        <f>G12+G13</f>
        <v>139518.63</v>
      </c>
      <c r="H14" s="1"/>
      <c r="I14" s="1"/>
      <c r="J14" s="1"/>
      <c r="K14" s="1"/>
      <c r="L14" s="1"/>
    </row>
    <row r="15" spans="1:12" x14ac:dyDescent="0.15">
      <c r="A15" t="s">
        <v>26</v>
      </c>
      <c r="B15" s="1"/>
      <c r="C15" s="1"/>
      <c r="D15" s="1"/>
      <c r="E15" s="1"/>
      <c r="F15" s="1">
        <v>10472.02</v>
      </c>
      <c r="G15" s="1">
        <v>16740.73</v>
      </c>
      <c r="H15" s="1">
        <v>14290.74</v>
      </c>
      <c r="I15" s="1">
        <v>26242.99</v>
      </c>
      <c r="J15" s="1">
        <v>30268.21</v>
      </c>
      <c r="K15" s="1">
        <v>51385.91</v>
      </c>
      <c r="L15" s="1">
        <v>95619.56</v>
      </c>
    </row>
    <row r="16" spans="1:12" x14ac:dyDescent="0.15">
      <c r="A16" t="s">
        <v>27</v>
      </c>
      <c r="B16" s="1"/>
      <c r="C16" s="1"/>
      <c r="D16" s="1"/>
      <c r="E16" s="1"/>
      <c r="F16" s="1">
        <v>26740.28</v>
      </c>
      <c r="G16" s="1">
        <v>28973.7</v>
      </c>
      <c r="H16" s="1">
        <v>34306.57</v>
      </c>
      <c r="I16" s="1">
        <v>36222.79</v>
      </c>
      <c r="J16" s="1">
        <v>44260.45</v>
      </c>
      <c r="K16" s="1">
        <v>40420.57</v>
      </c>
      <c r="L16" s="1">
        <v>56809.69</v>
      </c>
    </row>
    <row r="17" spans="1:12" x14ac:dyDescent="0.15">
      <c r="A17" t="s">
        <v>28</v>
      </c>
      <c r="B17" s="1"/>
      <c r="C17" s="1"/>
      <c r="D17" s="1"/>
      <c r="E17" s="1"/>
      <c r="F17" s="1">
        <v>547.45000000000005</v>
      </c>
      <c r="G17" s="1">
        <v>467.19</v>
      </c>
      <c r="H17" s="1">
        <v>361.59</v>
      </c>
      <c r="I17" s="1">
        <v>357.16</v>
      </c>
      <c r="J17" s="1">
        <v>358.42</v>
      </c>
      <c r="K17" s="1">
        <v>354.14</v>
      </c>
      <c r="L17" s="1">
        <v>581.42999999999995</v>
      </c>
    </row>
    <row r="18" spans="1:12" x14ac:dyDescent="0.15">
      <c r="A18" t="s">
        <v>29</v>
      </c>
      <c r="B18" s="1"/>
      <c r="C18" s="1"/>
      <c r="D18" s="1"/>
      <c r="E18" s="1"/>
      <c r="F18" s="1">
        <v>3222.71</v>
      </c>
      <c r="G18" s="1">
        <v>2616.5700000000002</v>
      </c>
      <c r="H18" s="1">
        <v>1464.51</v>
      </c>
      <c r="I18" s="1">
        <v>187.71</v>
      </c>
      <c r="J18" s="1">
        <v>5126.4399999999996</v>
      </c>
      <c r="K18" s="1">
        <v>9791.83</v>
      </c>
      <c r="L18" s="1">
        <v>9711.85</v>
      </c>
    </row>
    <row r="19" spans="1:12" x14ac:dyDescent="0.15">
      <c r="A19" t="s">
        <v>30</v>
      </c>
      <c r="B19" s="1">
        <v>680.65</v>
      </c>
      <c r="C19" s="1">
        <v>737.6</v>
      </c>
      <c r="D19" s="1"/>
      <c r="E19" s="1">
        <v>851.92</v>
      </c>
      <c r="F19" s="1">
        <v>3029.67</v>
      </c>
      <c r="G19" s="1">
        <v>3186.7</v>
      </c>
      <c r="H19" s="1">
        <v>4750.54</v>
      </c>
      <c r="I19" s="1">
        <v>5884.11</v>
      </c>
      <c r="J19" s="1">
        <v>5920.4</v>
      </c>
      <c r="K19" s="1">
        <v>6687.42</v>
      </c>
      <c r="L19" s="1">
        <v>6675.53</v>
      </c>
    </row>
    <row r="20" spans="1:12" x14ac:dyDescent="0.15">
      <c r="A20" t="s">
        <v>31</v>
      </c>
      <c r="B20" s="1">
        <v>4524.84</v>
      </c>
      <c r="C20" s="1">
        <v>4436.8599999999997</v>
      </c>
      <c r="D20" s="1">
        <v>4328.13</v>
      </c>
      <c r="E20" s="1">
        <v>4248.13</v>
      </c>
      <c r="F20" s="1"/>
      <c r="G20" s="1"/>
      <c r="H20" s="1"/>
      <c r="I20" s="1"/>
      <c r="J20" s="1"/>
      <c r="K20" s="1"/>
      <c r="L20" s="1"/>
    </row>
    <row r="21" spans="1:12" x14ac:dyDescent="0.15">
      <c r="A21" t="s">
        <v>32</v>
      </c>
      <c r="B21" s="1"/>
      <c r="C21" s="1"/>
      <c r="D21" s="1"/>
      <c r="E21" s="1"/>
      <c r="F21" s="1">
        <v>717.26</v>
      </c>
      <c r="G21" s="1">
        <v>516.4</v>
      </c>
      <c r="H21" s="1">
        <v>1389.96</v>
      </c>
      <c r="I21" s="1">
        <v>1440.17</v>
      </c>
      <c r="J21" s="1">
        <v>1638.91</v>
      </c>
      <c r="K21" s="1">
        <v>1721.16</v>
      </c>
      <c r="L21" s="1">
        <v>1770.2</v>
      </c>
    </row>
    <row r="22" spans="1:12" x14ac:dyDescent="0.15">
      <c r="A22" t="s">
        <v>33</v>
      </c>
      <c r="B22" s="1"/>
      <c r="C22" s="1"/>
      <c r="D22" s="1"/>
      <c r="E22" s="1"/>
      <c r="F22" s="1">
        <v>4138.01</v>
      </c>
      <c r="G22" s="1"/>
      <c r="H22" s="1"/>
      <c r="I22" s="1"/>
      <c r="J22" s="1"/>
      <c r="K22" s="1"/>
      <c r="L22" s="1"/>
    </row>
    <row r="23" spans="1:12" x14ac:dyDescent="0.15">
      <c r="A23" t="s">
        <v>34</v>
      </c>
      <c r="B23" s="1"/>
      <c r="C23" s="1"/>
      <c r="D23" s="1"/>
      <c r="E23" s="1"/>
      <c r="F23" s="1">
        <v>856.97</v>
      </c>
      <c r="G23" s="1">
        <v>556.04999999999995</v>
      </c>
      <c r="H23" s="1">
        <v>601.41999999999996</v>
      </c>
      <c r="I23" s="1">
        <v>1640.13</v>
      </c>
      <c r="J23" s="1">
        <v>1752.68</v>
      </c>
      <c r="K23" s="1">
        <v>1421.11</v>
      </c>
      <c r="L23" s="1">
        <v>1456.32</v>
      </c>
    </row>
    <row r="24" spans="1:12" x14ac:dyDescent="0.15">
      <c r="A24" s="2" t="s">
        <v>35</v>
      </c>
      <c r="B24" s="1">
        <v>127416.88</v>
      </c>
      <c r="C24" s="1">
        <v>136149.32</v>
      </c>
      <c r="D24" s="1">
        <v>157472.75</v>
      </c>
      <c r="E24" s="1">
        <v>173327.35</v>
      </c>
      <c r="F24" s="1">
        <v>212250.36</v>
      </c>
      <c r="G24" s="1">
        <v>252100.92</v>
      </c>
      <c r="H24" s="1">
        <v>309927.08</v>
      </c>
      <c r="I24" s="1">
        <v>361968.42</v>
      </c>
      <c r="J24" s="1">
        <v>420892.31</v>
      </c>
      <c r="K24" s="1">
        <v>485303.18</v>
      </c>
      <c r="L24" s="1">
        <v>587013.54</v>
      </c>
    </row>
    <row r="25" spans="1:12" x14ac:dyDescent="0.15">
      <c r="A25" s="2" t="s">
        <v>36</v>
      </c>
      <c r="B25" s="3" t="s">
        <v>16</v>
      </c>
      <c r="C25" s="3" t="s">
        <v>16</v>
      </c>
      <c r="D25" s="3" t="s">
        <v>16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</row>
    <row r="26" spans="1:12" x14ac:dyDescent="0.15">
      <c r="A26" t="s">
        <v>37</v>
      </c>
      <c r="B26" s="1">
        <v>996.78</v>
      </c>
      <c r="C26" s="1">
        <v>1050.46</v>
      </c>
      <c r="D26" s="1">
        <v>3053.56</v>
      </c>
      <c r="E26" s="1">
        <v>405.4</v>
      </c>
      <c r="F26" s="1">
        <v>224.27</v>
      </c>
      <c r="G26" s="1">
        <v>1057.99</v>
      </c>
      <c r="H26" s="1">
        <v>10025.39</v>
      </c>
      <c r="I26" s="1">
        <v>8918.8799999999992</v>
      </c>
      <c r="J26" s="1">
        <v>8919.7999999999993</v>
      </c>
      <c r="K26" s="1">
        <v>9145.9599999999991</v>
      </c>
      <c r="L26" s="1">
        <v>48693.93</v>
      </c>
    </row>
    <row r="27" spans="1:12" x14ac:dyDescent="0.15">
      <c r="A27" t="s">
        <v>38</v>
      </c>
      <c r="B27" s="1"/>
      <c r="C27" s="1"/>
      <c r="D27" s="1"/>
      <c r="E27" s="1"/>
      <c r="F27" s="1"/>
      <c r="G27" s="1"/>
      <c r="H27" s="1"/>
      <c r="I27" s="1">
        <v>165</v>
      </c>
      <c r="J27" s="1">
        <v>1149</v>
      </c>
      <c r="K27" s="1">
        <v>2169</v>
      </c>
      <c r="L27" s="1">
        <v>3434.5</v>
      </c>
    </row>
    <row r="28" spans="1:12" x14ac:dyDescent="0.15">
      <c r="A28" t="s">
        <v>39</v>
      </c>
      <c r="B28" s="1"/>
      <c r="C28" s="1"/>
      <c r="D28" s="1"/>
      <c r="E28" s="1"/>
      <c r="F28" s="1"/>
      <c r="G28" s="1">
        <v>100</v>
      </c>
      <c r="H28" s="1">
        <v>8051.82</v>
      </c>
      <c r="I28" s="1">
        <v>6364.39</v>
      </c>
      <c r="J28" s="1">
        <v>2044.65</v>
      </c>
      <c r="K28" s="1">
        <v>1902.87</v>
      </c>
      <c r="L28" s="1">
        <v>1382.7</v>
      </c>
    </row>
    <row r="29" spans="1:12" x14ac:dyDescent="0.15">
      <c r="A29" t="s">
        <v>40</v>
      </c>
      <c r="B29" s="1"/>
      <c r="C29" s="1"/>
      <c r="D29" s="1"/>
      <c r="E29" s="1"/>
      <c r="F29" s="1"/>
      <c r="G29" s="1"/>
      <c r="H29" s="1"/>
      <c r="I29" s="1"/>
      <c r="J29" s="1">
        <v>1.02</v>
      </c>
      <c r="K29" s="1">
        <v>17.670000000000002</v>
      </c>
      <c r="L29" s="1">
        <v>42.67</v>
      </c>
    </row>
    <row r="30" spans="1:12" x14ac:dyDescent="0.15">
      <c r="A30" t="s">
        <v>41</v>
      </c>
      <c r="B30" s="1">
        <v>7947.12</v>
      </c>
      <c r="C30" s="1">
        <v>400</v>
      </c>
      <c r="D30" s="1"/>
      <c r="E30" s="1">
        <v>142.18</v>
      </c>
      <c r="F30" s="1">
        <v>6523</v>
      </c>
      <c r="G30" s="1">
        <v>5273.88</v>
      </c>
      <c r="H30" s="1">
        <v>10067.26</v>
      </c>
      <c r="I30" s="1">
        <v>6470</v>
      </c>
      <c r="J30" s="1">
        <v>8485.0499999999993</v>
      </c>
      <c r="K30" s="1">
        <v>18569.53</v>
      </c>
      <c r="L30" s="1">
        <v>21903.57</v>
      </c>
    </row>
    <row r="31" spans="1:12" x14ac:dyDescent="0.15">
      <c r="A31" t="s">
        <v>42</v>
      </c>
      <c r="B31" s="1"/>
      <c r="C31" s="1"/>
      <c r="D31" s="1"/>
      <c r="E31" s="1"/>
      <c r="F31" s="1">
        <v>179234.05</v>
      </c>
      <c r="G31" s="1">
        <v>211834.3</v>
      </c>
      <c r="H31" s="1">
        <v>247548.15</v>
      </c>
      <c r="I31" s="1">
        <v>292100.21999999997</v>
      </c>
      <c r="J31" s="1">
        <v>347891.1</v>
      </c>
      <c r="K31" s="1">
        <v>395507.55</v>
      </c>
      <c r="L31" s="1">
        <v>450368.33</v>
      </c>
    </row>
    <row r="32" spans="1:12" x14ac:dyDescent="0.15">
      <c r="B32" s="1"/>
      <c r="C32" s="1"/>
      <c r="D32" s="1"/>
      <c r="E32" s="1"/>
      <c r="F32" s="1">
        <f>SUM(F26:F31)</f>
        <v>185981.31999999998</v>
      </c>
      <c r="G32" s="1">
        <f>SUM(G26:G31)</f>
        <v>218266.16999999998</v>
      </c>
      <c r="H32" s="1"/>
      <c r="I32" s="1"/>
      <c r="J32" s="1"/>
      <c r="K32" s="1"/>
      <c r="L32" s="1"/>
    </row>
    <row r="33" spans="1:12" x14ac:dyDescent="0.15">
      <c r="A33" t="s">
        <v>43</v>
      </c>
      <c r="B33" s="1">
        <v>39.72</v>
      </c>
      <c r="C33" s="1">
        <v>155.06</v>
      </c>
      <c r="D33" s="1"/>
      <c r="E33" s="1">
        <v>87.82</v>
      </c>
      <c r="F33" s="1">
        <v>98.97</v>
      </c>
      <c r="G33" s="1">
        <v>324.5</v>
      </c>
      <c r="H33" s="1">
        <v>682.91</v>
      </c>
      <c r="I33" s="1">
        <v>1109.75</v>
      </c>
      <c r="J33" s="1">
        <v>899.23</v>
      </c>
      <c r="K33" s="1">
        <v>1635.74</v>
      </c>
      <c r="L33" s="1">
        <v>1931.08</v>
      </c>
    </row>
    <row r="34" spans="1:12" x14ac:dyDescent="0.15">
      <c r="A34" t="s">
        <v>44</v>
      </c>
      <c r="B34" s="1">
        <v>70.81</v>
      </c>
      <c r="C34" s="1">
        <v>82.96</v>
      </c>
      <c r="D34" s="1">
        <v>235.14</v>
      </c>
      <c r="E34" s="1">
        <v>41.68</v>
      </c>
      <c r="F34" s="1">
        <v>672.69</v>
      </c>
      <c r="G34" s="1">
        <v>788.03</v>
      </c>
      <c r="H34" s="1">
        <v>1205.46</v>
      </c>
      <c r="I34" s="1">
        <v>880.8</v>
      </c>
      <c r="J34" s="1">
        <v>653.47</v>
      </c>
      <c r="K34" s="1">
        <v>1032.49</v>
      </c>
      <c r="L34" s="1">
        <v>1001.9</v>
      </c>
    </row>
    <row r="35" spans="1:12" x14ac:dyDescent="0.15">
      <c r="A35" t="s">
        <v>45</v>
      </c>
      <c r="B35" s="1"/>
      <c r="C35" s="1"/>
      <c r="D35" s="1"/>
      <c r="E35" s="1"/>
      <c r="F35" s="1">
        <v>2870.53</v>
      </c>
      <c r="G35" s="1">
        <v>3319.69</v>
      </c>
      <c r="H35" s="1">
        <v>3853.45</v>
      </c>
      <c r="I35" s="1">
        <v>5832.17</v>
      </c>
      <c r="J35" s="1">
        <v>6898.98</v>
      </c>
      <c r="K35" s="1">
        <v>8293.83</v>
      </c>
      <c r="L35" s="1">
        <v>9771.57</v>
      </c>
    </row>
    <row r="36" spans="1:12" x14ac:dyDescent="0.15">
      <c r="A36" t="s">
        <v>46</v>
      </c>
      <c r="B36" s="1"/>
      <c r="C36" s="1"/>
      <c r="D36" s="1"/>
      <c r="E36" s="1"/>
      <c r="F36" s="1">
        <v>1500</v>
      </c>
      <c r="G36" s="1">
        <v>1500</v>
      </c>
      <c r="H36" s="1">
        <v>1500</v>
      </c>
      <c r="I36" s="1">
        <v>6500</v>
      </c>
      <c r="J36" s="1">
        <v>6500</v>
      </c>
      <c r="K36" s="1">
        <v>7955.16</v>
      </c>
      <c r="L36" s="1">
        <v>3968.32</v>
      </c>
    </row>
    <row r="37" spans="1:12" x14ac:dyDescent="0.15">
      <c r="A37" t="s">
        <v>47</v>
      </c>
      <c r="B37" s="1"/>
      <c r="C37" s="1"/>
      <c r="D37" s="1"/>
      <c r="E37" s="1"/>
      <c r="F37" s="1">
        <v>134.88</v>
      </c>
      <c r="G37" s="1"/>
      <c r="H37" s="1"/>
      <c r="I37" s="1"/>
      <c r="J37" s="1"/>
      <c r="K37" s="1"/>
      <c r="L37" s="1"/>
    </row>
    <row r="38" spans="1:12" x14ac:dyDescent="0.15">
      <c r="A38" t="s">
        <v>48</v>
      </c>
      <c r="B38" s="1">
        <v>697.71</v>
      </c>
      <c r="C38" s="1">
        <v>745.94</v>
      </c>
      <c r="D38" s="1">
        <v>1662.45</v>
      </c>
      <c r="E38" s="1">
        <v>1443.07</v>
      </c>
      <c r="F38" s="1">
        <v>262.14</v>
      </c>
      <c r="G38" s="1">
        <v>249.12</v>
      </c>
      <c r="H38" s="1">
        <v>319.33999999999997</v>
      </c>
      <c r="I38" s="1">
        <v>343.88</v>
      </c>
      <c r="J38" s="1">
        <v>361.35</v>
      </c>
      <c r="K38" s="1"/>
      <c r="L38" s="1"/>
    </row>
    <row r="39" spans="1:12" x14ac:dyDescent="0.15">
      <c r="A39" t="s">
        <v>49</v>
      </c>
      <c r="B39" s="1"/>
      <c r="C39" s="1"/>
      <c r="D39" s="1"/>
      <c r="E39" s="1"/>
      <c r="F39" s="1">
        <v>6959.97</v>
      </c>
      <c r="G39" s="1">
        <v>3938.74</v>
      </c>
      <c r="H39" s="1">
        <v>467.46</v>
      </c>
      <c r="I39" s="1">
        <v>765.79</v>
      </c>
      <c r="J39" s="1">
        <v>548.74</v>
      </c>
      <c r="K39" s="1">
        <v>929.86</v>
      </c>
      <c r="L39" s="1">
        <v>1188.5</v>
      </c>
    </row>
    <row r="40" spans="1:12" x14ac:dyDescent="0.15">
      <c r="A40" t="s">
        <v>50</v>
      </c>
      <c r="B40" s="1"/>
      <c r="C40" s="1"/>
      <c r="D40" s="1"/>
      <c r="E40" s="1"/>
      <c r="F40" s="1">
        <v>700.97</v>
      </c>
      <c r="G40" s="1">
        <v>488.86</v>
      </c>
      <c r="H40" s="1">
        <v>1139.5</v>
      </c>
      <c r="I40" s="1">
        <v>2917.47</v>
      </c>
      <c r="J40" s="1">
        <v>3551.31</v>
      </c>
      <c r="K40" s="1"/>
      <c r="L40" s="1"/>
    </row>
    <row r="41" spans="1:12" x14ac:dyDescent="0.15">
      <c r="A41" s="2" t="s">
        <v>51</v>
      </c>
      <c r="B41" s="1">
        <v>121263.35</v>
      </c>
      <c r="C41" s="1">
        <v>129662.36</v>
      </c>
      <c r="D41" s="1">
        <v>148846.21</v>
      </c>
      <c r="E41" s="1">
        <v>161684.23000000001</v>
      </c>
      <c r="F41" s="1">
        <v>199181.48</v>
      </c>
      <c r="G41" s="1">
        <v>228875.11</v>
      </c>
      <c r="H41" s="1">
        <v>284860.74</v>
      </c>
      <c r="I41" s="1">
        <v>332368.34999999998</v>
      </c>
      <c r="J41" s="1">
        <v>387903.69</v>
      </c>
      <c r="K41" s="1">
        <v>447159.67</v>
      </c>
      <c r="L41" s="1">
        <v>543687.06999999995</v>
      </c>
    </row>
    <row r="42" spans="1:12" x14ac:dyDescent="0.15">
      <c r="A42" s="2" t="s">
        <v>52</v>
      </c>
      <c r="B42" s="3" t="s">
        <v>16</v>
      </c>
      <c r="C42" s="3" t="s">
        <v>16</v>
      </c>
      <c r="D42" s="3" t="s">
        <v>16</v>
      </c>
      <c r="E42" s="3" t="s">
        <v>16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  <c r="L42" s="3" t="s">
        <v>16</v>
      </c>
    </row>
    <row r="43" spans="1:12" x14ac:dyDescent="0.15">
      <c r="A43" t="s">
        <v>53</v>
      </c>
      <c r="B43" s="1">
        <v>3000.29</v>
      </c>
      <c r="C43" s="1">
        <v>3000.29</v>
      </c>
      <c r="D43" s="1">
        <v>3745.69</v>
      </c>
      <c r="E43" s="1">
        <v>3745.69</v>
      </c>
      <c r="F43" s="1">
        <v>3745.69</v>
      </c>
      <c r="G43" s="1">
        <v>5000</v>
      </c>
      <c r="H43" s="1">
        <v>5000</v>
      </c>
      <c r="I43" s="1">
        <v>5000</v>
      </c>
      <c r="J43" s="1">
        <v>5000</v>
      </c>
      <c r="K43" s="1">
        <v>5000</v>
      </c>
      <c r="L43" s="1">
        <v>5000</v>
      </c>
    </row>
    <row r="44" spans="1:12" x14ac:dyDescent="0.15">
      <c r="A44" t="s">
        <v>54</v>
      </c>
      <c r="B44" s="1"/>
      <c r="C44" s="1">
        <v>4.51</v>
      </c>
      <c r="D44" s="1">
        <v>1241.92</v>
      </c>
      <c r="E44" s="1">
        <v>1241.92</v>
      </c>
      <c r="F44" s="1">
        <v>1563.57</v>
      </c>
      <c r="G44" s="1">
        <v>8577.4599999999991</v>
      </c>
      <c r="H44" s="1">
        <v>7552.35</v>
      </c>
      <c r="I44" s="1">
        <v>8177.07</v>
      </c>
      <c r="J44" s="1">
        <v>7738.2</v>
      </c>
      <c r="K44" s="1">
        <v>8111.06</v>
      </c>
      <c r="L44" s="1">
        <v>8111.06</v>
      </c>
    </row>
    <row r="45" spans="1:12" x14ac:dyDescent="0.15">
      <c r="A45" t="s">
        <v>55</v>
      </c>
      <c r="B45" s="1"/>
      <c r="C45" s="1"/>
      <c r="D45" s="1"/>
      <c r="E45" s="1"/>
      <c r="F45" s="1"/>
      <c r="G45" s="1"/>
      <c r="H45" s="1"/>
      <c r="I45" s="1"/>
      <c r="J45" s="1"/>
      <c r="K45" s="1">
        <v>493.46</v>
      </c>
      <c r="L45" s="1">
        <v>777.13</v>
      </c>
    </row>
    <row r="46" spans="1:12" x14ac:dyDescent="0.15">
      <c r="A46" t="s">
        <v>56</v>
      </c>
      <c r="B46" s="1">
        <v>213.33</v>
      </c>
      <c r="C46" s="1">
        <v>278.85000000000002</v>
      </c>
      <c r="D46" s="1">
        <v>377.24</v>
      </c>
      <c r="E46" s="1">
        <v>731.59</v>
      </c>
      <c r="F46" s="1">
        <v>873.71</v>
      </c>
      <c r="G46" s="1">
        <v>3738.25</v>
      </c>
      <c r="H46" s="1">
        <v>4260.17</v>
      </c>
      <c r="I46" s="1">
        <v>5099.3500000000004</v>
      </c>
      <c r="J46" s="1">
        <v>6136.03</v>
      </c>
      <c r="K46" s="1">
        <v>7404.87</v>
      </c>
      <c r="L46" s="1">
        <v>8941.61</v>
      </c>
    </row>
    <row r="47" spans="1:12" x14ac:dyDescent="0.15">
      <c r="A47" t="s">
        <v>57</v>
      </c>
      <c r="B47" s="1">
        <v>327.57</v>
      </c>
      <c r="C47" s="1">
        <v>585.49</v>
      </c>
      <c r="D47" s="1">
        <v>638.38</v>
      </c>
      <c r="E47" s="1">
        <v>3287.4</v>
      </c>
      <c r="F47" s="1">
        <v>4213.5600000000004</v>
      </c>
      <c r="G47" s="1">
        <v>3231.53</v>
      </c>
      <c r="H47" s="1">
        <v>5554.8</v>
      </c>
      <c r="I47" s="1">
        <v>7840.04</v>
      </c>
      <c r="J47" s="1">
        <v>9415.99</v>
      </c>
      <c r="K47" s="1">
        <v>11904.94</v>
      </c>
      <c r="L47" s="1">
        <v>13886.01</v>
      </c>
    </row>
    <row r="48" spans="1:12" x14ac:dyDescent="0.15">
      <c r="A48" t="s">
        <v>58</v>
      </c>
      <c r="B48" s="1">
        <v>2612.33</v>
      </c>
      <c r="C48" s="1">
        <v>2617.8200000000002</v>
      </c>
      <c r="D48" s="1">
        <v>2623.3</v>
      </c>
      <c r="E48" s="1">
        <v>2636.51</v>
      </c>
      <c r="F48" s="1">
        <v>2625.54</v>
      </c>
      <c r="G48" s="1">
        <v>2625.54</v>
      </c>
      <c r="H48" s="1">
        <v>2625.54</v>
      </c>
      <c r="I48" s="1">
        <v>2625.54</v>
      </c>
      <c r="J48" s="1">
        <v>3578.03</v>
      </c>
      <c r="K48" s="1">
        <v>3968.46</v>
      </c>
      <c r="L48" s="1">
        <v>5184.17</v>
      </c>
    </row>
    <row r="49" spans="1:12" x14ac:dyDescent="0.15">
      <c r="A49" s="2" t="s">
        <v>59</v>
      </c>
      <c r="B49" s="1">
        <v>6153.53</v>
      </c>
      <c r="C49" s="1">
        <v>6486.96</v>
      </c>
      <c r="D49" s="1">
        <v>8626.5400000000009</v>
      </c>
      <c r="E49" s="1">
        <v>11643.11</v>
      </c>
      <c r="F49" s="1">
        <v>13022.07</v>
      </c>
      <c r="G49" s="1">
        <v>23172.78</v>
      </c>
      <c r="H49" s="1">
        <v>24992.86</v>
      </c>
      <c r="I49" s="1">
        <v>28742</v>
      </c>
      <c r="J49" s="1">
        <v>31868.25</v>
      </c>
      <c r="K49" s="1">
        <v>36882.79</v>
      </c>
      <c r="L49" s="1">
        <v>41899.980000000003</v>
      </c>
    </row>
    <row r="50" spans="1:12" x14ac:dyDescent="0.15">
      <c r="A50" t="s">
        <v>60</v>
      </c>
      <c r="B50" s="1"/>
      <c r="C50" s="1"/>
      <c r="D50" s="1"/>
      <c r="E50" s="1"/>
      <c r="F50" s="1">
        <v>46.81</v>
      </c>
      <c r="G50" s="1">
        <v>53.03</v>
      </c>
      <c r="H50" s="1">
        <v>73.48</v>
      </c>
      <c r="I50" s="1">
        <v>858.07</v>
      </c>
      <c r="J50" s="1">
        <v>1120.3699999999999</v>
      </c>
      <c r="K50" s="1">
        <v>1260.72</v>
      </c>
      <c r="L50" s="1">
        <v>1426.5</v>
      </c>
    </row>
    <row r="51" spans="1:12" x14ac:dyDescent="0.15">
      <c r="A51" s="2" t="s">
        <v>61</v>
      </c>
      <c r="B51" s="1">
        <v>6153.53</v>
      </c>
      <c r="C51" s="1">
        <v>6486.96</v>
      </c>
      <c r="D51" s="1">
        <v>8626.5400000000009</v>
      </c>
      <c r="E51" s="1">
        <v>11643.11</v>
      </c>
      <c r="F51" s="1">
        <v>13068.88</v>
      </c>
      <c r="G51" s="1">
        <v>23225.81</v>
      </c>
      <c r="H51" s="1">
        <v>25066.35</v>
      </c>
      <c r="I51" s="1">
        <v>29600.07</v>
      </c>
      <c r="J51" s="1">
        <v>32988.620000000003</v>
      </c>
      <c r="K51" s="1">
        <v>38143.51</v>
      </c>
      <c r="L51" s="1">
        <v>43326.48</v>
      </c>
    </row>
    <row r="52" spans="1:12" x14ac:dyDescent="0.15">
      <c r="A52" s="2" t="s">
        <v>62</v>
      </c>
      <c r="B52" s="1">
        <v>127416.88</v>
      </c>
      <c r="C52" s="1">
        <v>136149.32</v>
      </c>
      <c r="D52" s="1">
        <v>157472.75</v>
      </c>
      <c r="E52" s="1">
        <v>173327.35</v>
      </c>
      <c r="F52" s="1">
        <v>212250.36</v>
      </c>
      <c r="G52" s="1">
        <v>252100.92</v>
      </c>
      <c r="H52" s="1">
        <v>309927.08</v>
      </c>
      <c r="I52" s="1">
        <v>361968.42</v>
      </c>
      <c r="J52" s="1">
        <v>420892.31</v>
      </c>
      <c r="K52" s="1">
        <v>485303.18</v>
      </c>
      <c r="L52" s="1">
        <v>587013.54</v>
      </c>
    </row>
    <row r="53" spans="1:12" x14ac:dyDescent="0.15">
      <c r="A53" t="s">
        <v>63</v>
      </c>
      <c r="B53" s="3" t="s">
        <v>64</v>
      </c>
      <c r="C53" s="3" t="s">
        <v>64</v>
      </c>
      <c r="D53" s="3" t="s">
        <v>64</v>
      </c>
      <c r="E53" s="3" t="s">
        <v>64</v>
      </c>
      <c r="F53" s="3" t="s">
        <v>64</v>
      </c>
      <c r="G53" s="3" t="s">
        <v>64</v>
      </c>
      <c r="H53" s="3" t="s">
        <v>64</v>
      </c>
      <c r="I53" s="3" t="s">
        <v>64</v>
      </c>
      <c r="J53" s="3" t="s">
        <v>64</v>
      </c>
      <c r="K53" s="3" t="s">
        <v>64</v>
      </c>
      <c r="L53" s="3" t="s">
        <v>64</v>
      </c>
    </row>
    <row r="54" spans="1:12" x14ac:dyDescent="0.15">
      <c r="A54" t="s">
        <v>65</v>
      </c>
      <c r="B54" s="3" t="s">
        <v>64</v>
      </c>
      <c r="C54" s="3" t="s">
        <v>64</v>
      </c>
      <c r="D54" s="3" t="s">
        <v>64</v>
      </c>
      <c r="E54" s="3" t="s">
        <v>64</v>
      </c>
      <c r="F54" s="3" t="s">
        <v>64</v>
      </c>
      <c r="G54" s="3" t="s">
        <v>64</v>
      </c>
      <c r="H54" s="3" t="s">
        <v>64</v>
      </c>
      <c r="I54" s="3" t="s">
        <v>64</v>
      </c>
      <c r="J54" s="3" t="s">
        <v>64</v>
      </c>
      <c r="K54" s="3" t="s">
        <v>64</v>
      </c>
      <c r="L54" s="3" t="s">
        <v>64</v>
      </c>
    </row>
    <row r="55" spans="1:12" x14ac:dyDescent="0.15">
      <c r="A55" t="s">
        <v>66</v>
      </c>
      <c r="B55" s="3" t="s">
        <v>67</v>
      </c>
      <c r="C55" s="3" t="s">
        <v>67</v>
      </c>
      <c r="D55" s="3" t="s">
        <v>67</v>
      </c>
      <c r="E55" s="3" t="s">
        <v>67</v>
      </c>
      <c r="F55" s="3" t="s">
        <v>67</v>
      </c>
      <c r="G55" s="3" t="s">
        <v>67</v>
      </c>
      <c r="H55" s="3" t="s">
        <v>67</v>
      </c>
      <c r="I55" s="3" t="s">
        <v>67</v>
      </c>
      <c r="J55" s="3" t="s">
        <v>67</v>
      </c>
      <c r="K55" s="3" t="s">
        <v>67</v>
      </c>
      <c r="L55" s="3" t="s">
        <v>67</v>
      </c>
    </row>
    <row r="56" spans="1:12" x14ac:dyDescent="0.15">
      <c r="A56" t="s">
        <v>68</v>
      </c>
      <c r="B56" s="3" t="s">
        <v>69</v>
      </c>
      <c r="C56" s="3" t="s">
        <v>69</v>
      </c>
      <c r="D56" s="3" t="s">
        <v>69</v>
      </c>
      <c r="E56" s="3" t="s">
        <v>69</v>
      </c>
      <c r="F56" s="3" t="s">
        <v>69</v>
      </c>
      <c r="G56" s="3" t="s">
        <v>69</v>
      </c>
      <c r="H56" s="3" t="s">
        <v>69</v>
      </c>
      <c r="I56" s="3" t="s">
        <v>69</v>
      </c>
      <c r="J56" s="3" t="s">
        <v>69</v>
      </c>
      <c r="K56" s="3" t="s">
        <v>69</v>
      </c>
      <c r="L56" s="3" t="s">
        <v>69</v>
      </c>
    </row>
    <row r="57" spans="1:12" x14ac:dyDescent="0.15">
      <c r="A57" t="s">
        <v>70</v>
      </c>
      <c r="B57" s="3" t="s">
        <v>16</v>
      </c>
      <c r="C57" s="3" t="s">
        <v>71</v>
      </c>
      <c r="D57" s="3" t="s">
        <v>71</v>
      </c>
      <c r="E57" s="3" t="s">
        <v>72</v>
      </c>
      <c r="F57" s="3" t="s">
        <v>72</v>
      </c>
      <c r="G57" s="3" t="s">
        <v>72</v>
      </c>
      <c r="H57" s="3" t="s">
        <v>72</v>
      </c>
      <c r="I57" s="3" t="s">
        <v>72</v>
      </c>
      <c r="J57" s="3" t="s">
        <v>72</v>
      </c>
      <c r="K57" s="3" t="s">
        <v>72</v>
      </c>
      <c r="L57" s="3" t="s">
        <v>72</v>
      </c>
    </row>
    <row r="58" spans="1:12" x14ac:dyDescent="0.15">
      <c r="A58" t="s">
        <v>73</v>
      </c>
      <c r="C58" t="s">
        <v>74</v>
      </c>
      <c r="D58" t="s">
        <v>74</v>
      </c>
      <c r="E58" t="s">
        <v>74</v>
      </c>
      <c r="F58" t="s">
        <v>74</v>
      </c>
      <c r="G58" t="s">
        <v>74</v>
      </c>
      <c r="H58" t="s">
        <v>74</v>
      </c>
      <c r="I58" t="s">
        <v>74</v>
      </c>
      <c r="J58" t="s">
        <v>74</v>
      </c>
      <c r="K58" t="s">
        <v>74</v>
      </c>
      <c r="L58" t="s">
        <v>74</v>
      </c>
    </row>
    <row r="59" spans="1:12" x14ac:dyDescent="0.15">
      <c r="A59" t="s">
        <v>75</v>
      </c>
      <c r="B59" s="3" t="s">
        <v>76</v>
      </c>
      <c r="C59" s="3" t="s">
        <v>76</v>
      </c>
      <c r="D59" s="3" t="s">
        <v>76</v>
      </c>
      <c r="E59" s="3" t="s">
        <v>76</v>
      </c>
      <c r="F59" s="3" t="s">
        <v>77</v>
      </c>
      <c r="G59" s="3" t="s">
        <v>78</v>
      </c>
      <c r="H59" s="3" t="s">
        <v>79</v>
      </c>
      <c r="I59" s="3" t="s">
        <v>80</v>
      </c>
      <c r="J59" s="3" t="s">
        <v>81</v>
      </c>
      <c r="K59" s="3" t="s">
        <v>82</v>
      </c>
      <c r="L59" s="3" t="s">
        <v>83</v>
      </c>
    </row>
    <row r="60" spans="1:12" x14ac:dyDescent="0.15">
      <c r="A60" t="s">
        <v>84</v>
      </c>
      <c r="B60" s="3" t="s">
        <v>85</v>
      </c>
      <c r="C60" s="3" t="s">
        <v>85</v>
      </c>
      <c r="D60" s="3" t="s">
        <v>85</v>
      </c>
      <c r="E60" s="3" t="s">
        <v>85</v>
      </c>
      <c r="F60" s="3" t="s">
        <v>85</v>
      </c>
      <c r="G60" s="3" t="s">
        <v>85</v>
      </c>
      <c r="H60" s="3" t="s">
        <v>85</v>
      </c>
      <c r="I60" s="3" t="s">
        <v>85</v>
      </c>
      <c r="J60" s="3" t="s">
        <v>85</v>
      </c>
      <c r="K60" s="3" t="s">
        <v>85</v>
      </c>
      <c r="L60" s="3" t="s">
        <v>85</v>
      </c>
    </row>
    <row r="64" spans="1:12" x14ac:dyDescent="0.15">
      <c r="A64" t="s">
        <v>86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F0200221.00-资产负债表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2016-05-31T01:29:09Z</dcterms:created>
  <dcterms:modified xsi:type="dcterms:W3CDTF">2016-05-31T01:32:50Z</dcterms:modified>
</cp:coreProperties>
</file>