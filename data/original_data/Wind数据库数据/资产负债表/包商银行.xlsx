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4"/>
  <workbookPr/>
  <mc:AlternateContent xmlns:mc="http://schemas.openxmlformats.org/markup-compatibility/2006">
    <mc:Choice Requires="x15">
      <x15ac:absPath xmlns:x15ac="http://schemas.microsoft.com/office/spreadsheetml/2010/11/ac" url="/Users/ethan/LocalFiles/ResearchFile/SystemicRisk/data/bankscope资产负债数据/资产负债表/"/>
    </mc:Choice>
  </mc:AlternateContent>
  <xr:revisionPtr revIDLastSave="0" documentId="13_ncr:1_{A73D0DEC-8310-4241-AFF7-4A799F5250B0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F0200063.00-资产负债表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 l="1"/>
  <c r="H13" i="2"/>
  <c r="I13" i="2"/>
  <c r="J13" i="2"/>
  <c r="K13" i="2"/>
  <c r="L13" i="2"/>
  <c r="M13" i="2"/>
  <c r="F13" i="2"/>
  <c r="G31" i="2"/>
  <c r="H31" i="2"/>
  <c r="I31" i="2"/>
  <c r="J31" i="2"/>
  <c r="K31" i="2"/>
  <c r="L31" i="2"/>
  <c r="M31" i="2"/>
  <c r="F31" i="2"/>
</calcChain>
</file>

<file path=xl/sharedStrings.xml><?xml version="1.0" encoding="utf-8"?>
<sst xmlns="http://schemas.openxmlformats.org/spreadsheetml/2006/main" count="223" uniqueCount="86">
  <si>
    <t>2004-12-31</t>
  </si>
  <si>
    <t>2005-12-31</t>
  </si>
  <si>
    <t>2006-12-31</t>
  </si>
  <si>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</si>
  <si>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</si>
  <si>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</si>
  <si>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</si>
  <si>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</si>
  <si>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</si>
  <si>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</si>
  <si>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</si>
  <si>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</si>
  <si>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</si>
  <si>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</si>
  <si>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</si>
  <si>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</si>
  <si>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</si>
  <si>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</si>
  <si>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</si>
  <si>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</si>
  <si>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贵金属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</si>
  <si>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</si>
  <si>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</si>
  <si>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</si>
  <si>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</si>
  <si>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</si>
  <si>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</si>
  <si>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</si>
  <si>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</si>
  <si>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</si>
  <si>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</si>
  <si>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</si>
  <si>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</si>
  <si>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</si>
  <si>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资产差额(特殊报表科目)</t>
  </si>
  <si>
    <t>资产总计</t>
  </si>
  <si>
    <t>负债：</t>
  </si>
  <si>
    <t>　　同业和其它金融机构存放款项</t>
  </si>
  <si>
    <t>　　向中央银行借款</t>
  </si>
  <si>
    <t>　　拆入资金</t>
  </si>
  <si>
    <t>　　交易性金融负债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</si>
  <si>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</si>
  <si>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</si>
  <si>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</si>
  <si>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</si>
  <si>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</si>
  <si>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</si>
  <si>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</si>
  <si>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</si>
  <si>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</si>
  <si>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</si>
  <si>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</si>
  <si>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</si>
  <si>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</si>
  <si>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</si>
  <si>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</si>
  <si>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</si>
  <si>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</si>
  <si>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少数股东权益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</si>
  <si>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</si>
  <si>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</si>
  <si>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</si>
  <si>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</si>
  <si>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</si>
  <si>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</si>
  <si>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</si>
  <si>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</si>
  <si>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</si>
  <si>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</si>
  <si>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</si>
  <si>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</si>
  <si>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</si>
  <si>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</si>
  <si>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2008-11-14</t>
  </si>
  <si>
    <t>2008-05-31</t>
  </si>
  <si>
    <t>2009-05-05</t>
  </si>
  <si>
    <t>2010-04-29</t>
  </si>
  <si>
    <t>2011-04-27</t>
  </si>
  <si>
    <t>2012-04-13</t>
  </si>
  <si>
    <t>2013-04-27</t>
  </si>
  <si>
    <t>2014-06-23</t>
  </si>
  <si>
    <t>2015-06-20</t>
  </si>
  <si>
    <t>2016-05-26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</si>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</sst>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0_ "/>
  </numFmts>
  <fonts count="3" x14ac:knownFonts="1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="162" workbookViewId="0">
      <pane xSplit="1" topLeftCell="B1" activePane="topRight" state="frozen"/>
      <selection pane="topRight" activeCell="D11" sqref="D11"/>
    </sheetView>
  </sheetViews>
  <sheetFormatPr baseColWidth="10" defaultColWidth="8.83203125" defaultRowHeight="15" x14ac:dyDescent="0.2"/>
  <cols>
    <col min="1" max="1" width="34.1640625" bestFit="1" customWidth="1"/>
    <col min="2" max="13" width="15.1640625" bestFit="1" customWidth="1"/>
  </cols>
  <sheetData>
    <row r="1" spans="1:13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">
      <c r="A2" t="s">
        <v>12</v>
      </c>
      <c r="B2" s="3" t="s">
        <v>13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">
        <v>13</v>
      </c>
      <c r="L2" s="3" t="s">
        <v>13</v>
      </c>
      <c r="M2" s="3" t="s">
        <v>13</v>
      </c>
    </row>
    <row r="3" spans="1:13" x14ac:dyDescent="0.2">
      <c r="A3" t="s">
        <v>14</v>
      </c>
      <c r="B3" s="3" t="s">
        <v>15</v>
      </c>
      <c r="C3" s="3" t="s">
        <v>15</v>
      </c>
      <c r="D3" s="3" t="s">
        <v>15</v>
      </c>
      <c r="E3" s="3" t="s">
        <v>15</v>
      </c>
      <c r="F3" s="3" t="s">
        <v>15</v>
      </c>
      <c r="G3" s="3" t="s">
        <v>15</v>
      </c>
      <c r="H3" s="3" t="s">
        <v>15</v>
      </c>
      <c r="I3" s="3" t="s">
        <v>15</v>
      </c>
      <c r="J3" s="3" t="s">
        <v>15</v>
      </c>
      <c r="K3" s="3" t="s">
        <v>15</v>
      </c>
      <c r="L3" s="3" t="s">
        <v>15</v>
      </c>
      <c r="M3" s="3" t="s">
        <v>15</v>
      </c>
    </row>
    <row r="4" spans="1:13" x14ac:dyDescent="0.2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17</v>
      </c>
      <c r="M4" s="3" t="s">
        <v>17</v>
      </c>
    </row>
    <row r="5" spans="1:13" x14ac:dyDescent="0.2">
      <c r="A5" t="s">
        <v>18</v>
      </c>
      <c r="B5" s="1">
        <v>2265.3200000000002</v>
      </c>
      <c r="C5" s="1">
        <v>3683.48</v>
      </c>
      <c r="D5" s="1">
        <v>3373.6</v>
      </c>
      <c r="E5" s="1">
        <v>8308.26</v>
      </c>
      <c r="F5" s="1">
        <v>10091.16</v>
      </c>
      <c r="G5" s="1">
        <v>16759.8</v>
      </c>
      <c r="H5" s="1">
        <v>16293.62</v>
      </c>
      <c r="I5" s="1">
        <v>24507.96</v>
      </c>
      <c r="J5" s="1">
        <v>25025.17</v>
      </c>
      <c r="K5" s="1">
        <v>27936.79</v>
      </c>
      <c r="L5" s="1">
        <v>36360.53</v>
      </c>
      <c r="M5" s="1">
        <v>31690.83</v>
      </c>
    </row>
    <row r="6" spans="1:13" x14ac:dyDescent="0.2">
      <c r="A6" t="s">
        <v>19</v>
      </c>
      <c r="B6" s="1">
        <v>91.94</v>
      </c>
      <c r="C6" s="1">
        <v>230.31</v>
      </c>
      <c r="D6" s="1">
        <v>270.94</v>
      </c>
      <c r="E6" s="1">
        <v>1800.64</v>
      </c>
      <c r="F6" s="1">
        <v>487.84</v>
      </c>
      <c r="G6" s="1">
        <v>3720.6</v>
      </c>
      <c r="H6" s="1">
        <v>3024.04</v>
      </c>
      <c r="I6" s="1">
        <v>13224.42</v>
      </c>
      <c r="J6" s="1">
        <v>22920.28</v>
      </c>
      <c r="K6" s="1">
        <v>10513.47</v>
      </c>
      <c r="L6" s="1">
        <v>26047.81</v>
      </c>
      <c r="M6" s="1">
        <v>33259.08</v>
      </c>
    </row>
    <row r="7" spans="1:13" x14ac:dyDescent="0.2">
      <c r="A7" t="s">
        <v>20</v>
      </c>
      <c r="B7" s="1"/>
      <c r="C7" s="1"/>
      <c r="D7" s="1"/>
      <c r="E7" s="1"/>
      <c r="F7" s="1"/>
      <c r="G7" s="1"/>
      <c r="H7" s="1"/>
      <c r="I7" s="1"/>
      <c r="J7" s="1">
        <v>1082.75</v>
      </c>
      <c r="K7" s="1">
        <v>984.55</v>
      </c>
      <c r="L7" s="1"/>
      <c r="M7" s="1"/>
    </row>
    <row r="8" spans="1:13" x14ac:dyDescent="0.2">
      <c r="A8" t="s">
        <v>21</v>
      </c>
      <c r="B8" s="1"/>
      <c r="C8" s="1"/>
      <c r="D8" s="1"/>
      <c r="E8" s="1">
        <v>250</v>
      </c>
      <c r="F8" s="1"/>
      <c r="G8" s="1"/>
      <c r="H8" s="1"/>
      <c r="I8" s="1">
        <v>1463.01</v>
      </c>
      <c r="J8" s="1">
        <v>2231.35</v>
      </c>
      <c r="K8" s="1">
        <v>1550.24</v>
      </c>
      <c r="L8" s="1">
        <v>1495.13</v>
      </c>
      <c r="M8" s="1">
        <v>2591.75</v>
      </c>
    </row>
    <row r="9" spans="1:13" x14ac:dyDescent="0.2">
      <c r="A9" t="s">
        <v>22</v>
      </c>
      <c r="B9" s="1"/>
      <c r="C9" s="1"/>
      <c r="D9" s="1"/>
      <c r="E9" s="1"/>
      <c r="F9" s="1">
        <v>3951.99</v>
      </c>
      <c r="G9" s="1">
        <v>3767.26</v>
      </c>
      <c r="H9" s="1">
        <v>1127.22</v>
      </c>
      <c r="I9" s="1">
        <v>1703.88</v>
      </c>
      <c r="J9" s="1">
        <v>2425.86</v>
      </c>
      <c r="K9" s="1">
        <v>4260.8599999999997</v>
      </c>
      <c r="L9" s="1">
        <v>4541.83</v>
      </c>
      <c r="M9" s="1">
        <v>3392.73</v>
      </c>
    </row>
    <row r="10" spans="1:13" x14ac:dyDescent="0.2">
      <c r="A10" t="s">
        <v>23</v>
      </c>
      <c r="B10" s="1"/>
      <c r="C10" s="1"/>
      <c r="D10" s="1"/>
      <c r="E10" s="1"/>
      <c r="F10" s="1">
        <v>3905.93</v>
      </c>
      <c r="G10" s="1">
        <v>6167.61</v>
      </c>
      <c r="H10" s="1">
        <v>15178.49</v>
      </c>
      <c r="I10" s="1">
        <v>17707.560000000001</v>
      </c>
      <c r="J10" s="1">
        <v>6889.38</v>
      </c>
      <c r="K10" s="1">
        <v>12702.53</v>
      </c>
      <c r="L10" s="1">
        <v>12100.07</v>
      </c>
      <c r="M10" s="1">
        <v>3475.7</v>
      </c>
    </row>
    <row r="11" spans="1:13" x14ac:dyDescent="0.2">
      <c r="A11" t="s">
        <v>24</v>
      </c>
      <c r="B11" s="1"/>
      <c r="C11" s="1"/>
      <c r="D11" s="1"/>
      <c r="E11" s="1"/>
      <c r="F11" s="1">
        <v>51.34</v>
      </c>
      <c r="G11" s="1">
        <v>41.55</v>
      </c>
      <c r="H11" s="1">
        <v>223.36</v>
      </c>
      <c r="I11" s="1">
        <v>921.58</v>
      </c>
      <c r="J11" s="1">
        <v>1297.1199999999999</v>
      </c>
      <c r="K11" s="1">
        <v>1287.45</v>
      </c>
      <c r="L11" s="1">
        <v>1337.44</v>
      </c>
      <c r="M11" s="1">
        <v>3030.69</v>
      </c>
    </row>
    <row r="12" spans="1:13" x14ac:dyDescent="0.2">
      <c r="A12" t="s">
        <v>25</v>
      </c>
      <c r="B12" s="1"/>
      <c r="C12" s="1"/>
      <c r="D12" s="1"/>
      <c r="E12" s="1"/>
      <c r="F12" s="1">
        <v>22891.83</v>
      </c>
      <c r="G12" s="1">
        <v>27619.23</v>
      </c>
      <c r="H12" s="1">
        <v>34609.279999999999</v>
      </c>
      <c r="I12" s="1">
        <v>47741.11</v>
      </c>
      <c r="J12" s="1">
        <v>57320.92</v>
      </c>
      <c r="K12" s="1">
        <v>72203.19</v>
      </c>
      <c r="L12" s="1">
        <v>92296.69</v>
      </c>
      <c r="M12" s="1">
        <v>118437.12</v>
      </c>
    </row>
    <row r="13" spans="1:13" x14ac:dyDescent="0.2">
      <c r="B13" s="1"/>
      <c r="C13" s="1"/>
      <c r="D13" s="1"/>
      <c r="E13" s="1"/>
      <c r="F13" s="1">
        <f>F11+F12</f>
        <v>22943.170000000002</v>
      </c>
      <c r="G13" s="1">
        <f t="shared" ref="G13:M13" si="0">G11+G12</f>
        <v>27660.78</v>
      </c>
      <c r="H13" s="1">
        <f t="shared" si="0"/>
        <v>34832.639999999999</v>
      </c>
      <c r="I13" s="1">
        <f t="shared" si="0"/>
        <v>48662.69</v>
      </c>
      <c r="J13" s="1">
        <f t="shared" si="0"/>
        <v>58618.04</v>
      </c>
      <c r="K13" s="1">
        <f t="shared" si="0"/>
        <v>73490.64</v>
      </c>
      <c r="L13" s="1">
        <f t="shared" si="0"/>
        <v>93634.13</v>
      </c>
      <c r="M13" s="1">
        <f t="shared" si="0"/>
        <v>121467.81</v>
      </c>
    </row>
    <row r="14" spans="1:13" x14ac:dyDescent="0.2">
      <c r="A14" t="s">
        <v>26</v>
      </c>
      <c r="B14" s="1"/>
      <c r="C14" s="1"/>
      <c r="D14" s="1"/>
      <c r="E14" s="1"/>
      <c r="F14" s="1">
        <v>9851.57</v>
      </c>
      <c r="G14" s="1">
        <v>7786.83</v>
      </c>
      <c r="H14" s="1">
        <v>10566.78</v>
      </c>
      <c r="I14" s="1">
        <v>12485.45</v>
      </c>
      <c r="J14" s="1">
        <v>17252.740000000002</v>
      </c>
      <c r="K14" s="1">
        <v>12759.3</v>
      </c>
      <c r="L14" s="1">
        <v>14138.41</v>
      </c>
      <c r="M14" s="1">
        <v>29782.19</v>
      </c>
    </row>
    <row r="15" spans="1:13" x14ac:dyDescent="0.2">
      <c r="A15" t="s">
        <v>27</v>
      </c>
      <c r="B15" s="1"/>
      <c r="C15" s="1"/>
      <c r="D15" s="1"/>
      <c r="E15" s="1"/>
      <c r="F15" s="1">
        <v>9401.4599999999991</v>
      </c>
      <c r="G15" s="1">
        <v>13103.35</v>
      </c>
      <c r="H15" s="1">
        <v>16111.27</v>
      </c>
      <c r="I15" s="1">
        <v>15383.05</v>
      </c>
      <c r="J15" s="1">
        <v>13267.03</v>
      </c>
      <c r="K15" s="1">
        <v>10798.84</v>
      </c>
      <c r="L15" s="1">
        <v>10547.03</v>
      </c>
      <c r="M15" s="1">
        <v>9442.07</v>
      </c>
    </row>
    <row r="16" spans="1:13" x14ac:dyDescent="0.2">
      <c r="A16" t="s">
        <v>28</v>
      </c>
      <c r="B16" s="1"/>
      <c r="C16" s="1"/>
      <c r="D16" s="1"/>
      <c r="E16" s="1"/>
      <c r="F16" s="1">
        <v>14</v>
      </c>
      <c r="G16" s="1">
        <v>64</v>
      </c>
      <c r="H16" s="1">
        <v>162.1</v>
      </c>
      <c r="I16" s="1">
        <v>631.5</v>
      </c>
      <c r="J16" s="1">
        <v>649.51</v>
      </c>
      <c r="K16" s="1">
        <v>1462.21</v>
      </c>
      <c r="L16" s="1">
        <v>516.65</v>
      </c>
      <c r="M16" s="1">
        <v>568.86</v>
      </c>
    </row>
    <row r="17" spans="1:13" x14ac:dyDescent="0.2">
      <c r="A17" t="s">
        <v>29</v>
      </c>
      <c r="B17" s="1"/>
      <c r="C17" s="1"/>
      <c r="D17" s="1"/>
      <c r="E17" s="1"/>
      <c r="F17" s="1">
        <v>60.64</v>
      </c>
      <c r="G17" s="1">
        <v>725.29</v>
      </c>
      <c r="H17" s="1">
        <v>14891.05</v>
      </c>
      <c r="I17" s="1">
        <v>34920.480000000003</v>
      </c>
      <c r="J17" s="1">
        <v>46653.02</v>
      </c>
      <c r="K17" s="1">
        <v>76003.210000000006</v>
      </c>
      <c r="L17" s="1">
        <v>99092.800000000003</v>
      </c>
      <c r="M17" s="1">
        <v>105578.8</v>
      </c>
    </row>
    <row r="18" spans="1:13" x14ac:dyDescent="0.2">
      <c r="A18" t="s">
        <v>30</v>
      </c>
      <c r="B18" s="1"/>
      <c r="C18" s="1"/>
      <c r="D18" s="1"/>
      <c r="E18" s="1">
        <v>295.58</v>
      </c>
      <c r="F18" s="1">
        <v>1036.5899999999999</v>
      </c>
      <c r="G18" s="1">
        <v>1562.53</v>
      </c>
      <c r="H18" s="1">
        <v>1923.7</v>
      </c>
      <c r="I18" s="1">
        <v>3128.26</v>
      </c>
      <c r="J18" s="1">
        <v>5300.08</v>
      </c>
      <c r="K18" s="1">
        <v>6483.32</v>
      </c>
      <c r="L18" s="1">
        <v>7433.04</v>
      </c>
      <c r="M18" s="1">
        <v>7648.94</v>
      </c>
    </row>
    <row r="19" spans="1:13" x14ac:dyDescent="0.2">
      <c r="A19" t="s">
        <v>31</v>
      </c>
      <c r="B19" s="1">
        <v>7.69</v>
      </c>
      <c r="C19" s="1">
        <v>7.51</v>
      </c>
      <c r="D19" s="1">
        <v>0.34</v>
      </c>
      <c r="E19" s="1">
        <v>24.04</v>
      </c>
      <c r="F19" s="1">
        <v>26.37</v>
      </c>
      <c r="G19" s="1">
        <v>42.61</v>
      </c>
      <c r="H19" s="1">
        <v>79.87</v>
      </c>
      <c r="I19" s="1">
        <v>111.3</v>
      </c>
      <c r="J19" s="1">
        <v>161.09</v>
      </c>
      <c r="K19" s="1">
        <v>414.95</v>
      </c>
      <c r="L19" s="1">
        <v>417.92</v>
      </c>
      <c r="M19" s="1">
        <v>430.91</v>
      </c>
    </row>
    <row r="20" spans="1:13" x14ac:dyDescent="0.2">
      <c r="A20" t="s">
        <v>32</v>
      </c>
      <c r="B20" s="1"/>
      <c r="C20" s="1"/>
      <c r="D20" s="1"/>
      <c r="E20" s="1"/>
      <c r="F20" s="1"/>
      <c r="G20" s="1">
        <v>22.22</v>
      </c>
      <c r="H20" s="1">
        <v>55.44</v>
      </c>
      <c r="I20" s="1"/>
      <c r="J20" s="1">
        <v>24.57</v>
      </c>
      <c r="K20" s="1">
        <v>257.89</v>
      </c>
      <c r="L20" s="1">
        <v>121.77</v>
      </c>
      <c r="M20" s="1">
        <v>263.66000000000003</v>
      </c>
    </row>
    <row r="21" spans="1:13" x14ac:dyDescent="0.2">
      <c r="A21" t="s">
        <v>33</v>
      </c>
      <c r="B21" s="1"/>
      <c r="C21" s="1"/>
      <c r="D21" s="1"/>
      <c r="E21" s="1"/>
      <c r="F21" s="1">
        <v>164.87</v>
      </c>
      <c r="G21" s="1">
        <v>265.70999999999998</v>
      </c>
      <c r="H21" s="1">
        <v>598.17999999999995</v>
      </c>
      <c r="I21" s="1">
        <v>8011.01</v>
      </c>
      <c r="J21" s="1">
        <v>4959.38</v>
      </c>
      <c r="K21" s="1">
        <v>2766.99</v>
      </c>
      <c r="L21" s="1">
        <v>6165.52</v>
      </c>
      <c r="M21" s="1">
        <v>2714.91</v>
      </c>
    </row>
    <row r="22" spans="1:13" x14ac:dyDescent="0.2">
      <c r="A22" t="s">
        <v>34</v>
      </c>
      <c r="B22" s="1"/>
      <c r="C22" s="1"/>
      <c r="D22" s="1"/>
      <c r="E22" s="1"/>
      <c r="F22" s="1"/>
      <c r="G22" s="1"/>
      <c r="H22" s="1"/>
      <c r="I22" s="1"/>
      <c r="J22" s="1">
        <v>158.05000000000001</v>
      </c>
      <c r="K22" s="1">
        <v>170.57</v>
      </c>
      <c r="L22" s="1">
        <v>252.1</v>
      </c>
      <c r="M22" s="1">
        <v>287.11</v>
      </c>
    </row>
    <row r="23" spans="1:13" x14ac:dyDescent="0.2">
      <c r="A23" s="2" t="s">
        <v>35</v>
      </c>
      <c r="B23" s="1">
        <v>13192.1</v>
      </c>
      <c r="C23" s="1">
        <v>21812.35</v>
      </c>
      <c r="D23" s="1">
        <v>38988.26</v>
      </c>
      <c r="E23" s="1">
        <v>52666.8</v>
      </c>
      <c r="F23" s="1">
        <v>61935.6</v>
      </c>
      <c r="G23" s="1">
        <v>81648.58</v>
      </c>
      <c r="H23" s="1">
        <v>114844.4</v>
      </c>
      <c r="I23" s="1">
        <v>181940.56</v>
      </c>
      <c r="J23" s="1">
        <v>207618.29</v>
      </c>
      <c r="K23" s="1">
        <v>242556.37</v>
      </c>
      <c r="L23" s="1">
        <v>312864.71999999997</v>
      </c>
      <c r="M23" s="1">
        <v>352595.34</v>
      </c>
    </row>
    <row r="24" spans="1:13" x14ac:dyDescent="0.2">
      <c r="A24" s="2" t="s">
        <v>36</v>
      </c>
      <c r="B24" s="3" t="s">
        <v>17</v>
      </c>
      <c r="C24" s="3" t="s">
        <v>17</v>
      </c>
      <c r="D24" s="3" t="s">
        <v>17</v>
      </c>
      <c r="E24" s="3" t="s">
        <v>17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  <c r="L24" s="3" t="s">
        <v>17</v>
      </c>
      <c r="M24" s="3" t="s">
        <v>17</v>
      </c>
    </row>
    <row r="25" spans="1:13" x14ac:dyDescent="0.2">
      <c r="A25" t="s">
        <v>37</v>
      </c>
      <c r="B25" s="1">
        <v>6.5</v>
      </c>
      <c r="C25" s="1">
        <v>15.57</v>
      </c>
      <c r="D25" s="1">
        <v>45.67</v>
      </c>
      <c r="E25" s="1">
        <v>1610.48</v>
      </c>
      <c r="F25" s="1">
        <v>3636.08</v>
      </c>
      <c r="G25" s="1">
        <v>5412.81</v>
      </c>
      <c r="H25" s="1">
        <v>4295.4399999999996</v>
      </c>
      <c r="I25" s="1">
        <v>32062.79</v>
      </c>
      <c r="J25" s="1">
        <v>49110.8</v>
      </c>
      <c r="K25" s="1">
        <v>62355.7</v>
      </c>
      <c r="L25" s="1">
        <v>78746.759999999995</v>
      </c>
      <c r="M25" s="1">
        <v>58870.59</v>
      </c>
    </row>
    <row r="26" spans="1:13" x14ac:dyDescent="0.2">
      <c r="A26" t="s">
        <v>38</v>
      </c>
      <c r="B26" s="1">
        <v>170</v>
      </c>
      <c r="C26" s="1"/>
      <c r="D26" s="1"/>
      <c r="E26" s="1"/>
      <c r="F26" s="1"/>
      <c r="G26" s="1">
        <v>20</v>
      </c>
      <c r="H26" s="1">
        <v>40</v>
      </c>
      <c r="I26" s="1">
        <v>160</v>
      </c>
      <c r="J26" s="1">
        <v>285</v>
      </c>
      <c r="K26" s="1">
        <v>626.78</v>
      </c>
      <c r="L26" s="1">
        <v>2316</v>
      </c>
      <c r="M26" s="1">
        <v>1903.94</v>
      </c>
    </row>
    <row r="27" spans="1:13" x14ac:dyDescent="0.2">
      <c r="A27" t="s">
        <v>39</v>
      </c>
      <c r="B27" s="1">
        <v>0.1</v>
      </c>
      <c r="C27" s="1">
        <v>0.1</v>
      </c>
      <c r="D27" s="1">
        <v>0.1</v>
      </c>
      <c r="E27" s="1">
        <v>2.6</v>
      </c>
      <c r="F27" s="1">
        <v>19.600000000000001</v>
      </c>
      <c r="G27" s="1">
        <v>0.1</v>
      </c>
      <c r="H27" s="1">
        <v>0.1</v>
      </c>
      <c r="I27" s="1">
        <v>475.71</v>
      </c>
      <c r="J27" s="1">
        <v>6509.77</v>
      </c>
      <c r="K27" s="1">
        <v>3979.39</v>
      </c>
      <c r="L27" s="1">
        <v>10586.18</v>
      </c>
      <c r="M27" s="1">
        <v>7076.56</v>
      </c>
    </row>
    <row r="28" spans="1:13" x14ac:dyDescent="0.2">
      <c r="A28" t="s">
        <v>40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>
        <v>30487.26</v>
      </c>
    </row>
    <row r="29" spans="1:13" x14ac:dyDescent="0.2">
      <c r="A29" t="s">
        <v>41</v>
      </c>
      <c r="B29" s="1">
        <v>400</v>
      </c>
      <c r="C29" s="1">
        <v>900</v>
      </c>
      <c r="D29" s="1">
        <v>9605.1</v>
      </c>
      <c r="E29" s="1">
        <v>7110.5</v>
      </c>
      <c r="F29" s="1">
        <v>5623.4</v>
      </c>
      <c r="G29" s="1">
        <v>3378.3</v>
      </c>
      <c r="H29" s="1">
        <v>7380.19</v>
      </c>
      <c r="I29" s="1">
        <v>13078.36</v>
      </c>
      <c r="J29" s="1">
        <v>6897.3</v>
      </c>
      <c r="K29" s="1">
        <v>3691.37</v>
      </c>
      <c r="L29" s="1">
        <v>2466.6</v>
      </c>
      <c r="M29" s="1">
        <v>492.48</v>
      </c>
    </row>
    <row r="30" spans="1:13" x14ac:dyDescent="0.2">
      <c r="A30" t="s">
        <v>42</v>
      </c>
      <c r="B30" s="1"/>
      <c r="C30" s="1"/>
      <c r="D30" s="1"/>
      <c r="E30" s="1"/>
      <c r="F30" s="1">
        <v>47768.04</v>
      </c>
      <c r="G30" s="1">
        <v>67604.34</v>
      </c>
      <c r="H30" s="1">
        <v>94216.41</v>
      </c>
      <c r="I30" s="1">
        <v>117067.95</v>
      </c>
      <c r="J30" s="1">
        <v>122974.24</v>
      </c>
      <c r="K30" s="1">
        <v>148561.81</v>
      </c>
      <c r="L30" s="1">
        <v>169525.74</v>
      </c>
      <c r="M30" s="1">
        <v>177612.95</v>
      </c>
    </row>
    <row r="31" spans="1:13" x14ac:dyDescent="0.2">
      <c r="B31" s="1"/>
      <c r="C31" s="1"/>
      <c r="D31" s="1"/>
      <c r="E31" s="1"/>
      <c r="F31" s="1">
        <f>SUM(F25:F30)</f>
        <v>57047.12</v>
      </c>
      <c r="G31" s="1">
        <f t="shared" ref="G31:M31" si="1">SUM(G25:G30)</f>
        <v>76415.55</v>
      </c>
      <c r="H31" s="1">
        <f t="shared" si="1"/>
        <v>105932.14</v>
      </c>
      <c r="I31" s="1">
        <f t="shared" si="1"/>
        <v>162844.81</v>
      </c>
      <c r="J31" s="1">
        <f t="shared" si="1"/>
        <v>185777.11000000002</v>
      </c>
      <c r="K31" s="1">
        <f t="shared" si="1"/>
        <v>219215.05</v>
      </c>
      <c r="L31" s="1">
        <f t="shared" si="1"/>
        <v>263641.28000000003</v>
      </c>
      <c r="M31" s="1">
        <f t="shared" si="1"/>
        <v>276443.78000000003</v>
      </c>
    </row>
    <row r="32" spans="1:13" x14ac:dyDescent="0.2">
      <c r="A32" t="s">
        <v>43</v>
      </c>
      <c r="B32" s="1"/>
      <c r="C32" s="1"/>
      <c r="D32" s="1"/>
      <c r="E32" s="1"/>
      <c r="F32" s="1">
        <v>37.47</v>
      </c>
      <c r="G32" s="1">
        <v>26.76</v>
      </c>
      <c r="H32" s="1">
        <v>45.11</v>
      </c>
      <c r="I32" s="1">
        <v>202.29</v>
      </c>
      <c r="J32" s="1">
        <v>420.4</v>
      </c>
      <c r="K32" s="1">
        <v>535.48</v>
      </c>
      <c r="L32" s="1">
        <v>570.36</v>
      </c>
      <c r="M32" s="1">
        <v>774.82</v>
      </c>
    </row>
    <row r="33" spans="1:13" x14ac:dyDescent="0.2">
      <c r="A33" t="s">
        <v>44</v>
      </c>
      <c r="B33" s="1">
        <v>23.87</v>
      </c>
      <c r="C33" s="1">
        <v>54.94</v>
      </c>
      <c r="D33" s="1">
        <v>20.190000000000001</v>
      </c>
      <c r="E33" s="1">
        <v>55.04</v>
      </c>
      <c r="F33" s="1">
        <v>46.83</v>
      </c>
      <c r="G33" s="1">
        <v>35.19</v>
      </c>
      <c r="H33" s="1">
        <v>96.35</v>
      </c>
      <c r="I33" s="1">
        <v>263.92</v>
      </c>
      <c r="J33" s="1">
        <v>291.89999999999998</v>
      </c>
      <c r="K33" s="1">
        <v>262.23</v>
      </c>
      <c r="L33" s="1">
        <v>373.6</v>
      </c>
      <c r="M33" s="1">
        <v>597.44000000000005</v>
      </c>
    </row>
    <row r="34" spans="1:13" x14ac:dyDescent="0.2">
      <c r="A34" t="s">
        <v>45</v>
      </c>
      <c r="B34" s="1"/>
      <c r="C34" s="1"/>
      <c r="D34" s="1"/>
      <c r="E34" s="1"/>
      <c r="F34" s="1">
        <v>312.14</v>
      </c>
      <c r="G34" s="1">
        <v>289.86</v>
      </c>
      <c r="H34" s="1">
        <v>543.24</v>
      </c>
      <c r="I34" s="1">
        <v>1093.77</v>
      </c>
      <c r="J34" s="1">
        <v>1772.73</v>
      </c>
      <c r="K34" s="1">
        <v>2459.04</v>
      </c>
      <c r="L34" s="1">
        <v>4453.68</v>
      </c>
      <c r="M34" s="1">
        <v>3878.82</v>
      </c>
    </row>
    <row r="35" spans="1:13" x14ac:dyDescent="0.2">
      <c r="A35" t="s">
        <v>46</v>
      </c>
      <c r="B35" s="1"/>
      <c r="C35" s="1"/>
      <c r="D35" s="1"/>
      <c r="E35" s="1"/>
      <c r="F35" s="1">
        <v>1000</v>
      </c>
      <c r="G35" s="1">
        <v>1000</v>
      </c>
      <c r="H35" s="1">
        <v>1000</v>
      </c>
      <c r="I35" s="1">
        <v>1000</v>
      </c>
      <c r="J35" s="1">
        <v>1000</v>
      </c>
      <c r="K35" s="1"/>
      <c r="L35" s="1">
        <v>247.2</v>
      </c>
      <c r="M35" s="1">
        <v>39963.57</v>
      </c>
    </row>
    <row r="36" spans="1:13" x14ac:dyDescent="0.2">
      <c r="A36" t="s">
        <v>47</v>
      </c>
      <c r="B36" s="1"/>
      <c r="C36" s="1"/>
      <c r="D36" s="1"/>
      <c r="E36" s="1"/>
      <c r="F36" s="1">
        <v>133.91999999999999</v>
      </c>
      <c r="G36" s="1"/>
      <c r="H36" s="1"/>
      <c r="I36" s="1">
        <v>5.99</v>
      </c>
      <c r="J36" s="1"/>
      <c r="K36" s="1"/>
      <c r="L36" s="1">
        <v>16.11</v>
      </c>
      <c r="M36" s="1">
        <v>134.75</v>
      </c>
    </row>
    <row r="37" spans="1:13" x14ac:dyDescent="0.2">
      <c r="A37" t="s">
        <v>48</v>
      </c>
      <c r="B37" s="1"/>
      <c r="C37" s="1"/>
      <c r="D37" s="1"/>
      <c r="E37" s="1"/>
      <c r="F37" s="1">
        <v>326.42</v>
      </c>
      <c r="G37" s="1">
        <v>316.81</v>
      </c>
      <c r="H37" s="1">
        <v>307.26</v>
      </c>
      <c r="I37" s="1">
        <v>561.1</v>
      </c>
      <c r="J37" s="1">
        <v>365.96</v>
      </c>
      <c r="K37" s="1">
        <v>754.14</v>
      </c>
      <c r="L37" s="1">
        <v>21105.34</v>
      </c>
      <c r="M37" s="1">
        <v>4567.0600000000004</v>
      </c>
    </row>
    <row r="38" spans="1:13" x14ac:dyDescent="0.2">
      <c r="A38" s="2" t="s">
        <v>49</v>
      </c>
      <c r="B38" s="1">
        <v>12940.63</v>
      </c>
      <c r="C38" s="1">
        <v>20289.310000000001</v>
      </c>
      <c r="D38" s="1">
        <v>37212.07</v>
      </c>
      <c r="E38" s="1">
        <v>50456.45</v>
      </c>
      <c r="F38" s="1">
        <v>58903.9</v>
      </c>
      <c r="G38" s="1">
        <v>78084.160000000003</v>
      </c>
      <c r="H38" s="1">
        <v>107924.09</v>
      </c>
      <c r="I38" s="1">
        <v>165971.88</v>
      </c>
      <c r="J38" s="1">
        <v>189628.11</v>
      </c>
      <c r="K38" s="1">
        <v>223225.95</v>
      </c>
      <c r="L38" s="1">
        <v>290407.58</v>
      </c>
      <c r="M38" s="1">
        <v>326360.24</v>
      </c>
    </row>
    <row r="39" spans="1:13" x14ac:dyDescent="0.2">
      <c r="A39" s="2" t="s">
        <v>50</v>
      </c>
      <c r="B39" s="3" t="s">
        <v>17</v>
      </c>
      <c r="C39" s="3" t="s">
        <v>17</v>
      </c>
      <c r="D39" s="3" t="s">
        <v>17</v>
      </c>
      <c r="E39" s="3" t="s">
        <v>17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  <c r="L39" s="3" t="s">
        <v>17</v>
      </c>
      <c r="M39" s="3" t="s">
        <v>17</v>
      </c>
    </row>
    <row r="40" spans="1:13" x14ac:dyDescent="0.2">
      <c r="A40" t="s">
        <v>51</v>
      </c>
      <c r="B40" s="1">
        <v>179.67</v>
      </c>
      <c r="C40" s="1">
        <v>1332.53</v>
      </c>
      <c r="D40" s="1">
        <v>1333.36</v>
      </c>
      <c r="E40" s="1">
        <v>1359.13</v>
      </c>
      <c r="F40" s="1">
        <v>1612.91</v>
      </c>
      <c r="G40" s="1">
        <v>1612.91</v>
      </c>
      <c r="H40" s="1">
        <v>2511.7399999999998</v>
      </c>
      <c r="I40" s="1">
        <v>3911.74</v>
      </c>
      <c r="J40" s="1">
        <v>3911.74</v>
      </c>
      <c r="K40" s="1">
        <v>3911.74</v>
      </c>
      <c r="L40" s="1">
        <v>3911.74</v>
      </c>
      <c r="M40" s="1">
        <v>4300.7700000000004</v>
      </c>
    </row>
    <row r="41" spans="1:13" x14ac:dyDescent="0.2">
      <c r="A41" t="s">
        <v>52</v>
      </c>
      <c r="B41" s="1"/>
      <c r="C41" s="1"/>
      <c r="D41" s="1"/>
      <c r="E41" s="1"/>
      <c r="F41" s="1">
        <v>288.41000000000003</v>
      </c>
      <c r="G41" s="1">
        <v>-90.02</v>
      </c>
      <c r="H41" s="1">
        <v>1241.18</v>
      </c>
      <c r="I41" s="1">
        <v>6536.51</v>
      </c>
      <c r="J41" s="1">
        <v>6492.39</v>
      </c>
      <c r="K41" s="1">
        <v>5992.55</v>
      </c>
      <c r="L41" s="1">
        <v>6532.84</v>
      </c>
      <c r="M41" s="1">
        <v>6532.84</v>
      </c>
    </row>
    <row r="42" spans="1:13" x14ac:dyDescent="0.2">
      <c r="A42" t="s">
        <v>53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>
        <v>18.2</v>
      </c>
      <c r="M42" s="1">
        <v>381.96</v>
      </c>
    </row>
    <row r="43" spans="1:13" x14ac:dyDescent="0.2">
      <c r="A43" t="s">
        <v>54</v>
      </c>
      <c r="B43" s="1">
        <v>32.57</v>
      </c>
      <c r="C43" s="1">
        <v>72.42</v>
      </c>
      <c r="D43" s="1">
        <v>97.86</v>
      </c>
      <c r="E43" s="1">
        <v>192.24</v>
      </c>
      <c r="F43" s="1">
        <v>285.99</v>
      </c>
      <c r="G43" s="1">
        <v>471.78</v>
      </c>
      <c r="H43" s="1">
        <v>731.42</v>
      </c>
      <c r="I43" s="1">
        <v>1121.6600000000001</v>
      </c>
      <c r="J43" s="1">
        <v>1499.9</v>
      </c>
      <c r="K43" s="1">
        <v>1954.44</v>
      </c>
      <c r="L43" s="1">
        <v>2495.85</v>
      </c>
      <c r="M43" s="1">
        <v>3144.7</v>
      </c>
    </row>
    <row r="44" spans="1:13" x14ac:dyDescent="0.2">
      <c r="A44" t="s">
        <v>55</v>
      </c>
      <c r="B44" s="1">
        <v>39.229999999999997</v>
      </c>
      <c r="C44" s="1">
        <v>48.47</v>
      </c>
      <c r="D44" s="1">
        <v>205.74</v>
      </c>
      <c r="E44" s="1">
        <v>448.95</v>
      </c>
      <c r="F44" s="1">
        <v>555.25</v>
      </c>
      <c r="G44" s="1">
        <v>1227.53</v>
      </c>
      <c r="H44" s="1">
        <v>1896.36</v>
      </c>
      <c r="I44" s="1">
        <v>2915.26</v>
      </c>
      <c r="J44" s="1">
        <v>4127.38</v>
      </c>
      <c r="K44" s="1">
        <v>4789.42</v>
      </c>
      <c r="L44" s="1">
        <v>5558</v>
      </c>
      <c r="M44" s="1">
        <v>6684.43</v>
      </c>
    </row>
    <row r="45" spans="1:13" x14ac:dyDescent="0.2">
      <c r="A45" t="s">
        <v>56</v>
      </c>
      <c r="B45" s="1"/>
      <c r="C45" s="1">
        <v>69.62</v>
      </c>
      <c r="D45" s="1">
        <v>139.24</v>
      </c>
      <c r="E45" s="1">
        <v>208.85</v>
      </c>
      <c r="F45" s="1">
        <v>278.47000000000003</v>
      </c>
      <c r="G45" s="1">
        <v>329.5</v>
      </c>
      <c r="H45" s="1">
        <v>398.92</v>
      </c>
      <c r="I45" s="1">
        <v>1024.8</v>
      </c>
      <c r="J45" s="1">
        <v>1462.81</v>
      </c>
      <c r="K45" s="1">
        <v>2198.44</v>
      </c>
      <c r="L45" s="1">
        <v>3304.39</v>
      </c>
      <c r="M45" s="1">
        <v>4465.07</v>
      </c>
    </row>
    <row r="46" spans="1:13" x14ac:dyDescent="0.2">
      <c r="A46" s="2" t="s">
        <v>57</v>
      </c>
      <c r="B46" s="1">
        <v>251.47</v>
      </c>
      <c r="C46" s="1">
        <v>1523.04</v>
      </c>
      <c r="D46" s="1">
        <v>1776.19</v>
      </c>
      <c r="E46" s="1">
        <v>2209.19</v>
      </c>
      <c r="F46" s="1">
        <v>3021.03</v>
      </c>
      <c r="G46" s="1">
        <v>3551.69</v>
      </c>
      <c r="H46" s="1">
        <v>6779.62</v>
      </c>
      <c r="I46" s="1">
        <v>15509.96</v>
      </c>
      <c r="J46" s="1">
        <v>17494.23</v>
      </c>
      <c r="K46" s="1">
        <v>18846.59</v>
      </c>
      <c r="L46" s="1">
        <v>21821.01</v>
      </c>
      <c r="M46" s="1">
        <v>25509.78</v>
      </c>
    </row>
    <row r="47" spans="1:13" x14ac:dyDescent="0.2">
      <c r="A47" t="s">
        <v>58</v>
      </c>
      <c r="B47" s="1"/>
      <c r="C47" s="1"/>
      <c r="D47" s="1"/>
      <c r="E47" s="1">
        <v>1.17</v>
      </c>
      <c r="F47" s="1">
        <v>10.67</v>
      </c>
      <c r="G47" s="1">
        <v>12.74</v>
      </c>
      <c r="H47" s="1">
        <v>140.68</v>
      </c>
      <c r="I47" s="1">
        <v>458.72</v>
      </c>
      <c r="J47" s="1">
        <v>495.95</v>
      </c>
      <c r="K47" s="1">
        <v>483.83</v>
      </c>
      <c r="L47" s="1">
        <v>636.13</v>
      </c>
      <c r="M47" s="1">
        <v>725.32</v>
      </c>
    </row>
    <row r="48" spans="1:13" x14ac:dyDescent="0.2">
      <c r="A48" s="2" t="s">
        <v>59</v>
      </c>
      <c r="B48" s="1">
        <v>251.47</v>
      </c>
      <c r="C48" s="1">
        <v>1523.04</v>
      </c>
      <c r="D48" s="1">
        <v>1776.19</v>
      </c>
      <c r="E48" s="1">
        <v>2210.36</v>
      </c>
      <c r="F48" s="1">
        <v>3031.7</v>
      </c>
      <c r="G48" s="1">
        <v>3564.42</v>
      </c>
      <c r="H48" s="1">
        <v>6920.3</v>
      </c>
      <c r="I48" s="1">
        <v>15968.68</v>
      </c>
      <c r="J48" s="1">
        <v>17990.18</v>
      </c>
      <c r="K48" s="1">
        <v>19330.419999999998</v>
      </c>
      <c r="L48" s="1">
        <v>22457.14</v>
      </c>
      <c r="M48" s="1">
        <v>26235.1</v>
      </c>
    </row>
    <row r="49" spans="1:13" x14ac:dyDescent="0.2">
      <c r="A49" s="2" t="s">
        <v>60</v>
      </c>
      <c r="B49" s="1">
        <v>13192.1</v>
      </c>
      <c r="C49" s="1">
        <v>21812.35</v>
      </c>
      <c r="D49" s="1">
        <v>38988.26</v>
      </c>
      <c r="E49" s="1">
        <v>52666.8</v>
      </c>
      <c r="F49" s="1">
        <v>61935.6</v>
      </c>
      <c r="G49" s="1">
        <v>81648.58</v>
      </c>
      <c r="H49" s="1">
        <v>114844.4</v>
      </c>
      <c r="I49" s="1">
        <v>181940.56</v>
      </c>
      <c r="J49" s="1">
        <v>207618.29</v>
      </c>
      <c r="K49" s="1">
        <v>242556.37</v>
      </c>
      <c r="L49" s="1">
        <v>312864.71999999997</v>
      </c>
      <c r="M49" s="1">
        <v>352595.34</v>
      </c>
    </row>
    <row r="50" spans="1:13" x14ac:dyDescent="0.2">
      <c r="A50" t="s">
        <v>61</v>
      </c>
      <c r="B50" s="3" t="s">
        <v>62</v>
      </c>
      <c r="C50" s="3" t="s">
        <v>62</v>
      </c>
      <c r="D50" s="3" t="s">
        <v>62</v>
      </c>
      <c r="E50" s="3" t="s">
        <v>62</v>
      </c>
      <c r="F50" s="3" t="s">
        <v>62</v>
      </c>
      <c r="G50" s="3" t="s">
        <v>62</v>
      </c>
      <c r="H50" s="3" t="s">
        <v>62</v>
      </c>
      <c r="I50" s="3" t="s">
        <v>62</v>
      </c>
      <c r="J50" s="3" t="s">
        <v>62</v>
      </c>
      <c r="K50" s="3" t="s">
        <v>62</v>
      </c>
      <c r="L50" s="3" t="s">
        <v>62</v>
      </c>
      <c r="M50" s="3" t="s">
        <v>62</v>
      </c>
    </row>
    <row r="51" spans="1:13" x14ac:dyDescent="0.2">
      <c r="A51" t="s">
        <v>63</v>
      </c>
      <c r="B51" s="3" t="s">
        <v>62</v>
      </c>
      <c r="C51" s="3" t="s">
        <v>62</v>
      </c>
      <c r="D51" s="3" t="s">
        <v>62</v>
      </c>
      <c r="E51" s="3" t="s">
        <v>62</v>
      </c>
      <c r="F51" s="3" t="s">
        <v>62</v>
      </c>
      <c r="G51" s="3" t="s">
        <v>62</v>
      </c>
      <c r="H51" s="3" t="s">
        <v>62</v>
      </c>
      <c r="I51" s="3" t="s">
        <v>62</v>
      </c>
      <c r="J51" s="3" t="s">
        <v>62</v>
      </c>
      <c r="K51" s="3" t="s">
        <v>62</v>
      </c>
      <c r="L51" s="3" t="s">
        <v>62</v>
      </c>
      <c r="M51" s="3" t="s">
        <v>62</v>
      </c>
    </row>
    <row r="52" spans="1:13" x14ac:dyDescent="0.2">
      <c r="A52" t="s">
        <v>64</v>
      </c>
      <c r="B52" s="3" t="s">
        <v>65</v>
      </c>
      <c r="C52" s="3" t="s">
        <v>65</v>
      </c>
      <c r="D52" s="3" t="s">
        <v>65</v>
      </c>
      <c r="E52" s="3" t="s">
        <v>65</v>
      </c>
      <c r="F52" s="3" t="s">
        <v>65</v>
      </c>
      <c r="G52" s="3" t="s">
        <v>65</v>
      </c>
      <c r="H52" s="3" t="s">
        <v>65</v>
      </c>
      <c r="I52" s="3" t="s">
        <v>65</v>
      </c>
      <c r="J52" s="3" t="s">
        <v>65</v>
      </c>
      <c r="K52" s="3" t="s">
        <v>65</v>
      </c>
      <c r="L52" s="3" t="s">
        <v>65</v>
      </c>
      <c r="M52" s="3" t="s">
        <v>65</v>
      </c>
    </row>
    <row r="53" spans="1:13" x14ac:dyDescent="0.2">
      <c r="A53" t="s">
        <v>66</v>
      </c>
      <c r="B53" s="3" t="s">
        <v>67</v>
      </c>
      <c r="C53" s="3" t="s">
        <v>67</v>
      </c>
      <c r="D53" s="3" t="s">
        <v>67</v>
      </c>
      <c r="E53" s="3" t="s">
        <v>67</v>
      </c>
      <c r="F53" s="3" t="s">
        <v>67</v>
      </c>
      <c r="G53" s="3" t="s">
        <v>67</v>
      </c>
      <c r="H53" s="3" t="s">
        <v>67</v>
      </c>
      <c r="I53" s="3" t="s">
        <v>67</v>
      </c>
      <c r="J53" s="3" t="s">
        <v>67</v>
      </c>
      <c r="K53" s="3" t="s">
        <v>67</v>
      </c>
      <c r="L53" s="3" t="s">
        <v>67</v>
      </c>
      <c r="M53" s="3" t="s">
        <v>67</v>
      </c>
    </row>
    <row r="54" spans="1:13" x14ac:dyDescent="0.2">
      <c r="A54" t="s">
        <v>68</v>
      </c>
      <c r="B54" s="3" t="s">
        <v>69</v>
      </c>
      <c r="C54" s="3" t="s">
        <v>69</v>
      </c>
      <c r="D54" s="3" t="s">
        <v>69</v>
      </c>
      <c r="E54" s="3" t="s">
        <v>69</v>
      </c>
      <c r="F54" s="3" t="s">
        <v>69</v>
      </c>
      <c r="G54" s="3" t="s">
        <v>69</v>
      </c>
      <c r="H54" s="3" t="s">
        <v>69</v>
      </c>
      <c r="I54" s="3" t="s">
        <v>69</v>
      </c>
      <c r="J54" s="3" t="s">
        <v>69</v>
      </c>
      <c r="K54" s="3" t="s">
        <v>69</v>
      </c>
      <c r="L54" s="3" t="s">
        <v>69</v>
      </c>
      <c r="M54" s="3" t="s">
        <v>69</v>
      </c>
    </row>
    <row r="55" spans="1:13" x14ac:dyDescent="0.2">
      <c r="A55" t="s">
        <v>70</v>
      </c>
      <c r="B55" t="s">
        <v>71</v>
      </c>
      <c r="C55" t="s">
        <v>71</v>
      </c>
      <c r="D55" t="s">
        <v>71</v>
      </c>
      <c r="E55" t="s">
        <v>71</v>
      </c>
      <c r="F55" t="s">
        <v>71</v>
      </c>
      <c r="G55" t="s">
        <v>71</v>
      </c>
      <c r="H55" t="s">
        <v>71</v>
      </c>
      <c r="I55" t="s">
        <v>71</v>
      </c>
      <c r="J55" t="s">
        <v>71</v>
      </c>
      <c r="K55" t="s">
        <v>71</v>
      </c>
      <c r="L55" t="s">
        <v>71</v>
      </c>
      <c r="M55" t="s">
        <v>71</v>
      </c>
    </row>
    <row r="56" spans="1:13" x14ac:dyDescent="0.2">
      <c r="A56" t="s">
        <v>72</v>
      </c>
      <c r="B56" s="3" t="s">
        <v>73</v>
      </c>
      <c r="C56" s="3" t="s">
        <v>73</v>
      </c>
      <c r="D56" s="3" t="s">
        <v>73</v>
      </c>
      <c r="E56" s="3" t="s">
        <v>74</v>
      </c>
      <c r="F56" s="3" t="s">
        <v>75</v>
      </c>
      <c r="G56" s="3" t="s">
        <v>76</v>
      </c>
      <c r="H56" s="3" t="s">
        <v>77</v>
      </c>
      <c r="I56" s="3" t="s">
        <v>78</v>
      </c>
      <c r="J56" s="3" t="s">
        <v>79</v>
      </c>
      <c r="K56" s="3" t="s">
        <v>80</v>
      </c>
      <c r="L56" s="3" t="s">
        <v>81</v>
      </c>
      <c r="M56" s="3" t="s">
        <v>82</v>
      </c>
    </row>
    <row r="57" spans="1:13" x14ac:dyDescent="0.2">
      <c r="A57" t="s">
        <v>83</v>
      </c>
      <c r="B57" s="3" t="s">
        <v>84</v>
      </c>
      <c r="C57" s="3" t="s">
        <v>84</v>
      </c>
      <c r="D57" s="3" t="s">
        <v>84</v>
      </c>
      <c r="E57" s="3" t="s">
        <v>84</v>
      </c>
      <c r="F57" s="3" t="s">
        <v>84</v>
      </c>
      <c r="G57" s="3" t="s">
        <v>84</v>
      </c>
      <c r="H57" s="3" t="s">
        <v>84</v>
      </c>
      <c r="I57" s="3" t="s">
        <v>84</v>
      </c>
      <c r="J57" s="3" t="s">
        <v>84</v>
      </c>
      <c r="K57" s="3" t="s">
        <v>84</v>
      </c>
      <c r="L57" s="3" t="s">
        <v>84</v>
      </c>
      <c r="M57" s="3" t="s">
        <v>84</v>
      </c>
    </row>
    <row r="61" spans="1:13" x14ac:dyDescent="0.2">
      <c r="A61" t="s">
        <v>85</v>
      </c>
    </row>
  </sheetData>
  <phoneticPr fontId="2" type="noConversion"/>
  <conditionalFormatting sqref="B5:M4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{0412CDA5-F6B3-DB44-B4DA-8F146BE2376F}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12CDA5-F6B3-DB44-B4DA-8F146BE23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B5:M49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F0200063.00-资产负债表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Lin Ethan</cp:lastModifiedBy>
  <dcterms:created xsi:type="dcterms:W3CDTF">2016-05-31T02:37:39Z</dcterms:created>
  <dcterms:modified xsi:type="dcterms:W3CDTF">2021-11-19T02:48:24Z</dcterms:modified>
</cp:coreProperties>
</file>