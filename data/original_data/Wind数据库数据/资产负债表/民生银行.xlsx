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600016.SH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" i="2" l="1"/>
  <c r="G14" i="2"/>
  <c r="H14" i="2"/>
  <c r="E14" i="2"/>
  <c r="F33" i="2"/>
  <c r="G33" i="2"/>
  <c r="H33" i="2"/>
  <c r="E33" i="2"/>
</calcChain>
</file>

<file path=xl/sharedStrings.xml><?xml version="1.0" encoding="utf-8"?>
<sst xmlns="http://schemas.openxmlformats.org/spreadsheetml/2006/main" count="272" uniqueCount="99">
  <si>
    <t>2002-12-31</t>
  </si>
  <si>
    <t>2003-12-31</t>
  </si>
  <si>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</si>
  <si>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</si>
  <si>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</si>
  <si>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</si>
  <si>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</si>
  <si>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</si>
  <si>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</si>
  <si>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</si>
  <si>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</si>
  <si>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</si>
  <si>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</si>
  <si>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</si>
  <si>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</si>
  <si>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</si>
  <si>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</si>
  <si>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</si>
  <si>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</si>
  <si>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</si>
  <si>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</si>
  <si>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</si>
  <si>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</si>
  <si>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</si>
  <si>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</si>
  <si>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衍生金融资产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</si>
  <si>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</si>
  <si>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</si>
  <si>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</si>
  <si>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</si>
  <si>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</si>
  <si>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</si>
  <si>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</si>
  <si>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</si>
  <si>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</si>
  <si>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</si>
  <si>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</si>
  <si>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</si>
  <si>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</si>
  <si>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</si>
  <si>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</si>
  <si>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</si>
  <si>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</si>
  <si>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</si>
  <si>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衍生金融负债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</si>
  <si>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</si>
  <si>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</si>
  <si>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</si>
  <si>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</si>
  <si>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</si>
  <si>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</si>
  <si>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</si>
  <si>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</si>
  <si>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</si>
  <si>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</si>
  <si>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</si>
  <si>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</si>
  <si>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</si>
  <si>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</si>
  <si>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</si>
  <si>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</si>
  <si>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</si>
  <si>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</si>
  <si>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</si>
  <si>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股东权益差额(特殊报表科目)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</si>
  <si>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</si>
  <si>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</si>
  <si>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</si>
  <si>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</si>
  <si>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</si>
  <si>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</si>
  <si>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</si>
  <si>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</si>
  <si>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</si>
  <si>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</si>
  <si>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</si>
  <si>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</si>
  <si>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</si>
  <si>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审计意见(境外)</t>
  </si>
  <si>
    <t>原始报表</t>
  </si>
  <si>
    <t>点击浏览</t>
  </si>
  <si>
    <t>公告日期</t>
  </si>
  <si>
    <t>2003-01-28</t>
  </si>
  <si>
    <t>2004-02-27</t>
  </si>
  <si>
    <t>2005-02-24</t>
  </si>
  <si>
    <t>2007-03-19</t>
  </si>
  <si>
    <t>2008-03-04</t>
  </si>
  <si>
    <t>2009-04-23</t>
  </si>
  <si>
    <t>2010-04-20</t>
  </si>
  <si>
    <t>2011-03-26</t>
  </si>
  <si>
    <t>2012-03-23</t>
  </si>
  <si>
    <t>2013-03-29</t>
  </si>
  <si>
    <t>2014-03-29</t>
  </si>
  <si>
    <t>2015-03-31</t>
  </si>
  <si>
    <t>2016-03-31</t>
  </si>
  <si>
    <t>数据来源</t>
  </si>
  <si>
    <t>WIND调整计算值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</si>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</sst>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8"/>
  <sheetViews>
    <sheetView tabSelected="1" topLeftCell="A16" workbookViewId="0">
      <selection activeCell="E33" sqref="E33:G33"/>
    </sheetView>
  </sheetViews>
  <sheetFormatPr defaultRowHeight="13.5" x14ac:dyDescent="0.15"/>
  <cols>
    <col min="1" max="1" width="34.125" bestFit="1" customWidth="1"/>
    <col min="2" max="4" width="15.375" bestFit="1" customWidth="1"/>
    <col min="5" max="15" width="15.125" bestFit="1" customWidth="1"/>
  </cols>
  <sheetData>
    <row r="1" spans="1:15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15">
      <c r="A2" s="1" t="s">
        <v>14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2" t="s">
        <v>15</v>
      </c>
      <c r="M2" s="2" t="s">
        <v>15</v>
      </c>
      <c r="N2" s="2" t="s">
        <v>15</v>
      </c>
      <c r="O2" s="2" t="s">
        <v>15</v>
      </c>
    </row>
    <row r="3" spans="1:15" x14ac:dyDescent="0.15">
      <c r="A3" s="1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2" t="s">
        <v>17</v>
      </c>
      <c r="O3" s="2" t="s">
        <v>17</v>
      </c>
    </row>
    <row r="4" spans="1:15" x14ac:dyDescent="0.15">
      <c r="A4" s="3" t="s">
        <v>18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s="2" t="s">
        <v>19</v>
      </c>
      <c r="M4" s="2" t="s">
        <v>19</v>
      </c>
      <c r="N4" s="2" t="s">
        <v>19</v>
      </c>
      <c r="O4" s="2" t="s">
        <v>19</v>
      </c>
    </row>
    <row r="5" spans="1:15" x14ac:dyDescent="0.15">
      <c r="A5" s="1" t="s">
        <v>20</v>
      </c>
      <c r="B5" s="1"/>
      <c r="C5" s="1"/>
      <c r="D5" s="1"/>
      <c r="E5" s="1">
        <v>56778.78</v>
      </c>
      <c r="F5" s="1">
        <v>107734.38</v>
      </c>
      <c r="G5" s="1">
        <v>110280.84</v>
      </c>
      <c r="H5" s="1">
        <v>184778</v>
      </c>
      <c r="I5" s="1">
        <v>226054</v>
      </c>
      <c r="J5" s="1">
        <v>266835</v>
      </c>
      <c r="K5" s="1">
        <v>332805</v>
      </c>
      <c r="L5" s="1">
        <v>420418</v>
      </c>
      <c r="M5" s="1">
        <v>433802</v>
      </c>
      <c r="N5" s="1">
        <v>471632</v>
      </c>
      <c r="O5" s="1">
        <v>432831</v>
      </c>
    </row>
    <row r="6" spans="1:15" x14ac:dyDescent="0.15">
      <c r="A6" s="1" t="s">
        <v>21</v>
      </c>
      <c r="B6" s="1"/>
      <c r="C6" s="1"/>
      <c r="D6" s="1"/>
      <c r="E6" s="1">
        <v>10639.25</v>
      </c>
      <c r="F6" s="1">
        <v>9034.35</v>
      </c>
      <c r="G6" s="1">
        <v>8697.1</v>
      </c>
      <c r="H6" s="1">
        <v>14748</v>
      </c>
      <c r="I6" s="1">
        <v>61848</v>
      </c>
      <c r="J6" s="1">
        <v>125462</v>
      </c>
      <c r="K6" s="1">
        <v>232336</v>
      </c>
      <c r="L6" s="1">
        <v>236161</v>
      </c>
      <c r="M6" s="1">
        <v>88885</v>
      </c>
      <c r="N6" s="1">
        <v>75462</v>
      </c>
      <c r="O6" s="1">
        <v>101428</v>
      </c>
    </row>
    <row r="7" spans="1:15" x14ac:dyDescent="0.15">
      <c r="A7" s="1" t="s">
        <v>22</v>
      </c>
      <c r="B7" s="1"/>
      <c r="C7" s="1"/>
      <c r="D7" s="1"/>
      <c r="E7" s="1"/>
      <c r="F7" s="1"/>
      <c r="G7" s="1">
        <v>416.89</v>
      </c>
      <c r="H7" s="1">
        <v>110</v>
      </c>
      <c r="I7" s="1">
        <v>265</v>
      </c>
      <c r="J7" s="1">
        <v>279</v>
      </c>
      <c r="K7" s="1">
        <v>527</v>
      </c>
      <c r="L7" s="1">
        <v>3723</v>
      </c>
      <c r="M7" s="1">
        <v>2913</v>
      </c>
      <c r="N7" s="1">
        <v>25639</v>
      </c>
      <c r="O7" s="1">
        <v>18425</v>
      </c>
    </row>
    <row r="8" spans="1:15" x14ac:dyDescent="0.15">
      <c r="A8" s="1" t="s">
        <v>23</v>
      </c>
      <c r="B8" s="1"/>
      <c r="C8" s="1"/>
      <c r="D8" s="1"/>
      <c r="E8" s="1">
        <v>8192.84</v>
      </c>
      <c r="F8" s="1">
        <v>11826.59</v>
      </c>
      <c r="G8" s="1">
        <v>17438.07</v>
      </c>
      <c r="H8" s="1">
        <v>17095</v>
      </c>
      <c r="I8" s="1">
        <v>20716</v>
      </c>
      <c r="J8" s="1">
        <v>36453</v>
      </c>
      <c r="K8" s="1">
        <v>37745</v>
      </c>
      <c r="L8" s="1">
        <v>80082</v>
      </c>
      <c r="M8" s="1">
        <v>108026</v>
      </c>
      <c r="N8" s="1">
        <v>176416</v>
      </c>
      <c r="O8" s="1">
        <v>229217</v>
      </c>
    </row>
    <row r="9" spans="1:15" x14ac:dyDescent="0.15">
      <c r="A9" s="1" t="s">
        <v>24</v>
      </c>
      <c r="B9" s="1">
        <v>4865.63</v>
      </c>
      <c r="C9" s="1">
        <v>793.1</v>
      </c>
      <c r="D9" s="1">
        <v>10335.23</v>
      </c>
      <c r="E9" s="1"/>
      <c r="F9" s="1"/>
      <c r="G9" s="1">
        <v>2572.31</v>
      </c>
      <c r="H9" s="1">
        <v>4405</v>
      </c>
      <c r="I9" s="1">
        <v>4747</v>
      </c>
      <c r="J9" s="1">
        <v>6024</v>
      </c>
      <c r="K9" s="1">
        <v>20423</v>
      </c>
      <c r="L9" s="1">
        <v>26318</v>
      </c>
      <c r="M9" s="1">
        <v>22262</v>
      </c>
      <c r="N9" s="1">
        <v>27213</v>
      </c>
      <c r="O9" s="1">
        <v>26959</v>
      </c>
    </row>
    <row r="10" spans="1:15" x14ac:dyDescent="0.15">
      <c r="A10" s="1" t="s">
        <v>25</v>
      </c>
      <c r="B10" s="1"/>
      <c r="C10" s="1"/>
      <c r="D10" s="1"/>
      <c r="E10" s="1">
        <v>41.69</v>
      </c>
      <c r="F10" s="1">
        <v>211.75</v>
      </c>
      <c r="G10" s="1">
        <v>1285.47</v>
      </c>
      <c r="H10" s="1">
        <v>1216</v>
      </c>
      <c r="I10" s="1">
        <v>465</v>
      </c>
      <c r="J10" s="1">
        <v>476</v>
      </c>
      <c r="K10" s="1">
        <v>587</v>
      </c>
      <c r="L10" s="1">
        <v>1234</v>
      </c>
      <c r="M10" s="1">
        <v>1986</v>
      </c>
      <c r="N10" s="1">
        <v>3231</v>
      </c>
      <c r="O10" s="1">
        <v>5175</v>
      </c>
    </row>
    <row r="11" spans="1:15" x14ac:dyDescent="0.15">
      <c r="A11" s="1" t="s">
        <v>26</v>
      </c>
      <c r="B11" s="1"/>
      <c r="C11" s="1"/>
      <c r="D11" s="1"/>
      <c r="E11" s="1">
        <v>20009.64</v>
      </c>
      <c r="F11" s="1">
        <v>20321.349999999999</v>
      </c>
      <c r="G11" s="1">
        <v>62797</v>
      </c>
      <c r="H11" s="1">
        <v>35313</v>
      </c>
      <c r="I11" s="1">
        <v>52299</v>
      </c>
      <c r="J11" s="1">
        <v>112932</v>
      </c>
      <c r="K11" s="1">
        <v>141022</v>
      </c>
      <c r="L11" s="1">
        <v>732662</v>
      </c>
      <c r="M11" s="1">
        <v>570424</v>
      </c>
      <c r="N11" s="1">
        <v>675878</v>
      </c>
      <c r="O11" s="1">
        <v>570657</v>
      </c>
    </row>
    <row r="12" spans="1:15" x14ac:dyDescent="0.15">
      <c r="A12" s="1" t="s">
        <v>27</v>
      </c>
      <c r="B12" s="1">
        <v>708.61</v>
      </c>
      <c r="C12" s="1">
        <v>1233.4100000000001</v>
      </c>
      <c r="D12" s="1">
        <v>1382.8</v>
      </c>
      <c r="E12" s="1">
        <v>1664.29</v>
      </c>
      <c r="F12" s="1">
        <v>2104.4899999999998</v>
      </c>
      <c r="G12" s="1">
        <v>3750.49</v>
      </c>
      <c r="H12" s="1">
        <v>3402</v>
      </c>
      <c r="I12" s="1">
        <v>4234</v>
      </c>
      <c r="J12" s="1">
        <v>5169</v>
      </c>
      <c r="K12" s="1">
        <v>7210</v>
      </c>
      <c r="L12" s="1">
        <v>9638</v>
      </c>
      <c r="M12" s="1">
        <v>12339</v>
      </c>
      <c r="N12" s="1">
        <v>16593</v>
      </c>
      <c r="O12" s="1">
        <v>19164</v>
      </c>
    </row>
    <row r="13" spans="1:15" x14ac:dyDescent="0.15">
      <c r="A13" s="1" t="s">
        <v>28</v>
      </c>
      <c r="B13" s="1"/>
      <c r="C13" s="1"/>
      <c r="D13" s="1"/>
      <c r="E13" s="1">
        <v>373232.23</v>
      </c>
      <c r="F13" s="1">
        <v>441030.68</v>
      </c>
      <c r="G13" s="1">
        <v>547295.67000000004</v>
      </c>
      <c r="H13" s="1">
        <v>646475</v>
      </c>
      <c r="I13" s="1">
        <v>867738</v>
      </c>
      <c r="J13" s="1">
        <v>1037723</v>
      </c>
      <c r="K13" s="1">
        <v>1178285</v>
      </c>
      <c r="L13" s="1">
        <v>1351512</v>
      </c>
      <c r="M13" s="1">
        <v>1539447</v>
      </c>
      <c r="N13" s="1">
        <v>1774159</v>
      </c>
      <c r="O13" s="1">
        <v>1997625</v>
      </c>
    </row>
    <row r="14" spans="1:15" x14ac:dyDescent="0.15">
      <c r="A14" s="1"/>
      <c r="B14" s="1"/>
      <c r="C14" s="1"/>
      <c r="D14" s="1"/>
      <c r="E14" s="1">
        <f>E12+E13</f>
        <v>374896.51999999996</v>
      </c>
      <c r="F14" s="1">
        <f t="shared" ref="F14:H14" si="0">F12+F13</f>
        <v>443135.17</v>
      </c>
      <c r="G14" s="1">
        <f t="shared" si="0"/>
        <v>551046.16</v>
      </c>
      <c r="H14" s="1">
        <f t="shared" si="0"/>
        <v>649877</v>
      </c>
      <c r="I14" s="1"/>
      <c r="J14" s="1"/>
      <c r="K14" s="1"/>
      <c r="L14" s="1"/>
      <c r="M14" s="1"/>
      <c r="N14" s="1"/>
      <c r="O14" s="1"/>
    </row>
    <row r="15" spans="1:15" x14ac:dyDescent="0.15">
      <c r="A15" s="1" t="s">
        <v>29</v>
      </c>
      <c r="B15" s="1"/>
      <c r="C15" s="1"/>
      <c r="D15" s="1"/>
      <c r="E15" s="1">
        <v>41188.67</v>
      </c>
      <c r="F15" s="1">
        <v>50162.43</v>
      </c>
      <c r="G15" s="1">
        <v>60715.35</v>
      </c>
      <c r="H15" s="1">
        <v>53472</v>
      </c>
      <c r="I15" s="1">
        <v>48910</v>
      </c>
      <c r="J15" s="1">
        <v>35067</v>
      </c>
      <c r="K15" s="1">
        <v>64732</v>
      </c>
      <c r="L15" s="1">
        <v>117150</v>
      </c>
      <c r="M15" s="1">
        <v>111387</v>
      </c>
      <c r="N15" s="1">
        <v>159724</v>
      </c>
      <c r="O15" s="1">
        <v>157000</v>
      </c>
    </row>
    <row r="16" spans="1:15" x14ac:dyDescent="0.15">
      <c r="A16" s="1" t="s">
        <v>30</v>
      </c>
      <c r="B16" s="1"/>
      <c r="C16" s="1"/>
      <c r="D16" s="1"/>
      <c r="E16" s="1">
        <v>35288.67</v>
      </c>
      <c r="F16" s="1">
        <v>40302.300000000003</v>
      </c>
      <c r="G16" s="1">
        <v>45816.05</v>
      </c>
      <c r="H16" s="1">
        <v>38716</v>
      </c>
      <c r="I16" s="1">
        <v>57142</v>
      </c>
      <c r="J16" s="1">
        <v>128610</v>
      </c>
      <c r="K16" s="1">
        <v>117886</v>
      </c>
      <c r="L16" s="1">
        <v>83653</v>
      </c>
      <c r="M16" s="1">
        <v>133124</v>
      </c>
      <c r="N16" s="1">
        <v>176834</v>
      </c>
      <c r="O16" s="1">
        <v>278364</v>
      </c>
    </row>
    <row r="17" spans="1:15" x14ac:dyDescent="0.15">
      <c r="A17" s="1" t="s">
        <v>31</v>
      </c>
      <c r="B17" s="1">
        <v>50</v>
      </c>
      <c r="C17" s="1">
        <v>50</v>
      </c>
      <c r="D17" s="1">
        <v>50</v>
      </c>
      <c r="E17" s="1"/>
      <c r="F17" s="1"/>
      <c r="G17" s="1"/>
      <c r="H17" s="1">
        <v>125</v>
      </c>
      <c r="I17" s="1">
        <v>125</v>
      </c>
      <c r="J17" s="1">
        <v>125</v>
      </c>
      <c r="K17" s="1">
        <v>125</v>
      </c>
      <c r="L17" s="1">
        <v>125</v>
      </c>
      <c r="M17" s="1">
        <v>145</v>
      </c>
      <c r="N17" s="1"/>
      <c r="O17" s="1">
        <v>13</v>
      </c>
    </row>
    <row r="18" spans="1:15" x14ac:dyDescent="0.15">
      <c r="A18" s="1" t="s">
        <v>32</v>
      </c>
      <c r="B18" s="1"/>
      <c r="C18" s="1"/>
      <c r="D18" s="1"/>
      <c r="E18" s="1">
        <v>3671.84</v>
      </c>
      <c r="F18" s="1">
        <v>10228.09</v>
      </c>
      <c r="G18" s="1">
        <v>47449.43</v>
      </c>
      <c r="H18" s="1">
        <v>37066</v>
      </c>
      <c r="I18" s="1">
        <v>45567</v>
      </c>
      <c r="J18" s="1">
        <v>11117</v>
      </c>
      <c r="K18" s="1">
        <v>8319</v>
      </c>
      <c r="L18" s="1">
        <v>15040</v>
      </c>
      <c r="M18" s="1">
        <v>37818</v>
      </c>
      <c r="N18" s="1">
        <v>234393</v>
      </c>
      <c r="O18" s="1">
        <v>451239</v>
      </c>
    </row>
    <row r="19" spans="1:15" x14ac:dyDescent="0.15">
      <c r="A19" s="1" t="s">
        <v>33</v>
      </c>
      <c r="B19" s="1">
        <v>1330.68</v>
      </c>
      <c r="C19" s="1">
        <v>1596.63</v>
      </c>
      <c r="D19" s="1">
        <v>2698.03</v>
      </c>
      <c r="E19" s="1">
        <v>4898.58</v>
      </c>
      <c r="F19" s="1">
        <v>5344.02</v>
      </c>
      <c r="G19" s="1">
        <v>5958.47</v>
      </c>
      <c r="H19" s="1">
        <v>6496</v>
      </c>
      <c r="I19" s="1">
        <v>7440</v>
      </c>
      <c r="J19" s="1">
        <v>8119</v>
      </c>
      <c r="K19" s="1">
        <v>8823</v>
      </c>
      <c r="L19" s="1">
        <v>12161</v>
      </c>
      <c r="M19" s="1">
        <v>21478</v>
      </c>
      <c r="N19" s="1">
        <v>33375</v>
      </c>
      <c r="O19" s="1">
        <v>37726</v>
      </c>
    </row>
    <row r="20" spans="1:15" x14ac:dyDescent="0.15">
      <c r="A20" s="1" t="s">
        <v>34</v>
      </c>
      <c r="B20" s="1">
        <v>6.35</v>
      </c>
      <c r="C20" s="1">
        <v>34.76</v>
      </c>
      <c r="D20" s="1">
        <v>69.55</v>
      </c>
      <c r="E20" s="1">
        <v>117.96</v>
      </c>
      <c r="F20" s="1">
        <v>151.25</v>
      </c>
      <c r="G20" s="1">
        <v>159.36000000000001</v>
      </c>
      <c r="H20" s="1">
        <v>198</v>
      </c>
      <c r="I20" s="1">
        <v>209</v>
      </c>
      <c r="J20" s="1">
        <v>1519</v>
      </c>
      <c r="K20" s="1">
        <v>4770</v>
      </c>
      <c r="L20" s="1">
        <v>4961</v>
      </c>
      <c r="M20" s="1">
        <v>5392</v>
      </c>
      <c r="N20" s="1">
        <v>5273</v>
      </c>
      <c r="O20" s="1">
        <v>5293</v>
      </c>
    </row>
    <row r="21" spans="1:15" x14ac:dyDescent="0.15">
      <c r="A21" s="1" t="s">
        <v>35</v>
      </c>
      <c r="B21" s="1"/>
      <c r="C21" s="1">
        <v>228.88</v>
      </c>
      <c r="D21" s="1">
        <v>383.15</v>
      </c>
      <c r="E21" s="1">
        <v>407.63</v>
      </c>
      <c r="F21" s="1">
        <v>745.73</v>
      </c>
      <c r="G21" s="1">
        <v>1021.11</v>
      </c>
      <c r="H21" s="1">
        <v>1079</v>
      </c>
      <c r="I21" s="1">
        <v>3181</v>
      </c>
      <c r="J21" s="1">
        <v>4455</v>
      </c>
      <c r="K21" s="1">
        <v>6982</v>
      </c>
      <c r="L21" s="1">
        <v>8817</v>
      </c>
      <c r="M21" s="1">
        <v>10683</v>
      </c>
      <c r="N21" s="1">
        <v>11764</v>
      </c>
      <c r="O21" s="1">
        <v>15863</v>
      </c>
    </row>
    <row r="22" spans="1:15" x14ac:dyDescent="0.15">
      <c r="A22" s="1" t="s">
        <v>36</v>
      </c>
      <c r="B22" s="1"/>
      <c r="C22" s="1"/>
      <c r="D22" s="1"/>
      <c r="E22" s="1">
        <v>1373.21</v>
      </c>
      <c r="F22" s="1">
        <v>1251.8900000000001</v>
      </c>
      <c r="G22" s="1">
        <v>4142.8</v>
      </c>
      <c r="H22" s="1">
        <v>4403</v>
      </c>
      <c r="I22" s="1">
        <v>8578</v>
      </c>
      <c r="J22" s="1">
        <v>14084</v>
      </c>
      <c r="K22" s="1">
        <v>21592</v>
      </c>
      <c r="L22" s="1">
        <v>33537</v>
      </c>
      <c r="M22" s="1">
        <v>43556</v>
      </c>
      <c r="N22" s="1">
        <v>58726</v>
      </c>
      <c r="O22" s="1">
        <v>81130</v>
      </c>
    </row>
    <row r="23" spans="1:15" x14ac:dyDescent="0.15">
      <c r="A23" s="1" t="s">
        <v>37</v>
      </c>
      <c r="B23" s="1"/>
      <c r="C23" s="1"/>
      <c r="D23" s="1"/>
      <c r="E23" s="1"/>
      <c r="F23" s="1"/>
      <c r="G23" s="1"/>
      <c r="H23" s="1">
        <v>5253</v>
      </c>
      <c r="I23" s="1">
        <v>16874</v>
      </c>
      <c r="J23" s="1">
        <v>29288</v>
      </c>
      <c r="K23" s="1">
        <v>44895</v>
      </c>
      <c r="L23" s="1">
        <v>74809</v>
      </c>
      <c r="M23" s="1">
        <v>82543</v>
      </c>
      <c r="N23" s="1">
        <v>88824</v>
      </c>
      <c r="O23" s="1">
        <v>92579</v>
      </c>
    </row>
    <row r="24" spans="1:15" x14ac:dyDescent="0.15">
      <c r="A24" s="3" t="s">
        <v>38</v>
      </c>
      <c r="B24" s="1">
        <v>246280.85</v>
      </c>
      <c r="C24" s="1">
        <v>361064.41</v>
      </c>
      <c r="D24" s="1">
        <v>445398.68</v>
      </c>
      <c r="E24" s="1">
        <v>557505.28000000003</v>
      </c>
      <c r="F24" s="1">
        <v>700449.32</v>
      </c>
      <c r="G24" s="1">
        <v>919796.41</v>
      </c>
      <c r="H24" s="1">
        <v>1054350</v>
      </c>
      <c r="I24" s="1">
        <v>1426392</v>
      </c>
      <c r="J24" s="1">
        <v>1823737</v>
      </c>
      <c r="K24" s="1">
        <v>2229064</v>
      </c>
      <c r="L24" s="1">
        <v>3212001</v>
      </c>
      <c r="M24" s="1">
        <v>3226210</v>
      </c>
      <c r="N24" s="1">
        <v>4015136</v>
      </c>
      <c r="O24" s="1">
        <v>4520688</v>
      </c>
    </row>
    <row r="25" spans="1:15" x14ac:dyDescent="0.15">
      <c r="A25" s="3" t="s">
        <v>39</v>
      </c>
      <c r="B25" s="2" t="s">
        <v>19</v>
      </c>
      <c r="C25" s="2" t="s">
        <v>19</v>
      </c>
      <c r="D25" s="2" t="s">
        <v>19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  <c r="K25" s="2" t="s">
        <v>19</v>
      </c>
      <c r="L25" s="2" t="s">
        <v>19</v>
      </c>
      <c r="M25" s="2" t="s">
        <v>19</v>
      </c>
      <c r="N25" s="2" t="s">
        <v>19</v>
      </c>
      <c r="O25" s="2" t="s">
        <v>19</v>
      </c>
    </row>
    <row r="26" spans="1:15" x14ac:dyDescent="0.15">
      <c r="A26" s="1" t="s">
        <v>40</v>
      </c>
      <c r="B26" s="1"/>
      <c r="C26" s="1"/>
      <c r="D26" s="1"/>
      <c r="E26" s="1">
        <v>33893.17</v>
      </c>
      <c r="F26" s="1">
        <v>55886.7</v>
      </c>
      <c r="G26" s="1">
        <v>79296.72</v>
      </c>
      <c r="H26" s="1">
        <v>120244</v>
      </c>
      <c r="I26" s="1">
        <v>138470</v>
      </c>
      <c r="J26" s="1">
        <v>190296</v>
      </c>
      <c r="K26" s="1">
        <v>262891</v>
      </c>
      <c r="L26" s="1">
        <v>735851</v>
      </c>
      <c r="M26" s="1">
        <v>544473</v>
      </c>
      <c r="N26" s="1">
        <v>848671</v>
      </c>
      <c r="O26" s="1">
        <v>920380</v>
      </c>
    </row>
    <row r="27" spans="1:15" x14ac:dyDescent="0.15">
      <c r="A27" s="1" t="s">
        <v>41</v>
      </c>
      <c r="B27" s="1"/>
      <c r="C27" s="1"/>
      <c r="D27" s="1"/>
      <c r="E27" s="1"/>
      <c r="F27" s="1"/>
      <c r="G27" s="1"/>
      <c r="H27" s="1"/>
      <c r="I27" s="1"/>
      <c r="J27" s="1"/>
      <c r="K27" s="1">
        <v>160</v>
      </c>
      <c r="L27" s="1">
        <v>331</v>
      </c>
      <c r="M27" s="1">
        <v>405</v>
      </c>
      <c r="N27" s="1">
        <v>50745</v>
      </c>
      <c r="O27" s="1">
        <v>62477</v>
      </c>
    </row>
    <row r="28" spans="1:15" x14ac:dyDescent="0.15">
      <c r="A28" s="1" t="s">
        <v>42</v>
      </c>
      <c r="B28" s="1"/>
      <c r="C28" s="1"/>
      <c r="D28" s="1"/>
      <c r="E28" s="1"/>
      <c r="F28" s="1">
        <v>1210.57</v>
      </c>
      <c r="G28" s="1">
        <v>20472.29</v>
      </c>
      <c r="H28" s="1">
        <v>31992</v>
      </c>
      <c r="I28" s="1">
        <v>7500</v>
      </c>
      <c r="J28" s="1">
        <v>10975</v>
      </c>
      <c r="K28" s="1">
        <v>16450</v>
      </c>
      <c r="L28" s="1">
        <v>41411</v>
      </c>
      <c r="M28" s="1">
        <v>29204</v>
      </c>
      <c r="N28" s="1">
        <v>43048</v>
      </c>
      <c r="O28" s="1">
        <v>70395</v>
      </c>
    </row>
    <row r="29" spans="1:15" x14ac:dyDescent="0.15">
      <c r="A29" s="1" t="s">
        <v>43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>
        <v>21</v>
      </c>
      <c r="O29" s="1">
        <v>337</v>
      </c>
    </row>
    <row r="30" spans="1:15" x14ac:dyDescent="0.15">
      <c r="A30" s="1" t="s">
        <v>44</v>
      </c>
      <c r="B30" s="1"/>
      <c r="C30" s="1"/>
      <c r="D30" s="1"/>
      <c r="E30" s="1">
        <v>264.13</v>
      </c>
      <c r="F30" s="1">
        <v>392.32</v>
      </c>
      <c r="G30" s="1">
        <v>1443.89</v>
      </c>
      <c r="H30" s="1">
        <v>1239</v>
      </c>
      <c r="I30" s="1">
        <v>395</v>
      </c>
      <c r="J30" s="1">
        <v>368</v>
      </c>
      <c r="K30" s="1">
        <v>787</v>
      </c>
      <c r="L30" s="1">
        <v>1335</v>
      </c>
      <c r="M30" s="1">
        <v>1883</v>
      </c>
      <c r="N30" s="1">
        <v>2558</v>
      </c>
      <c r="O30" s="1">
        <v>3326</v>
      </c>
    </row>
    <row r="31" spans="1:15" x14ac:dyDescent="0.15">
      <c r="A31" s="1" t="s">
        <v>45</v>
      </c>
      <c r="B31" s="1"/>
      <c r="C31" s="1"/>
      <c r="D31" s="1"/>
      <c r="E31" s="1">
        <v>5422.66</v>
      </c>
      <c r="F31" s="1">
        <v>10083.07</v>
      </c>
      <c r="G31" s="1">
        <v>50484.12</v>
      </c>
      <c r="H31" s="1">
        <v>8012</v>
      </c>
      <c r="I31" s="1">
        <v>6347</v>
      </c>
      <c r="J31" s="1">
        <v>23873</v>
      </c>
      <c r="K31" s="1">
        <v>53794</v>
      </c>
      <c r="L31" s="1">
        <v>133335</v>
      </c>
      <c r="M31" s="1">
        <v>64567</v>
      </c>
      <c r="N31" s="1">
        <v>83291</v>
      </c>
      <c r="O31" s="1">
        <v>49129</v>
      </c>
    </row>
    <row r="32" spans="1:15" x14ac:dyDescent="0.15">
      <c r="A32" s="1" t="s">
        <v>46</v>
      </c>
      <c r="B32" s="1"/>
      <c r="C32" s="1"/>
      <c r="D32" s="1"/>
      <c r="E32" s="1">
        <v>488832.76</v>
      </c>
      <c r="F32" s="1">
        <v>583315.24</v>
      </c>
      <c r="G32" s="1">
        <v>671219.43</v>
      </c>
      <c r="H32" s="1">
        <v>785786</v>
      </c>
      <c r="I32" s="1">
        <v>1127938</v>
      </c>
      <c r="J32" s="1">
        <v>1416939</v>
      </c>
      <c r="K32" s="1">
        <v>1644738</v>
      </c>
      <c r="L32" s="1">
        <v>1926194</v>
      </c>
      <c r="M32" s="1">
        <v>2146689</v>
      </c>
      <c r="N32" s="1">
        <v>2433810</v>
      </c>
      <c r="O32" s="1">
        <v>2732262</v>
      </c>
    </row>
    <row r="33" spans="1:15" x14ac:dyDescent="0.15">
      <c r="A33" s="1"/>
      <c r="B33" s="1"/>
      <c r="C33" s="1"/>
      <c r="D33" s="1"/>
      <c r="E33" s="1">
        <f>SUM(E26:E32)</f>
        <v>528412.72</v>
      </c>
      <c r="F33" s="1">
        <f t="shared" ref="F33:H33" si="1">SUM(F26:F32)</f>
        <v>650887.9</v>
      </c>
      <c r="G33" s="1">
        <f t="shared" si="1"/>
        <v>822916.45000000007</v>
      </c>
      <c r="H33" s="1">
        <f t="shared" si="1"/>
        <v>947273</v>
      </c>
      <c r="I33" s="1"/>
      <c r="J33" s="1"/>
      <c r="K33" s="1"/>
      <c r="L33" s="1"/>
      <c r="M33" s="1"/>
      <c r="N33" s="1"/>
      <c r="O33" s="1"/>
    </row>
    <row r="34" spans="1:15" x14ac:dyDescent="0.15">
      <c r="A34" s="1" t="s">
        <v>47</v>
      </c>
      <c r="B34" s="1">
        <v>96.25</v>
      </c>
      <c r="C34" s="1">
        <v>238.85</v>
      </c>
      <c r="D34" s="1">
        <v>409.92</v>
      </c>
      <c r="E34" s="1">
        <v>587.82000000000005</v>
      </c>
      <c r="F34" s="1">
        <v>1032.75</v>
      </c>
      <c r="G34" s="1">
        <v>1084.7</v>
      </c>
      <c r="H34" s="1">
        <v>972</v>
      </c>
      <c r="I34" s="1">
        <v>2009</v>
      </c>
      <c r="J34" s="1">
        <v>3199</v>
      </c>
      <c r="K34" s="1">
        <v>5335</v>
      </c>
      <c r="L34" s="1">
        <v>7711</v>
      </c>
      <c r="M34" s="1">
        <v>7682</v>
      </c>
      <c r="N34" s="1">
        <v>7996</v>
      </c>
      <c r="O34" s="1">
        <v>9140</v>
      </c>
    </row>
    <row r="35" spans="1:15" x14ac:dyDescent="0.15">
      <c r="A35" s="1" t="s">
        <v>48</v>
      </c>
      <c r="B35" s="1">
        <v>250.62</v>
      </c>
      <c r="C35" s="1">
        <v>396.67</v>
      </c>
      <c r="D35" s="1">
        <v>618.13</v>
      </c>
      <c r="E35" s="1">
        <v>946.14</v>
      </c>
      <c r="F35" s="1">
        <v>985.15</v>
      </c>
      <c r="G35" s="1">
        <v>1983.64</v>
      </c>
      <c r="H35" s="1">
        <v>2512</v>
      </c>
      <c r="I35" s="1">
        <v>4982</v>
      </c>
      <c r="J35" s="1">
        <v>6242</v>
      </c>
      <c r="K35" s="1">
        <v>8414</v>
      </c>
      <c r="L35" s="1">
        <v>6309</v>
      </c>
      <c r="M35" s="1">
        <v>5112</v>
      </c>
      <c r="N35" s="1">
        <v>6078</v>
      </c>
      <c r="O35" s="1">
        <v>9008</v>
      </c>
    </row>
    <row r="36" spans="1:15" x14ac:dyDescent="0.15">
      <c r="A36" s="1" t="s">
        <v>49</v>
      </c>
      <c r="B36" s="1">
        <v>722.89</v>
      </c>
      <c r="C36" s="1">
        <v>1102.76</v>
      </c>
      <c r="D36" s="1">
        <v>1632.18</v>
      </c>
      <c r="E36" s="1">
        <v>2313.2800000000002</v>
      </c>
      <c r="F36" s="1">
        <v>2851</v>
      </c>
      <c r="G36" s="1">
        <v>4900.22</v>
      </c>
      <c r="H36" s="1">
        <v>6999</v>
      </c>
      <c r="I36" s="1">
        <v>5931</v>
      </c>
      <c r="J36" s="1">
        <v>8774</v>
      </c>
      <c r="K36" s="1">
        <v>14894</v>
      </c>
      <c r="L36" s="1">
        <v>22639</v>
      </c>
      <c r="M36" s="1">
        <v>27749</v>
      </c>
      <c r="N36" s="1">
        <v>33805</v>
      </c>
      <c r="O36" s="1">
        <v>33367</v>
      </c>
    </row>
    <row r="37" spans="1:15" x14ac:dyDescent="0.15">
      <c r="A37" s="1" t="s">
        <v>50</v>
      </c>
      <c r="B37" s="1"/>
      <c r="C37" s="1">
        <v>1995.5</v>
      </c>
      <c r="D37" s="1">
        <v>6160.3</v>
      </c>
      <c r="E37" s="1">
        <v>7263.88</v>
      </c>
      <c r="F37" s="1">
        <v>21701.88</v>
      </c>
      <c r="G37" s="1">
        <v>33919.86</v>
      </c>
      <c r="H37" s="1">
        <v>33999</v>
      </c>
      <c r="I37" s="1">
        <v>23060</v>
      </c>
      <c r="J37" s="1">
        <v>21496</v>
      </c>
      <c r="K37" s="1">
        <v>31030</v>
      </c>
      <c r="L37" s="1">
        <v>74969</v>
      </c>
      <c r="M37" s="1">
        <v>91968</v>
      </c>
      <c r="N37" s="1">
        <v>129279</v>
      </c>
      <c r="O37" s="1">
        <v>181233</v>
      </c>
    </row>
    <row r="38" spans="1:15" x14ac:dyDescent="0.15">
      <c r="A38" s="1" t="s">
        <v>51</v>
      </c>
      <c r="B38" s="1"/>
      <c r="C38" s="1"/>
      <c r="D38" s="1"/>
      <c r="E38" s="1">
        <v>26.87</v>
      </c>
      <c r="F38" s="1">
        <v>246.67</v>
      </c>
      <c r="G38" s="1">
        <v>2326.77</v>
      </c>
      <c r="H38" s="1"/>
      <c r="I38" s="1"/>
      <c r="J38" s="1"/>
      <c r="K38" s="1"/>
      <c r="L38" s="1"/>
      <c r="M38" s="1"/>
      <c r="N38" s="1"/>
      <c r="O38" s="1"/>
    </row>
    <row r="39" spans="1:15" x14ac:dyDescent="0.15">
      <c r="A39" s="1" t="s">
        <v>52</v>
      </c>
      <c r="B39" s="1"/>
      <c r="C39" s="1"/>
      <c r="D39" s="1"/>
      <c r="E39" s="1"/>
      <c r="F39" s="1"/>
      <c r="G39" s="1">
        <v>342.05</v>
      </c>
      <c r="H39" s="1">
        <v>609</v>
      </c>
      <c r="I39" s="1">
        <v>1269</v>
      </c>
      <c r="J39" s="1">
        <v>1966</v>
      </c>
      <c r="K39" s="1">
        <v>3061</v>
      </c>
      <c r="L39" s="1">
        <v>3173</v>
      </c>
      <c r="M39" s="1">
        <v>2188</v>
      </c>
      <c r="N39" s="1">
        <v>1931</v>
      </c>
      <c r="O39" s="1">
        <v>1925</v>
      </c>
    </row>
    <row r="40" spans="1:15" x14ac:dyDescent="0.15">
      <c r="A40" s="1" t="s">
        <v>53</v>
      </c>
      <c r="B40" s="1"/>
      <c r="C40" s="1"/>
      <c r="D40" s="1"/>
      <c r="E40" s="1">
        <v>2262.0300000000002</v>
      </c>
      <c r="F40" s="1">
        <v>3008.72</v>
      </c>
      <c r="G40" s="1">
        <v>1700.86</v>
      </c>
      <c r="H40" s="1">
        <v>4323</v>
      </c>
      <c r="I40" s="1">
        <v>5335</v>
      </c>
      <c r="J40" s="1">
        <v>8808</v>
      </c>
      <c r="K40" s="1">
        <v>12575</v>
      </c>
      <c r="L40" s="1">
        <v>18395</v>
      </c>
      <c r="M40" s="1">
        <v>18573</v>
      </c>
      <c r="N40" s="1">
        <v>27300</v>
      </c>
      <c r="O40" s="1">
        <v>29388</v>
      </c>
    </row>
    <row r="41" spans="1:15" x14ac:dyDescent="0.15">
      <c r="A41" s="1" t="s">
        <v>54</v>
      </c>
      <c r="B41" s="1"/>
      <c r="C41" s="1"/>
      <c r="D41" s="1"/>
      <c r="E41" s="1">
        <v>306.75</v>
      </c>
      <c r="F41" s="1">
        <v>430.19</v>
      </c>
      <c r="G41" s="1">
        <v>435.69</v>
      </c>
      <c r="H41" s="1">
        <v>2991</v>
      </c>
      <c r="I41" s="1">
        <v>14262</v>
      </c>
      <c r="J41" s="1">
        <v>25544</v>
      </c>
      <c r="K41" s="1">
        <v>40825</v>
      </c>
      <c r="L41" s="1">
        <v>71804</v>
      </c>
      <c r="M41" s="1">
        <v>81430</v>
      </c>
      <c r="N41" s="1">
        <v>98847</v>
      </c>
      <c r="O41" s="1">
        <v>108538</v>
      </c>
    </row>
    <row r="42" spans="1:15" x14ac:dyDescent="0.15">
      <c r="A42" s="3" t="s">
        <v>55</v>
      </c>
      <c r="B42" s="1">
        <v>240277.04</v>
      </c>
      <c r="C42" s="1">
        <v>351414.21</v>
      </c>
      <c r="D42" s="1">
        <v>432491.52000000002</v>
      </c>
      <c r="E42" s="1">
        <v>542119.49</v>
      </c>
      <c r="F42" s="1">
        <v>681144.26</v>
      </c>
      <c r="G42" s="1">
        <v>869610.23</v>
      </c>
      <c r="H42" s="1">
        <v>999678</v>
      </c>
      <c r="I42" s="1">
        <v>1337498</v>
      </c>
      <c r="J42" s="1">
        <v>1718480</v>
      </c>
      <c r="K42" s="1">
        <v>2094954</v>
      </c>
      <c r="L42" s="1">
        <v>3043457</v>
      </c>
      <c r="M42" s="1">
        <v>3021923</v>
      </c>
      <c r="N42" s="1">
        <v>3767380</v>
      </c>
      <c r="O42" s="1">
        <v>4210905</v>
      </c>
    </row>
    <row r="43" spans="1:15" x14ac:dyDescent="0.15">
      <c r="A43" s="3" t="s">
        <v>56</v>
      </c>
      <c r="B43" s="2" t="s">
        <v>19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  <c r="K43" s="2" t="s">
        <v>19</v>
      </c>
      <c r="L43" s="2" t="s">
        <v>19</v>
      </c>
      <c r="M43" s="2" t="s">
        <v>19</v>
      </c>
      <c r="N43" s="2" t="s">
        <v>19</v>
      </c>
      <c r="O43" s="2" t="s">
        <v>19</v>
      </c>
    </row>
    <row r="44" spans="1:15" x14ac:dyDescent="0.15">
      <c r="A44" s="1" t="s">
        <v>57</v>
      </c>
      <c r="B44" s="1">
        <v>2586.7199999999998</v>
      </c>
      <c r="C44" s="1">
        <v>3625.26</v>
      </c>
      <c r="D44" s="1">
        <v>5184.45</v>
      </c>
      <c r="E44" s="1">
        <v>7258.78</v>
      </c>
      <c r="F44" s="1">
        <v>10167.11</v>
      </c>
      <c r="G44" s="1">
        <v>14479.18</v>
      </c>
      <c r="H44" s="1">
        <v>18823</v>
      </c>
      <c r="I44" s="1">
        <v>22262</v>
      </c>
      <c r="J44" s="1">
        <v>26715</v>
      </c>
      <c r="K44" s="1">
        <v>26715</v>
      </c>
      <c r="L44" s="1">
        <v>28366</v>
      </c>
      <c r="M44" s="1">
        <v>28366</v>
      </c>
      <c r="N44" s="1">
        <v>34153</v>
      </c>
      <c r="O44" s="1">
        <v>36485</v>
      </c>
    </row>
    <row r="45" spans="1:15" x14ac:dyDescent="0.15">
      <c r="A45" s="1" t="s">
        <v>58</v>
      </c>
      <c r="B45" s="1">
        <v>2532.12</v>
      </c>
      <c r="C45" s="1">
        <v>4061.73</v>
      </c>
      <c r="D45" s="1">
        <v>4948.49</v>
      </c>
      <c r="E45" s="1">
        <v>4207.4399999999996</v>
      </c>
      <c r="F45" s="1">
        <v>2402.17</v>
      </c>
      <c r="G45" s="1">
        <v>16199.67</v>
      </c>
      <c r="H45" s="1">
        <v>18064</v>
      </c>
      <c r="I45" s="1">
        <v>38181</v>
      </c>
      <c r="J45" s="1">
        <v>37787</v>
      </c>
      <c r="K45" s="1">
        <v>38250</v>
      </c>
      <c r="L45" s="1">
        <v>45287</v>
      </c>
      <c r="M45" s="1">
        <v>46392</v>
      </c>
      <c r="N45" s="1">
        <v>49949</v>
      </c>
      <c r="O45" s="1">
        <v>64744</v>
      </c>
    </row>
    <row r="46" spans="1:15" x14ac:dyDescent="0.15">
      <c r="A46" s="1" t="s">
        <v>59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>
        <v>-400</v>
      </c>
      <c r="O46" s="1">
        <v>1451</v>
      </c>
    </row>
    <row r="47" spans="1:15" x14ac:dyDescent="0.15">
      <c r="A47" s="1" t="s">
        <v>60</v>
      </c>
      <c r="B47" s="1">
        <v>263</v>
      </c>
      <c r="C47" s="1">
        <v>471.69</v>
      </c>
      <c r="D47" s="1">
        <v>777.45</v>
      </c>
      <c r="E47" s="1">
        <v>1182.83</v>
      </c>
      <c r="F47" s="1">
        <v>1566.01</v>
      </c>
      <c r="G47" s="1">
        <v>2199.5300000000002</v>
      </c>
      <c r="H47" s="1">
        <v>2983</v>
      </c>
      <c r="I47" s="1">
        <v>4184</v>
      </c>
      <c r="J47" s="1">
        <v>5903</v>
      </c>
      <c r="K47" s="1">
        <v>8647</v>
      </c>
      <c r="L47" s="1">
        <v>12330</v>
      </c>
      <c r="M47" s="1">
        <v>16456</v>
      </c>
      <c r="N47" s="1">
        <v>17077</v>
      </c>
      <c r="O47" s="1">
        <v>25361</v>
      </c>
    </row>
    <row r="48" spans="1:15" x14ac:dyDescent="0.15">
      <c r="A48" s="1" t="s">
        <v>61</v>
      </c>
      <c r="B48" s="1">
        <v>624.85</v>
      </c>
      <c r="C48" s="1">
        <v>1494.04</v>
      </c>
      <c r="D48" s="1">
        <v>1999.6</v>
      </c>
      <c r="E48" s="1">
        <v>1583.71</v>
      </c>
      <c r="F48" s="1">
        <v>1780.09</v>
      </c>
      <c r="G48" s="1">
        <v>4727.7</v>
      </c>
      <c r="H48" s="1">
        <v>6009</v>
      </c>
      <c r="I48" s="1">
        <v>12503</v>
      </c>
      <c r="J48" s="1">
        <v>19881</v>
      </c>
      <c r="K48" s="1">
        <v>39245</v>
      </c>
      <c r="L48" s="1">
        <v>37615</v>
      </c>
      <c r="M48" s="1">
        <v>64023</v>
      </c>
      <c r="N48" s="1">
        <v>90019</v>
      </c>
      <c r="O48" s="1">
        <v>116826</v>
      </c>
    </row>
    <row r="49" spans="1:15" x14ac:dyDescent="0.15">
      <c r="A49" s="1" t="s">
        <v>62</v>
      </c>
      <c r="B49" s="1"/>
      <c r="C49" s="1"/>
      <c r="D49" s="1"/>
      <c r="E49" s="1">
        <v>1200</v>
      </c>
      <c r="F49" s="1">
        <v>3000</v>
      </c>
      <c r="G49" s="1">
        <v>5800</v>
      </c>
      <c r="H49" s="1">
        <v>8001</v>
      </c>
      <c r="I49" s="1">
        <v>10904</v>
      </c>
      <c r="J49" s="1">
        <v>13822</v>
      </c>
      <c r="K49" s="1">
        <v>16740</v>
      </c>
      <c r="L49" s="1">
        <v>39480</v>
      </c>
      <c r="M49" s="1">
        <v>42487</v>
      </c>
      <c r="N49" s="1">
        <v>49344</v>
      </c>
      <c r="O49" s="1">
        <v>56351</v>
      </c>
    </row>
    <row r="50" spans="1:15" x14ac:dyDescent="0.15">
      <c r="A50" s="1" t="s">
        <v>63</v>
      </c>
      <c r="B50" s="1">
        <v>-2.89</v>
      </c>
      <c r="C50" s="1">
        <v>-2.52</v>
      </c>
      <c r="D50" s="1">
        <v>-2.83</v>
      </c>
      <c r="E50" s="1"/>
      <c r="F50" s="1"/>
      <c r="G50" s="1"/>
      <c r="H50" s="1"/>
      <c r="I50" s="1"/>
      <c r="J50" s="1"/>
      <c r="K50" s="1"/>
      <c r="L50" s="1">
        <v>-1</v>
      </c>
      <c r="M50" s="1">
        <v>-12</v>
      </c>
      <c r="N50" s="1"/>
      <c r="O50" s="1"/>
    </row>
    <row r="51" spans="1:15" x14ac:dyDescent="0.15">
      <c r="A51" s="1" t="s">
        <v>64</v>
      </c>
      <c r="B51" s="1"/>
      <c r="C51" s="1"/>
      <c r="D51" s="1"/>
      <c r="E51" s="1">
        <v>-46.97</v>
      </c>
      <c r="F51" s="1">
        <v>389.67</v>
      </c>
      <c r="G51" s="1">
        <v>6780.09</v>
      </c>
      <c r="H51" s="1"/>
      <c r="I51" s="1"/>
      <c r="J51" s="1"/>
      <c r="K51" s="1"/>
      <c r="L51" s="1"/>
      <c r="M51" s="1"/>
      <c r="N51" s="1"/>
      <c r="O51" s="1"/>
    </row>
    <row r="52" spans="1:15" x14ac:dyDescent="0.15">
      <c r="A52" s="3" t="s">
        <v>65</v>
      </c>
      <c r="B52" s="1">
        <v>6003.81</v>
      </c>
      <c r="C52" s="1">
        <v>9650.2000000000007</v>
      </c>
      <c r="D52" s="1">
        <v>12907.16</v>
      </c>
      <c r="E52" s="1">
        <v>15385.79</v>
      </c>
      <c r="F52" s="1">
        <v>19305.060000000001</v>
      </c>
      <c r="G52" s="1">
        <v>50186.18</v>
      </c>
      <c r="H52" s="1">
        <v>53880</v>
      </c>
      <c r="I52" s="1">
        <v>88034</v>
      </c>
      <c r="J52" s="1">
        <v>104108</v>
      </c>
      <c r="K52" s="1">
        <v>129597</v>
      </c>
      <c r="L52" s="1">
        <v>163077</v>
      </c>
      <c r="M52" s="1">
        <v>197712</v>
      </c>
      <c r="N52" s="1">
        <v>240142</v>
      </c>
      <c r="O52" s="1">
        <v>301218</v>
      </c>
    </row>
    <row r="53" spans="1:15" x14ac:dyDescent="0.15">
      <c r="A53" s="1" t="s">
        <v>66</v>
      </c>
      <c r="B53" s="1"/>
      <c r="C53" s="1"/>
      <c r="D53" s="1"/>
      <c r="E53" s="1"/>
      <c r="F53" s="1"/>
      <c r="G53" s="1"/>
      <c r="H53" s="1">
        <v>792</v>
      </c>
      <c r="I53" s="1">
        <v>860</v>
      </c>
      <c r="J53" s="1">
        <v>1149</v>
      </c>
      <c r="K53" s="1">
        <v>4513</v>
      </c>
      <c r="L53" s="1">
        <v>5467</v>
      </c>
      <c r="M53" s="1">
        <v>6575</v>
      </c>
      <c r="N53" s="1">
        <v>7614</v>
      </c>
      <c r="O53" s="1">
        <v>8565</v>
      </c>
    </row>
    <row r="54" spans="1:15" x14ac:dyDescent="0.15">
      <c r="A54" s="3" t="s">
        <v>67</v>
      </c>
      <c r="B54" s="1">
        <v>6003.81</v>
      </c>
      <c r="C54" s="1">
        <v>9650.2000000000007</v>
      </c>
      <c r="D54" s="1">
        <v>12907.16</v>
      </c>
      <c r="E54" s="1">
        <v>15385.79</v>
      </c>
      <c r="F54" s="1">
        <v>19305.060000000001</v>
      </c>
      <c r="G54" s="1">
        <v>50186.18</v>
      </c>
      <c r="H54" s="1">
        <v>54672</v>
      </c>
      <c r="I54" s="1">
        <v>88894</v>
      </c>
      <c r="J54" s="1">
        <v>105257</v>
      </c>
      <c r="K54" s="1">
        <v>134110</v>
      </c>
      <c r="L54" s="1">
        <v>168544</v>
      </c>
      <c r="M54" s="1">
        <v>204287</v>
      </c>
      <c r="N54" s="1">
        <v>247756</v>
      </c>
      <c r="O54" s="1">
        <v>309783</v>
      </c>
    </row>
    <row r="55" spans="1:15" x14ac:dyDescent="0.15">
      <c r="A55" s="3" t="s">
        <v>68</v>
      </c>
      <c r="B55" s="1">
        <v>246280.85</v>
      </c>
      <c r="C55" s="1">
        <v>361064.41</v>
      </c>
      <c r="D55" s="1">
        <v>445398.68</v>
      </c>
      <c r="E55" s="1">
        <v>557505.28000000003</v>
      </c>
      <c r="F55" s="1">
        <v>700449.32</v>
      </c>
      <c r="G55" s="1">
        <v>919796.41</v>
      </c>
      <c r="H55" s="1">
        <v>1054350</v>
      </c>
      <c r="I55" s="1">
        <v>1426392</v>
      </c>
      <c r="J55" s="1">
        <v>1823737</v>
      </c>
      <c r="K55" s="1">
        <v>2229064</v>
      </c>
      <c r="L55" s="1">
        <v>3212001</v>
      </c>
      <c r="M55" s="1">
        <v>3226210</v>
      </c>
      <c r="N55" s="1">
        <v>4015136</v>
      </c>
      <c r="O55" s="1">
        <v>4520688</v>
      </c>
    </row>
    <row r="56" spans="1:15" x14ac:dyDescent="0.15">
      <c r="A56" s="1" t="s">
        <v>69</v>
      </c>
      <c r="B56" s="2" t="s">
        <v>70</v>
      </c>
      <c r="C56" s="2" t="s">
        <v>70</v>
      </c>
      <c r="D56" s="2" t="s">
        <v>70</v>
      </c>
      <c r="E56" s="2" t="s">
        <v>70</v>
      </c>
      <c r="F56" s="2" t="s">
        <v>70</v>
      </c>
      <c r="G56" s="2" t="s">
        <v>70</v>
      </c>
      <c r="H56" s="2" t="s">
        <v>70</v>
      </c>
      <c r="I56" s="2" t="s">
        <v>70</v>
      </c>
      <c r="J56" s="2" t="s">
        <v>70</v>
      </c>
      <c r="K56" s="2" t="s">
        <v>70</v>
      </c>
      <c r="L56" s="2" t="s">
        <v>70</v>
      </c>
      <c r="M56" s="2" t="s">
        <v>70</v>
      </c>
      <c r="N56" s="2" t="s">
        <v>70</v>
      </c>
      <c r="O56" s="2" t="s">
        <v>70</v>
      </c>
    </row>
    <row r="57" spans="1:15" x14ac:dyDescent="0.15">
      <c r="A57" s="1" t="s">
        <v>71</v>
      </c>
      <c r="B57" s="2" t="s">
        <v>70</v>
      </c>
      <c r="C57" s="2" t="s">
        <v>70</v>
      </c>
      <c r="D57" s="2" t="s">
        <v>70</v>
      </c>
      <c r="E57" s="2" t="s">
        <v>70</v>
      </c>
      <c r="F57" s="2" t="s">
        <v>70</v>
      </c>
      <c r="G57" s="2" t="s">
        <v>70</v>
      </c>
      <c r="H57" s="2" t="s">
        <v>70</v>
      </c>
      <c r="I57" s="2" t="s">
        <v>70</v>
      </c>
      <c r="J57" s="2" t="s">
        <v>70</v>
      </c>
      <c r="K57" s="2" t="s">
        <v>70</v>
      </c>
      <c r="L57" s="2" t="s">
        <v>70</v>
      </c>
      <c r="M57" s="2" t="s">
        <v>70</v>
      </c>
      <c r="N57" s="2" t="s">
        <v>70</v>
      </c>
      <c r="O57" s="2" t="s">
        <v>70</v>
      </c>
    </row>
    <row r="58" spans="1:15" x14ac:dyDescent="0.15">
      <c r="A58" s="1" t="s">
        <v>72</v>
      </c>
      <c r="B58" s="2" t="s">
        <v>73</v>
      </c>
      <c r="C58" s="2" t="s">
        <v>73</v>
      </c>
      <c r="D58" s="2" t="s">
        <v>73</v>
      </c>
      <c r="E58" s="2" t="s">
        <v>73</v>
      </c>
      <c r="F58" s="2" t="s">
        <v>73</v>
      </c>
      <c r="G58" s="2" t="s">
        <v>73</v>
      </c>
      <c r="H58" s="2" t="s">
        <v>73</v>
      </c>
      <c r="I58" s="2" t="s">
        <v>73</v>
      </c>
      <c r="J58" s="2" t="s">
        <v>73</v>
      </c>
      <c r="K58" s="2" t="s">
        <v>73</v>
      </c>
      <c r="L58" s="2" t="s">
        <v>73</v>
      </c>
      <c r="M58" s="2" t="s">
        <v>73</v>
      </c>
      <c r="N58" s="2" t="s">
        <v>73</v>
      </c>
      <c r="O58" s="2" t="s">
        <v>73</v>
      </c>
    </row>
    <row r="59" spans="1:15" x14ac:dyDescent="0.15">
      <c r="A59" s="1" t="s">
        <v>74</v>
      </c>
      <c r="B59" s="2" t="s">
        <v>75</v>
      </c>
      <c r="C59" s="2" t="s">
        <v>75</v>
      </c>
      <c r="D59" s="2" t="s">
        <v>75</v>
      </c>
      <c r="E59" s="2" t="s">
        <v>75</v>
      </c>
      <c r="F59" s="2" t="s">
        <v>75</v>
      </c>
      <c r="G59" s="2" t="s">
        <v>75</v>
      </c>
      <c r="H59" s="2" t="s">
        <v>75</v>
      </c>
      <c r="I59" s="2" t="s">
        <v>75</v>
      </c>
      <c r="J59" s="2" t="s">
        <v>75</v>
      </c>
      <c r="K59" s="2" t="s">
        <v>75</v>
      </c>
      <c r="L59" s="2" t="s">
        <v>75</v>
      </c>
      <c r="M59" s="2" t="s">
        <v>75</v>
      </c>
      <c r="N59" s="2" t="s">
        <v>75</v>
      </c>
      <c r="O59" s="2" t="s">
        <v>75</v>
      </c>
    </row>
    <row r="60" spans="1:15" x14ac:dyDescent="0.15">
      <c r="A60" s="1" t="s">
        <v>76</v>
      </c>
      <c r="B60" s="2" t="s">
        <v>77</v>
      </c>
      <c r="C60" s="2" t="s">
        <v>77</v>
      </c>
      <c r="D60" s="2" t="s">
        <v>77</v>
      </c>
      <c r="E60" s="2" t="s">
        <v>77</v>
      </c>
      <c r="F60" s="2" t="s">
        <v>77</v>
      </c>
      <c r="G60" s="2" t="s">
        <v>77</v>
      </c>
      <c r="H60" s="2" t="s">
        <v>77</v>
      </c>
      <c r="I60" s="2" t="s">
        <v>77</v>
      </c>
      <c r="J60" s="2" t="s">
        <v>77</v>
      </c>
      <c r="K60" s="2" t="s">
        <v>77</v>
      </c>
      <c r="L60" s="2" t="s">
        <v>77</v>
      </c>
      <c r="M60" s="2" t="s">
        <v>77</v>
      </c>
      <c r="N60" s="2" t="s">
        <v>77</v>
      </c>
      <c r="O60" s="2" t="s">
        <v>77</v>
      </c>
    </row>
    <row r="61" spans="1:15" x14ac:dyDescent="0.15">
      <c r="A61" s="1" t="s">
        <v>78</v>
      </c>
      <c r="B61" s="2" t="s">
        <v>77</v>
      </c>
      <c r="C61" s="2" t="s">
        <v>77</v>
      </c>
      <c r="D61" s="2" t="s">
        <v>77</v>
      </c>
      <c r="E61" s="2" t="s">
        <v>77</v>
      </c>
      <c r="F61" s="2" t="s">
        <v>77</v>
      </c>
      <c r="G61" s="2" t="s">
        <v>19</v>
      </c>
      <c r="H61" s="2" t="s">
        <v>19</v>
      </c>
      <c r="I61" s="2" t="s">
        <v>77</v>
      </c>
      <c r="J61" s="2" t="s">
        <v>77</v>
      </c>
      <c r="K61" s="2" t="s">
        <v>77</v>
      </c>
      <c r="L61" s="2" t="s">
        <v>77</v>
      </c>
      <c r="M61" s="2" t="s">
        <v>77</v>
      </c>
      <c r="N61" s="2" t="s">
        <v>77</v>
      </c>
      <c r="O61" s="2" t="s">
        <v>77</v>
      </c>
    </row>
    <row r="62" spans="1:15" x14ac:dyDescent="0.15">
      <c r="A62" s="1" t="s">
        <v>79</v>
      </c>
      <c r="B62" s="1" t="s">
        <v>80</v>
      </c>
      <c r="C62" s="1" t="s">
        <v>80</v>
      </c>
      <c r="D62" s="1" t="s">
        <v>80</v>
      </c>
      <c r="E62" s="1" t="s">
        <v>80</v>
      </c>
      <c r="F62" s="1" t="s">
        <v>80</v>
      </c>
      <c r="G62" s="1" t="s">
        <v>80</v>
      </c>
      <c r="H62" s="1" t="s">
        <v>80</v>
      </c>
      <c r="I62" s="1" t="s">
        <v>80</v>
      </c>
      <c r="J62" s="1" t="s">
        <v>80</v>
      </c>
      <c r="K62" s="1" t="s">
        <v>80</v>
      </c>
      <c r="L62" s="1" t="s">
        <v>80</v>
      </c>
      <c r="M62" s="1" t="s">
        <v>80</v>
      </c>
      <c r="N62" s="1" t="s">
        <v>80</v>
      </c>
      <c r="O62" s="1" t="s">
        <v>80</v>
      </c>
    </row>
    <row r="63" spans="1:15" x14ac:dyDescent="0.15">
      <c r="A63" s="1" t="s">
        <v>81</v>
      </c>
      <c r="B63" s="2" t="s">
        <v>82</v>
      </c>
      <c r="C63" s="2" t="s">
        <v>83</v>
      </c>
      <c r="D63" s="2" t="s">
        <v>84</v>
      </c>
      <c r="E63" s="2" t="s">
        <v>85</v>
      </c>
      <c r="F63" s="2" t="s">
        <v>85</v>
      </c>
      <c r="G63" s="2" t="s">
        <v>86</v>
      </c>
      <c r="H63" s="2" t="s">
        <v>87</v>
      </c>
      <c r="I63" s="2" t="s">
        <v>88</v>
      </c>
      <c r="J63" s="2" t="s">
        <v>89</v>
      </c>
      <c r="K63" s="2" t="s">
        <v>90</v>
      </c>
      <c r="L63" s="2" t="s">
        <v>91</v>
      </c>
      <c r="M63" s="2" t="s">
        <v>92</v>
      </c>
      <c r="N63" s="2" t="s">
        <v>93</v>
      </c>
      <c r="O63" s="2" t="s">
        <v>94</v>
      </c>
    </row>
    <row r="64" spans="1:15" x14ac:dyDescent="0.15">
      <c r="A64" s="1" t="s">
        <v>95</v>
      </c>
      <c r="B64" s="2" t="s">
        <v>96</v>
      </c>
      <c r="C64" s="2" t="s">
        <v>96</v>
      </c>
      <c r="D64" s="2" t="s">
        <v>96</v>
      </c>
      <c r="E64" s="2" t="s">
        <v>97</v>
      </c>
      <c r="F64" s="2" t="s">
        <v>97</v>
      </c>
      <c r="G64" s="2" t="s">
        <v>97</v>
      </c>
      <c r="H64" s="2" t="s">
        <v>97</v>
      </c>
      <c r="I64" s="2" t="s">
        <v>97</v>
      </c>
      <c r="J64" s="2" t="s">
        <v>97</v>
      </c>
      <c r="K64" s="2" t="s">
        <v>97</v>
      </c>
      <c r="L64" s="2" t="s">
        <v>97</v>
      </c>
      <c r="M64" s="2" t="s">
        <v>97</v>
      </c>
      <c r="N64" s="2" t="s">
        <v>97</v>
      </c>
      <c r="O64" s="2" t="s">
        <v>97</v>
      </c>
    </row>
    <row r="68" spans="1:1" x14ac:dyDescent="0.15">
      <c r="A68" t="s">
        <v>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600016.SH-资产负债表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2016-05-29T12:20:38Z</dcterms:created>
  <dcterms:modified xsi:type="dcterms:W3CDTF">2016-05-29T12:26:27Z</dcterms:modified>
</cp:coreProperties>
</file>