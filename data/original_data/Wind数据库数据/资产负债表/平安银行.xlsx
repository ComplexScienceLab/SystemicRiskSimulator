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20490" windowHeight="7770"/>
  </bookViews>
  <sheets>
    <sheet name="000001.SZ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2" l="1"/>
  <c r="C14" i="2"/>
  <c r="D14" i="2"/>
  <c r="E14" i="2"/>
  <c r="F14" i="2"/>
  <c r="G14" i="2"/>
  <c r="H14" i="2"/>
  <c r="I14" i="2"/>
  <c r="K14" i="2"/>
  <c r="L14" i="2"/>
  <c r="M14" i="2"/>
  <c r="N14" i="2"/>
  <c r="O14" i="2"/>
  <c r="J14" i="2"/>
  <c r="E35" i="2"/>
  <c r="F35" i="2"/>
  <c r="G35" i="2"/>
  <c r="H35" i="2"/>
  <c r="I35" i="2"/>
  <c r="K35" i="2"/>
  <c r="L35" i="2"/>
  <c r="M35" i="2"/>
  <c r="N35" i="2"/>
  <c r="O35" i="2"/>
  <c r="J35" i="2"/>
</calcChain>
</file>

<file path=xl/sharedStrings.xml><?xml version="1.0" encoding="utf-8"?>
<sst xmlns="http://schemas.openxmlformats.org/spreadsheetml/2006/main" count="273" uniqueCount="101">
  <si>
    <t>2002-12-31</t>
  </si>
  <si>
    <t>2003-12-31</t>
  </si>
  <si>
    <t>2004-12-31</t>
  </si>
  <si>
    <t>2005-12-31</t>
  </si>
  <si>
    <t>2006-12-31</t>
  </si>
  <si>
    <t>2007-12-31</t>
  </si>
  <si>
    <t>2008-12-31</t>
  </si>
  <si>
    <t>2009-12-31</t>
  </si>
  <si>
    <t>2010-12-31</t>
  </si>
  <si>
    <t>2011-12-31</t>
  </si>
  <si>
    <t>2012-12-31</t>
  </si>
  <si>
    <t>2013-12-31</t>
  </si>
  <si>
    <t>2014-12-31</t>
  </si>
  <si>
    <t>2015-12-31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</si>
  <si>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</si>
  <si>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</si>
  <si>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</si>
  <si>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</si>
  <si>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</si>
  <si>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</si>
  <si>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</si>
  <si>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</si>
  <si>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贵金属</t>
  </si>
  <si>
    <t>　　拆出资金</t>
  </si>
  <si>
    <t>　　交易性金融资产</t>
  </si>
  <si>
    <t>　　衍生金融资产</t>
  </si>
  <si>
    <t>　　买入返售金融资产</t>
  </si>
  <si>
    <t>　　应收利息</t>
  </si>
  <si>
    <t>　　发放贷款及垫款</t>
  </si>
  <si>
    <t>　　可供出售金融资产</t>
  </si>
  <si>
    <t>　　持有至到期投资</t>
  </si>
  <si>
    <t>　　长期股权投资</t>
  </si>
  <si>
    <t>　　应收款项类投资</t>
  </si>
  <si>
    <t>　　固定资产</t>
  </si>
  <si>
    <t>　　无形资产</t>
  </si>
  <si>
    <t>　　商誉</t>
  </si>
  <si>
    <t>　　递延所得税资产</t>
  </si>
  <si>
    <t>　　投资性房地产</t>
  </si>
  <si>
    <t>　　其他资产</t>
  </si>
  <si>
    <t>资产差额(特殊报表科目)</t>
  </si>
  <si>
    <t>资产总计</t>
  </si>
  <si>
    <t>负债：</t>
  </si>
  <si>
    <t>　　同业和其它金融机构存放款项</t>
  </si>
  <si>
    <t>　　向中央银行借款</t>
  </si>
  <si>
    <t>　　拆入资金</t>
  </si>
  <si>
    <t>　　交易性金融负债</t>
  </si>
  <si>
    <t>　　衍生金融负债</t>
  </si>
  <si>
    <t>　　卖出回购金融资产款</t>
  </si>
  <si>
    <t>　　吸收存款</t>
  </si>
  <si>
    <t>　　应付职工薪酬</t>
  </si>
  <si>
    <t>　　应交税费</t>
  </si>
  <si>
    <t>　　应付利息</t>
  </si>
  <si>
    <t>　　应付债券</t>
  </si>
  <si>
    <t>　　递延所得税负债</t>
  </si>
  <si>
    <t>　　预计负债</t>
  </si>
  <si>
    <t>　　其他负债</t>
  </si>
  <si>
    <t>　　负债差额(特殊报表科目)</t>
  </si>
  <si>
    <t>　　负债合计</t>
  </si>
  <si>
    <t>所有者权益(或股东权益)：</t>
  </si>
  <si>
    <t>　　股本</t>
  </si>
  <si>
    <t>　　资本公积金</t>
  </si>
  <si>
    <t>　　其它综合收益</t>
  </si>
  <si>
    <t>　　盈余公积金</t>
  </si>
  <si>
    <t>　　未分配利润</t>
  </si>
  <si>
    <t>　　一般风险准备</t>
  </si>
  <si>
    <t>　　外币报表折算差额</t>
  </si>
  <si>
    <t>　　归属于母公司所有者权益合计</t>
  </si>
  <si>
    <t>　　少数股东权益</t>
  </si>
  <si>
    <t>　　所有者权益合计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</si>
  <si>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</si>
  <si>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</si>
  <si>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</si>
  <si>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</si>
  <si>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</si>
  <si>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</si>
  <si>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</si>
  <si>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</si>
  <si>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</si>
  <si>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标准无保留意见</t>
  </si>
  <si>
    <t>带强调事项段的无保留意见</t>
  </si>
  <si>
    <t>审计意见(境外)</t>
  </si>
  <si>
    <t>原始报表</t>
  </si>
  <si>
    <t>点击浏览</t>
  </si>
  <si>
    <t>公告日期</t>
  </si>
  <si>
    <t>2003-04-24</t>
  </si>
  <si>
    <t>2004-04-15</t>
  </si>
  <si>
    <t>2005-04-26</t>
  </si>
  <si>
    <t>2007-03-22</t>
  </si>
  <si>
    <t>2008-03-20</t>
  </si>
  <si>
    <t>2009-03-20</t>
  </si>
  <si>
    <t>2010-03-12</t>
  </si>
  <si>
    <t>2011-02-25</t>
  </si>
  <si>
    <t>2012-03-09</t>
  </si>
  <si>
    <t>2013-03-08</t>
  </si>
  <si>
    <t>2014-03-07</t>
  </si>
  <si>
    <t>2015-03-13</t>
  </si>
  <si>
    <t>2016-03-10</t>
  </si>
  <si>
    <t>数据来源</t>
  </si>
  <si>
    <t>WIND调整计算值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</si>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</sst>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0" fillId="0" borderId="0" xfId="0" quotePrefix="1" applyNumberFormat="1">
      <alignment vertical="center"/>
    </xf>
    <xf numFmtId="176" fontId="1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9"/>
  <sheetViews>
    <sheetView tabSelected="1" topLeftCell="A43" workbookViewId="0">
      <pane xSplit="1" topLeftCell="E1" activePane="topRight" state="frozen"/>
      <selection pane="topRight" activeCell="I52" sqref="I52"/>
    </sheetView>
  </sheetViews>
  <sheetFormatPr defaultRowHeight="13.5" x14ac:dyDescent="0.15"/>
  <cols>
    <col min="1" max="1" width="34.125" bestFit="1" customWidth="1"/>
    <col min="2" max="3" width="15.375" bestFit="1" customWidth="1"/>
    <col min="4" max="4" width="25.5" bestFit="1" customWidth="1"/>
    <col min="5" max="15" width="15.125" bestFit="1" customWidth="1"/>
  </cols>
  <sheetData>
    <row r="1" spans="1:15" x14ac:dyDescent="0.1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</row>
    <row r="2" spans="1:15" x14ac:dyDescent="0.15">
      <c r="A2" s="1" t="s">
        <v>14</v>
      </c>
      <c r="B2" s="2" t="s">
        <v>15</v>
      </c>
      <c r="C2" s="2" t="s">
        <v>15</v>
      </c>
      <c r="D2" s="2" t="s">
        <v>15</v>
      </c>
      <c r="E2" s="2" t="s">
        <v>15</v>
      </c>
      <c r="F2" s="2" t="s">
        <v>15</v>
      </c>
      <c r="G2" s="2" t="s">
        <v>15</v>
      </c>
      <c r="H2" s="2" t="s">
        <v>15</v>
      </c>
      <c r="I2" s="2" t="s">
        <v>15</v>
      </c>
      <c r="J2" s="2" t="s">
        <v>15</v>
      </c>
      <c r="K2" s="2" t="s">
        <v>15</v>
      </c>
      <c r="L2" s="2" t="s">
        <v>15</v>
      </c>
      <c r="M2" s="2" t="s">
        <v>15</v>
      </c>
      <c r="N2" s="2" t="s">
        <v>15</v>
      </c>
      <c r="O2" s="2" t="s">
        <v>15</v>
      </c>
    </row>
    <row r="3" spans="1:15" x14ac:dyDescent="0.15">
      <c r="A3" s="1" t="s">
        <v>16</v>
      </c>
      <c r="B3" s="2" t="s">
        <v>17</v>
      </c>
      <c r="C3" s="2" t="s">
        <v>17</v>
      </c>
      <c r="D3" s="2" t="s">
        <v>17</v>
      </c>
      <c r="E3" s="2" t="s">
        <v>17</v>
      </c>
      <c r="F3" s="2" t="s">
        <v>17</v>
      </c>
      <c r="G3" s="2" t="s">
        <v>17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17</v>
      </c>
      <c r="M3" s="2" t="s">
        <v>17</v>
      </c>
      <c r="N3" s="2" t="s">
        <v>17</v>
      </c>
      <c r="O3" s="2" t="s">
        <v>17</v>
      </c>
    </row>
    <row r="4" spans="1:15" x14ac:dyDescent="0.15">
      <c r="A4" s="3" t="s">
        <v>18</v>
      </c>
      <c r="B4" s="2" t="s">
        <v>19</v>
      </c>
      <c r="C4" s="2" t="s">
        <v>19</v>
      </c>
      <c r="D4" s="2" t="s">
        <v>19</v>
      </c>
      <c r="E4" s="2" t="s">
        <v>19</v>
      </c>
      <c r="F4" s="2" t="s">
        <v>19</v>
      </c>
      <c r="G4" s="2" t="s">
        <v>19</v>
      </c>
      <c r="H4" s="2" t="s">
        <v>19</v>
      </c>
      <c r="I4" s="2" t="s">
        <v>19</v>
      </c>
      <c r="J4" s="2" t="s">
        <v>19</v>
      </c>
      <c r="K4" s="2" t="s">
        <v>19</v>
      </c>
      <c r="L4" s="2" t="s">
        <v>19</v>
      </c>
      <c r="M4" s="2" t="s">
        <v>19</v>
      </c>
      <c r="N4" s="2" t="s">
        <v>19</v>
      </c>
      <c r="O4" s="2" t="s">
        <v>19</v>
      </c>
    </row>
    <row r="5" spans="1:15" x14ac:dyDescent="0.15">
      <c r="A5" s="1" t="s">
        <v>20</v>
      </c>
      <c r="B5" s="1"/>
      <c r="C5" s="1"/>
      <c r="D5" s="1"/>
      <c r="E5" s="1">
        <v>21759.7</v>
      </c>
      <c r="F5" s="1">
        <v>26288.18</v>
      </c>
      <c r="G5" s="1">
        <v>40726.39</v>
      </c>
      <c r="H5" s="1">
        <v>39767.9</v>
      </c>
      <c r="I5" s="1">
        <v>54243.95</v>
      </c>
      <c r="J5" s="1">
        <v>76586.86</v>
      </c>
      <c r="K5" s="1">
        <v>160635.24</v>
      </c>
      <c r="L5" s="1">
        <v>219347.48</v>
      </c>
      <c r="M5" s="1">
        <v>229924</v>
      </c>
      <c r="N5" s="1">
        <v>306298</v>
      </c>
      <c r="O5" s="1">
        <v>291715</v>
      </c>
    </row>
    <row r="6" spans="1:15" x14ac:dyDescent="0.15">
      <c r="A6" s="1" t="s">
        <v>21</v>
      </c>
      <c r="B6" s="1"/>
      <c r="C6" s="1"/>
      <c r="D6" s="1"/>
      <c r="E6" s="1">
        <v>6579.43</v>
      </c>
      <c r="F6" s="1">
        <v>3081</v>
      </c>
      <c r="G6" s="1">
        <v>4013.69</v>
      </c>
      <c r="H6" s="1">
        <v>21500.81</v>
      </c>
      <c r="I6" s="1">
        <v>15592.54</v>
      </c>
      <c r="J6" s="1">
        <v>8523.73</v>
      </c>
      <c r="K6" s="1">
        <v>39884.339999999997</v>
      </c>
      <c r="L6" s="1">
        <v>94295.11</v>
      </c>
      <c r="M6" s="1">
        <v>71914</v>
      </c>
      <c r="N6" s="1">
        <v>66969</v>
      </c>
      <c r="O6" s="1">
        <v>109046</v>
      </c>
    </row>
    <row r="7" spans="1:15" x14ac:dyDescent="0.15">
      <c r="A7" s="1" t="s">
        <v>22</v>
      </c>
      <c r="B7" s="1"/>
      <c r="C7" s="1"/>
      <c r="D7" s="1"/>
      <c r="E7" s="1"/>
      <c r="F7" s="1"/>
      <c r="G7" s="1">
        <v>8.1999999999999993</v>
      </c>
      <c r="H7" s="1">
        <v>9.2200000000000006</v>
      </c>
      <c r="I7" s="1">
        <v>3.3</v>
      </c>
      <c r="J7" s="1">
        <v>0</v>
      </c>
      <c r="K7" s="1"/>
      <c r="L7" s="1">
        <v>2430.46</v>
      </c>
      <c r="M7" s="1">
        <v>21286</v>
      </c>
      <c r="N7" s="1">
        <v>45254</v>
      </c>
      <c r="O7" s="1">
        <v>63744</v>
      </c>
    </row>
    <row r="8" spans="1:15" x14ac:dyDescent="0.15">
      <c r="A8" s="1" t="s">
        <v>23</v>
      </c>
      <c r="B8" s="1"/>
      <c r="C8" s="1"/>
      <c r="D8" s="1"/>
      <c r="E8" s="1">
        <v>3284.95</v>
      </c>
      <c r="F8" s="1">
        <v>3369.18</v>
      </c>
      <c r="G8" s="1">
        <v>2642.66</v>
      </c>
      <c r="H8" s="1">
        <v>9236.68</v>
      </c>
      <c r="I8" s="1">
        <v>5361.14</v>
      </c>
      <c r="J8" s="1">
        <v>8475.99</v>
      </c>
      <c r="K8" s="1">
        <v>8446.57</v>
      </c>
      <c r="L8" s="1">
        <v>65426</v>
      </c>
      <c r="M8" s="1">
        <v>27241</v>
      </c>
      <c r="N8" s="1">
        <v>45841</v>
      </c>
      <c r="O8" s="1">
        <v>76636</v>
      </c>
    </row>
    <row r="9" spans="1:15" x14ac:dyDescent="0.15">
      <c r="A9" s="1" t="s">
        <v>24</v>
      </c>
      <c r="B9" s="1">
        <v>1728.72</v>
      </c>
      <c r="C9" s="1"/>
      <c r="D9" s="1">
        <v>11046.87</v>
      </c>
      <c r="E9" s="1">
        <v>847.59</v>
      </c>
      <c r="F9" s="1">
        <v>427.36</v>
      </c>
      <c r="G9" s="1">
        <v>1477.63</v>
      </c>
      <c r="H9" s="1">
        <v>41.44</v>
      </c>
      <c r="I9" s="1">
        <v>1132.05</v>
      </c>
      <c r="J9" s="1"/>
      <c r="K9" s="1">
        <v>2607.9</v>
      </c>
      <c r="L9" s="1">
        <v>4237.45</v>
      </c>
      <c r="M9" s="1">
        <v>10421</v>
      </c>
      <c r="N9" s="1">
        <v>25811</v>
      </c>
      <c r="O9" s="1">
        <v>19757</v>
      </c>
    </row>
    <row r="10" spans="1:15" x14ac:dyDescent="0.15">
      <c r="A10" s="1" t="s">
        <v>25</v>
      </c>
      <c r="B10" s="1"/>
      <c r="C10" s="1"/>
      <c r="D10" s="1"/>
      <c r="E10" s="1">
        <v>5.73</v>
      </c>
      <c r="F10" s="1">
        <v>22.76</v>
      </c>
      <c r="G10" s="1">
        <v>291.82</v>
      </c>
      <c r="H10" s="1">
        <v>290.75</v>
      </c>
      <c r="I10" s="1">
        <v>100</v>
      </c>
      <c r="J10" s="1">
        <v>371.73</v>
      </c>
      <c r="K10" s="1">
        <v>810.58</v>
      </c>
      <c r="L10" s="1">
        <v>966.65</v>
      </c>
      <c r="M10" s="1">
        <v>3397</v>
      </c>
      <c r="N10" s="1">
        <v>4300</v>
      </c>
      <c r="O10" s="1">
        <v>8144</v>
      </c>
    </row>
    <row r="11" spans="1:15" x14ac:dyDescent="0.15">
      <c r="A11" s="1" t="s">
        <v>26</v>
      </c>
      <c r="B11" s="1"/>
      <c r="C11" s="1"/>
      <c r="D11" s="1"/>
      <c r="E11" s="1">
        <v>8665.33</v>
      </c>
      <c r="F11" s="1">
        <v>11271.77</v>
      </c>
      <c r="G11" s="1">
        <v>33768.93</v>
      </c>
      <c r="H11" s="1">
        <v>34733.35</v>
      </c>
      <c r="I11" s="1">
        <v>40923.4</v>
      </c>
      <c r="J11" s="1">
        <v>98263.43</v>
      </c>
      <c r="K11" s="1">
        <v>34303.89</v>
      </c>
      <c r="L11" s="1">
        <v>186472.8</v>
      </c>
      <c r="M11" s="1">
        <v>271692</v>
      </c>
      <c r="N11" s="1">
        <v>178636</v>
      </c>
      <c r="O11" s="1">
        <v>117291</v>
      </c>
    </row>
    <row r="12" spans="1:15" x14ac:dyDescent="0.15">
      <c r="A12" s="1" t="s">
        <v>27</v>
      </c>
      <c r="B12" s="1"/>
      <c r="C12" s="1"/>
      <c r="D12" s="1"/>
      <c r="E12" s="1">
        <v>461.71</v>
      </c>
      <c r="F12" s="1">
        <v>675.7</v>
      </c>
      <c r="G12" s="1">
        <v>1126.3699999999999</v>
      </c>
      <c r="H12" s="1">
        <v>1605.64</v>
      </c>
      <c r="I12" s="1">
        <v>1625.7</v>
      </c>
      <c r="J12" s="1">
        <v>2121.4899999999998</v>
      </c>
      <c r="K12" s="1">
        <v>7274.19</v>
      </c>
      <c r="L12" s="1">
        <v>8757.08</v>
      </c>
      <c r="M12" s="1">
        <v>10043</v>
      </c>
      <c r="N12" s="1">
        <v>11937</v>
      </c>
      <c r="O12" s="1">
        <v>13540</v>
      </c>
    </row>
    <row r="13" spans="1:15" x14ac:dyDescent="0.15">
      <c r="A13" s="1" t="s">
        <v>28</v>
      </c>
      <c r="B13" s="1"/>
      <c r="C13" s="1"/>
      <c r="D13" s="1"/>
      <c r="E13" s="1">
        <v>149615.43</v>
      </c>
      <c r="F13" s="1">
        <v>175244.81</v>
      </c>
      <c r="G13" s="1">
        <v>215789.63</v>
      </c>
      <c r="H13" s="1">
        <v>281714.69</v>
      </c>
      <c r="I13" s="1">
        <v>355562.54</v>
      </c>
      <c r="J13" s="1">
        <v>400966.08</v>
      </c>
      <c r="K13" s="1">
        <v>610075.34</v>
      </c>
      <c r="L13" s="1">
        <v>708262.39</v>
      </c>
      <c r="M13" s="1">
        <v>832127</v>
      </c>
      <c r="N13" s="1">
        <v>1003637</v>
      </c>
      <c r="O13" s="1">
        <v>1186872</v>
      </c>
    </row>
    <row r="14" spans="1:15" x14ac:dyDescent="0.15">
      <c r="A14" s="1"/>
      <c r="B14" s="1">
        <f t="shared" ref="B14:I14" si="0">B13+B12</f>
        <v>0</v>
      </c>
      <c r="C14" s="1">
        <f t="shared" si="0"/>
        <v>0</v>
      </c>
      <c r="D14" s="1">
        <f t="shared" si="0"/>
        <v>0</v>
      </c>
      <c r="E14" s="1">
        <f t="shared" si="0"/>
        <v>150077.13999999998</v>
      </c>
      <c r="F14" s="1">
        <f t="shared" si="0"/>
        <v>175920.51</v>
      </c>
      <c r="G14" s="1">
        <f t="shared" si="0"/>
        <v>216916</v>
      </c>
      <c r="H14" s="1">
        <f t="shared" si="0"/>
        <v>283320.33</v>
      </c>
      <c r="I14" s="1">
        <f t="shared" si="0"/>
        <v>357188.24</v>
      </c>
      <c r="J14" s="1">
        <f>J13+J12</f>
        <v>403087.57</v>
      </c>
      <c r="K14" s="1">
        <f t="shared" ref="K14:O14" si="1">K13+K12</f>
        <v>617349.52999999991</v>
      </c>
      <c r="L14" s="1">
        <f t="shared" si="1"/>
        <v>717019.47</v>
      </c>
      <c r="M14" s="1">
        <f t="shared" si="1"/>
        <v>842170</v>
      </c>
      <c r="N14" s="1">
        <f t="shared" si="1"/>
        <v>1015574</v>
      </c>
      <c r="O14" s="1">
        <f t="shared" si="1"/>
        <v>1200412</v>
      </c>
    </row>
    <row r="15" spans="1:15" x14ac:dyDescent="0.15">
      <c r="A15" s="1" t="s">
        <v>29</v>
      </c>
      <c r="B15" s="1"/>
      <c r="C15" s="1"/>
      <c r="D15" s="1"/>
      <c r="E15" s="1">
        <v>26248.54</v>
      </c>
      <c r="F15" s="1">
        <v>18052.34</v>
      </c>
      <c r="G15" s="1">
        <v>17850.89</v>
      </c>
      <c r="H15" s="1">
        <v>48799.72</v>
      </c>
      <c r="I15" s="1">
        <v>36998.410000000003</v>
      </c>
      <c r="J15" s="1">
        <v>31534.18</v>
      </c>
      <c r="K15" s="1">
        <v>78383.53</v>
      </c>
      <c r="L15" s="1">
        <v>89895.87</v>
      </c>
      <c r="M15" s="1">
        <v>467</v>
      </c>
      <c r="N15" s="1">
        <v>1493</v>
      </c>
      <c r="O15" s="1">
        <v>1245</v>
      </c>
    </row>
    <row r="16" spans="1:15" x14ac:dyDescent="0.15">
      <c r="A16" s="1" t="s">
        <v>30</v>
      </c>
      <c r="B16" s="1"/>
      <c r="C16" s="1"/>
      <c r="D16" s="1"/>
      <c r="E16" s="1"/>
      <c r="F16" s="1">
        <v>17548.189999999999</v>
      </c>
      <c r="G16" s="1">
        <v>15911.49</v>
      </c>
      <c r="H16" s="1">
        <v>15584.75</v>
      </c>
      <c r="I16" s="1">
        <v>34585.440000000002</v>
      </c>
      <c r="J16" s="1">
        <v>61379.839999999997</v>
      </c>
      <c r="K16" s="1">
        <v>107683.08</v>
      </c>
      <c r="L16" s="1">
        <v>103124.18</v>
      </c>
      <c r="M16" s="1">
        <v>195667</v>
      </c>
      <c r="N16" s="1">
        <v>207874</v>
      </c>
      <c r="O16" s="1">
        <v>266166</v>
      </c>
    </row>
    <row r="17" spans="1:15" x14ac:dyDescent="0.15">
      <c r="A17" s="1" t="s">
        <v>31</v>
      </c>
      <c r="B17" s="1">
        <v>153.49</v>
      </c>
      <c r="C17" s="1">
        <v>153.49</v>
      </c>
      <c r="D17" s="1">
        <v>156.49</v>
      </c>
      <c r="E17" s="1">
        <v>233.37</v>
      </c>
      <c r="F17" s="1">
        <v>213.99</v>
      </c>
      <c r="G17" s="1">
        <v>251.95</v>
      </c>
      <c r="H17" s="1">
        <v>417.39</v>
      </c>
      <c r="I17" s="1">
        <v>392.7</v>
      </c>
      <c r="J17" s="1">
        <v>404.39</v>
      </c>
      <c r="K17" s="1">
        <v>539.29</v>
      </c>
      <c r="L17" s="1">
        <v>521.79999999999995</v>
      </c>
      <c r="M17" s="1">
        <v>596</v>
      </c>
      <c r="N17" s="1">
        <v>486</v>
      </c>
      <c r="O17" s="1">
        <v>521</v>
      </c>
    </row>
    <row r="18" spans="1:15" x14ac:dyDescent="0.15">
      <c r="A18" s="1" t="s">
        <v>32</v>
      </c>
      <c r="B18" s="1"/>
      <c r="C18" s="1"/>
      <c r="D18" s="1"/>
      <c r="E18" s="1"/>
      <c r="F18" s="1"/>
      <c r="G18" s="1">
        <v>13450</v>
      </c>
      <c r="H18" s="1">
        <v>13750</v>
      </c>
      <c r="I18" s="1">
        <v>30427.1</v>
      </c>
      <c r="J18" s="1">
        <v>18502.099999999999</v>
      </c>
      <c r="K18" s="1">
        <v>13732.1</v>
      </c>
      <c r="L18" s="1">
        <v>90837.7</v>
      </c>
      <c r="M18" s="1">
        <v>184656</v>
      </c>
      <c r="N18" s="1">
        <v>246258</v>
      </c>
      <c r="O18" s="1">
        <v>307635</v>
      </c>
    </row>
    <row r="19" spans="1:15" x14ac:dyDescent="0.15">
      <c r="A19" s="1" t="s">
        <v>33</v>
      </c>
      <c r="B19" s="1">
        <v>2380.64</v>
      </c>
      <c r="C19" s="1">
        <v>2388.06</v>
      </c>
      <c r="D19" s="1">
        <v>3243.57</v>
      </c>
      <c r="E19" s="1">
        <v>2417.7199999999998</v>
      </c>
      <c r="F19" s="1">
        <v>1994.38</v>
      </c>
      <c r="G19" s="1">
        <v>1554.28</v>
      </c>
      <c r="H19" s="1">
        <v>1674.92</v>
      </c>
      <c r="I19" s="1">
        <v>1714.46</v>
      </c>
      <c r="J19" s="1">
        <v>2470.0500000000002</v>
      </c>
      <c r="K19" s="1">
        <v>3524.26</v>
      </c>
      <c r="L19" s="1">
        <v>3536.44</v>
      </c>
      <c r="M19" s="1">
        <v>3694</v>
      </c>
      <c r="N19" s="1">
        <v>3812</v>
      </c>
      <c r="O19" s="1">
        <v>4788</v>
      </c>
    </row>
    <row r="20" spans="1:15" x14ac:dyDescent="0.15">
      <c r="A20" s="1" t="s">
        <v>34</v>
      </c>
      <c r="B20" s="1">
        <v>52.33</v>
      </c>
      <c r="C20" s="1">
        <v>87.09</v>
      </c>
      <c r="D20" s="1">
        <v>65.86</v>
      </c>
      <c r="E20" s="1">
        <v>41.58</v>
      </c>
      <c r="F20" s="1">
        <v>26.57</v>
      </c>
      <c r="G20" s="1">
        <v>67.72</v>
      </c>
      <c r="H20" s="1">
        <v>113.92</v>
      </c>
      <c r="I20" s="1">
        <v>156.79</v>
      </c>
      <c r="J20" s="1">
        <v>191.58</v>
      </c>
      <c r="K20" s="1">
        <v>5989.73</v>
      </c>
      <c r="L20" s="1">
        <v>5878.38</v>
      </c>
      <c r="M20" s="1">
        <v>5463</v>
      </c>
      <c r="N20" s="1">
        <v>5293</v>
      </c>
      <c r="O20" s="1">
        <v>4961</v>
      </c>
    </row>
    <row r="21" spans="1:15" x14ac:dyDescent="0.15">
      <c r="A21" s="1" t="s">
        <v>35</v>
      </c>
      <c r="B21" s="1"/>
      <c r="C21" s="1"/>
      <c r="D21" s="1"/>
      <c r="E21" s="1"/>
      <c r="F21" s="1"/>
      <c r="G21" s="1"/>
      <c r="H21" s="1"/>
      <c r="I21" s="1"/>
      <c r="J21" s="1"/>
      <c r="K21" s="1">
        <v>7568.3</v>
      </c>
      <c r="L21" s="1">
        <v>7568.3</v>
      </c>
      <c r="M21" s="1">
        <v>7568</v>
      </c>
      <c r="N21" s="1">
        <v>7568</v>
      </c>
      <c r="O21" s="1">
        <v>7568</v>
      </c>
    </row>
    <row r="22" spans="1:15" x14ac:dyDescent="0.15">
      <c r="A22" s="1" t="s">
        <v>36</v>
      </c>
      <c r="B22" s="1"/>
      <c r="C22" s="1">
        <v>602.41</v>
      </c>
      <c r="D22" s="1">
        <v>752.3</v>
      </c>
      <c r="E22" s="1">
        <v>1000.89</v>
      </c>
      <c r="F22" s="1">
        <v>1002.64</v>
      </c>
      <c r="G22" s="1">
        <v>994.39</v>
      </c>
      <c r="H22" s="1">
        <v>1811.82</v>
      </c>
      <c r="I22" s="1">
        <v>1582.93</v>
      </c>
      <c r="J22" s="1">
        <v>1954.57</v>
      </c>
      <c r="K22" s="1">
        <v>2889.76</v>
      </c>
      <c r="L22" s="1">
        <v>3449.64</v>
      </c>
      <c r="M22" s="1">
        <v>4406</v>
      </c>
      <c r="N22" s="1">
        <v>6834</v>
      </c>
      <c r="O22" s="1">
        <v>8728</v>
      </c>
    </row>
    <row r="23" spans="1:15" x14ac:dyDescent="0.15">
      <c r="A23" s="1" t="s">
        <v>37</v>
      </c>
      <c r="B23" s="1"/>
      <c r="C23" s="1"/>
      <c r="D23" s="1"/>
      <c r="E23" s="1"/>
      <c r="F23" s="1"/>
      <c r="G23" s="1">
        <v>441.1</v>
      </c>
      <c r="H23" s="1">
        <v>411.69</v>
      </c>
      <c r="I23" s="1">
        <v>523.85</v>
      </c>
      <c r="J23" s="1">
        <v>539.79999999999995</v>
      </c>
      <c r="K23" s="1">
        <v>262.79000000000002</v>
      </c>
      <c r="L23" s="1">
        <v>196.37</v>
      </c>
      <c r="M23" s="1">
        <v>116</v>
      </c>
      <c r="N23" s="1">
        <v>110</v>
      </c>
      <c r="O23" s="1">
        <v>212</v>
      </c>
    </row>
    <row r="24" spans="1:15" x14ac:dyDescent="0.15">
      <c r="A24" s="1" t="s">
        <v>38</v>
      </c>
      <c r="B24" s="1"/>
      <c r="C24" s="1"/>
      <c r="D24" s="1"/>
      <c r="E24" s="1">
        <v>1162.7</v>
      </c>
      <c r="F24" s="1">
        <v>1357.39</v>
      </c>
      <c r="G24" s="1">
        <v>2172.2399999999998</v>
      </c>
      <c r="H24" s="1">
        <v>1615.89</v>
      </c>
      <c r="I24" s="1">
        <v>2102.58</v>
      </c>
      <c r="J24" s="1">
        <v>1596.83</v>
      </c>
      <c r="K24" s="1">
        <v>2977.04</v>
      </c>
      <c r="L24" s="1">
        <v>2968.51</v>
      </c>
      <c r="M24" s="1">
        <v>4005</v>
      </c>
      <c r="N24" s="1">
        <v>8123</v>
      </c>
      <c r="O24" s="1">
        <v>11956</v>
      </c>
    </row>
    <row r="25" spans="1:15" x14ac:dyDescent="0.15">
      <c r="A25" s="1" t="s">
        <v>39</v>
      </c>
      <c r="B25" s="1"/>
      <c r="C25" s="1"/>
      <c r="D25" s="1"/>
      <c r="E25" s="1"/>
      <c r="F25" s="1"/>
      <c r="G25" s="1"/>
      <c r="H25" s="1">
        <v>1359.59</v>
      </c>
      <c r="I25" s="1">
        <v>4782.16</v>
      </c>
      <c r="J25" s="1">
        <v>13727.42</v>
      </c>
      <c r="K25" s="1">
        <v>170589.01</v>
      </c>
      <c r="L25" s="1">
        <v>8364.14</v>
      </c>
      <c r="M25" s="1">
        <v>7058</v>
      </c>
      <c r="N25" s="1">
        <v>9925</v>
      </c>
      <c r="O25" s="1">
        <v>6624</v>
      </c>
    </row>
    <row r="26" spans="1:15" x14ac:dyDescent="0.15">
      <c r="A26" s="3" t="s">
        <v>40</v>
      </c>
      <c r="B26" s="1">
        <v>166166.38</v>
      </c>
      <c r="C26" s="1">
        <v>193453.42</v>
      </c>
      <c r="D26" s="1">
        <v>204286.42</v>
      </c>
      <c r="E26" s="1">
        <v>222324.69</v>
      </c>
      <c r="F26" s="1">
        <v>260576.26</v>
      </c>
      <c r="G26" s="1">
        <v>352539.36</v>
      </c>
      <c r="H26" s="1">
        <v>474440.17</v>
      </c>
      <c r="I26" s="1">
        <v>587811.03</v>
      </c>
      <c r="J26" s="1">
        <v>727610.07</v>
      </c>
      <c r="K26" s="1">
        <v>1258176.94</v>
      </c>
      <c r="L26" s="1">
        <v>1606536.76</v>
      </c>
      <c r="M26" s="1">
        <v>1891741</v>
      </c>
      <c r="N26" s="1">
        <v>2186459</v>
      </c>
      <c r="O26" s="1">
        <v>2507149</v>
      </c>
    </row>
    <row r="27" spans="1:15" x14ac:dyDescent="0.15">
      <c r="A27" s="3" t="s">
        <v>41</v>
      </c>
      <c r="B27" s="2" t="s">
        <v>19</v>
      </c>
      <c r="C27" s="2" t="s">
        <v>19</v>
      </c>
      <c r="D27" s="2" t="s">
        <v>19</v>
      </c>
      <c r="E27" s="2" t="s">
        <v>19</v>
      </c>
      <c r="F27" s="2" t="s">
        <v>19</v>
      </c>
      <c r="G27" s="2" t="s">
        <v>19</v>
      </c>
      <c r="H27" s="2" t="s">
        <v>19</v>
      </c>
      <c r="I27" s="2" t="s">
        <v>19</v>
      </c>
      <c r="J27" s="2" t="s">
        <v>19</v>
      </c>
      <c r="K27" s="2" t="s">
        <v>19</v>
      </c>
      <c r="L27" s="2" t="s">
        <v>19</v>
      </c>
      <c r="M27" s="2" t="s">
        <v>19</v>
      </c>
      <c r="N27" s="2" t="s">
        <v>19</v>
      </c>
      <c r="O27" s="2" t="s">
        <v>19</v>
      </c>
    </row>
    <row r="28" spans="1:15" x14ac:dyDescent="0.15">
      <c r="A28" s="1" t="s">
        <v>42</v>
      </c>
      <c r="B28" s="1"/>
      <c r="C28" s="1"/>
      <c r="D28" s="1"/>
      <c r="E28" s="1">
        <v>10469.23</v>
      </c>
      <c r="F28" s="1">
        <v>17069.240000000002</v>
      </c>
      <c r="G28" s="1">
        <v>32388.76</v>
      </c>
      <c r="H28" s="1">
        <v>36063.03</v>
      </c>
      <c r="I28" s="1">
        <v>74139.67</v>
      </c>
      <c r="J28" s="1">
        <v>82370.06</v>
      </c>
      <c r="K28" s="1">
        <v>155409.78</v>
      </c>
      <c r="L28" s="1">
        <v>354222.8</v>
      </c>
      <c r="M28" s="1">
        <v>450789</v>
      </c>
      <c r="N28" s="1">
        <v>385451</v>
      </c>
      <c r="O28" s="1">
        <v>311106</v>
      </c>
    </row>
    <row r="29" spans="1:15" x14ac:dyDescent="0.15">
      <c r="A29" s="1" t="s">
        <v>43</v>
      </c>
      <c r="B29" s="1"/>
      <c r="C29" s="1"/>
      <c r="D29" s="1"/>
      <c r="E29" s="1"/>
      <c r="F29" s="1"/>
      <c r="G29" s="1"/>
      <c r="H29" s="1"/>
      <c r="I29" s="1"/>
      <c r="J29" s="1">
        <v>2237.6799999999998</v>
      </c>
      <c r="K29" s="1">
        <v>1130.8800000000001</v>
      </c>
      <c r="L29" s="1">
        <v>16167.92</v>
      </c>
      <c r="M29" s="1">
        <v>2264</v>
      </c>
      <c r="N29" s="1">
        <v>2754</v>
      </c>
      <c r="O29" s="1">
        <v>3051</v>
      </c>
    </row>
    <row r="30" spans="1:15" x14ac:dyDescent="0.15">
      <c r="A30" s="1" t="s">
        <v>44</v>
      </c>
      <c r="B30" s="1"/>
      <c r="C30" s="1"/>
      <c r="D30" s="1"/>
      <c r="E30" s="1"/>
      <c r="F30" s="1"/>
      <c r="G30" s="1">
        <v>2640.3</v>
      </c>
      <c r="H30" s="1">
        <v>7380</v>
      </c>
      <c r="I30" s="1">
        <v>7570.12</v>
      </c>
      <c r="J30" s="1">
        <v>6200.17</v>
      </c>
      <c r="K30" s="1">
        <v>25279.35</v>
      </c>
      <c r="L30" s="1">
        <v>39068.120000000003</v>
      </c>
      <c r="M30" s="1">
        <v>22633</v>
      </c>
      <c r="N30" s="1">
        <v>13551</v>
      </c>
      <c r="O30" s="1">
        <v>12143</v>
      </c>
    </row>
    <row r="31" spans="1:15" x14ac:dyDescent="0.15">
      <c r="A31" s="1" t="s">
        <v>45</v>
      </c>
      <c r="B31" s="1"/>
      <c r="C31" s="1"/>
      <c r="D31" s="1"/>
      <c r="E31" s="1">
        <v>679.06</v>
      </c>
      <c r="F31" s="1">
        <v>483.75</v>
      </c>
      <c r="G31" s="1">
        <v>1246.6600000000001</v>
      </c>
      <c r="H31" s="1">
        <v>39.42</v>
      </c>
      <c r="I31" s="1"/>
      <c r="J31" s="1"/>
      <c r="K31" s="1"/>
      <c r="L31" s="1">
        <v>1722.31</v>
      </c>
      <c r="M31" s="1">
        <v>3692</v>
      </c>
      <c r="N31" s="1">
        <v>4259</v>
      </c>
      <c r="O31" s="1">
        <v>8506</v>
      </c>
    </row>
    <row r="32" spans="1:15" x14ac:dyDescent="0.15">
      <c r="A32" s="1" t="s">
        <v>46</v>
      </c>
      <c r="B32" s="1"/>
      <c r="C32" s="1"/>
      <c r="D32" s="1"/>
      <c r="E32" s="1">
        <v>16.170000000000002</v>
      </c>
      <c r="F32" s="1">
        <v>28.12</v>
      </c>
      <c r="G32" s="1">
        <v>255.17</v>
      </c>
      <c r="H32" s="1">
        <v>58.6</v>
      </c>
      <c r="I32" s="1">
        <v>21.54</v>
      </c>
      <c r="J32" s="1">
        <v>311.81</v>
      </c>
      <c r="K32" s="1">
        <v>732.42</v>
      </c>
      <c r="L32" s="1">
        <v>952.26</v>
      </c>
      <c r="M32" s="1">
        <v>2914</v>
      </c>
      <c r="N32" s="1">
        <v>2662</v>
      </c>
      <c r="O32" s="1">
        <v>4037</v>
      </c>
    </row>
    <row r="33" spans="1:15" x14ac:dyDescent="0.15">
      <c r="A33" s="1" t="s">
        <v>47</v>
      </c>
      <c r="B33" s="1"/>
      <c r="C33" s="1"/>
      <c r="D33" s="1"/>
      <c r="E33" s="1">
        <v>1169.43</v>
      </c>
      <c r="F33" s="1">
        <v>741.01</v>
      </c>
      <c r="G33" s="1">
        <v>16467.580000000002</v>
      </c>
      <c r="H33" s="1">
        <v>38916.11</v>
      </c>
      <c r="I33" s="1">
        <v>13733.38</v>
      </c>
      <c r="J33" s="1">
        <v>17588.669999999998</v>
      </c>
      <c r="K33" s="1">
        <v>39197.370000000003</v>
      </c>
      <c r="L33" s="1">
        <v>46147.77</v>
      </c>
      <c r="M33" s="1">
        <v>36049</v>
      </c>
      <c r="N33" s="1">
        <v>22568</v>
      </c>
      <c r="O33" s="1">
        <v>11000</v>
      </c>
    </row>
    <row r="34" spans="1:15" x14ac:dyDescent="0.15">
      <c r="A34" s="1" t="s">
        <v>48</v>
      </c>
      <c r="B34" s="1"/>
      <c r="C34" s="1"/>
      <c r="D34" s="1"/>
      <c r="E34" s="1">
        <v>201815.8</v>
      </c>
      <c r="F34" s="1">
        <v>232206.33</v>
      </c>
      <c r="G34" s="1">
        <v>281276.98</v>
      </c>
      <c r="H34" s="1">
        <v>360514.04</v>
      </c>
      <c r="I34" s="1">
        <v>454635.21</v>
      </c>
      <c r="J34" s="1">
        <v>562912.34</v>
      </c>
      <c r="K34" s="1">
        <v>850845.15</v>
      </c>
      <c r="L34" s="1">
        <v>1021107.7</v>
      </c>
      <c r="M34" s="1">
        <v>1217002</v>
      </c>
      <c r="N34" s="1">
        <v>1533183</v>
      </c>
      <c r="O34" s="1">
        <v>1733921</v>
      </c>
    </row>
    <row r="35" spans="1:15" x14ac:dyDescent="0.15">
      <c r="A35" s="1"/>
      <c r="B35" s="1"/>
      <c r="C35" s="1"/>
      <c r="D35" s="1"/>
      <c r="E35" s="1">
        <f t="shared" ref="E35:I35" si="2">SUM(E28:E34)-E32</f>
        <v>214133.52</v>
      </c>
      <c r="F35" s="1">
        <f t="shared" si="2"/>
        <v>250500.33</v>
      </c>
      <c r="G35" s="1">
        <f t="shared" si="2"/>
        <v>334020.27999999997</v>
      </c>
      <c r="H35" s="1">
        <f t="shared" si="2"/>
        <v>442912.6</v>
      </c>
      <c r="I35" s="1">
        <f t="shared" si="2"/>
        <v>550078.38</v>
      </c>
      <c r="J35" s="1">
        <f>SUM(J28:J34)-J32</f>
        <v>671308.91999999993</v>
      </c>
      <c r="K35" s="1">
        <f t="shared" ref="K35:O35" si="3">SUM(K28:K34)-K32</f>
        <v>1071862.53</v>
      </c>
      <c r="L35" s="1">
        <f t="shared" si="3"/>
        <v>1478436.6199999999</v>
      </c>
      <c r="M35" s="1">
        <f t="shared" si="3"/>
        <v>1732429</v>
      </c>
      <c r="N35" s="1">
        <f t="shared" si="3"/>
        <v>1961766</v>
      </c>
      <c r="O35" s="1">
        <f t="shared" si="3"/>
        <v>2079727</v>
      </c>
    </row>
    <row r="36" spans="1:15" x14ac:dyDescent="0.15">
      <c r="A36" s="1" t="s">
        <v>49</v>
      </c>
      <c r="B36" s="1">
        <v>189.21</v>
      </c>
      <c r="C36" s="1">
        <v>238.41</v>
      </c>
      <c r="D36" s="1">
        <v>365.12</v>
      </c>
      <c r="E36" s="1">
        <v>409.93</v>
      </c>
      <c r="F36" s="1">
        <v>614.63</v>
      </c>
      <c r="G36" s="1">
        <v>925.41</v>
      </c>
      <c r="H36" s="1">
        <v>1247.42</v>
      </c>
      <c r="I36" s="1">
        <v>1681.73</v>
      </c>
      <c r="J36" s="1">
        <v>1878.6</v>
      </c>
      <c r="K36" s="1">
        <v>3600.34</v>
      </c>
      <c r="L36" s="1">
        <v>4863.1099999999997</v>
      </c>
      <c r="M36" s="1">
        <v>6013</v>
      </c>
      <c r="N36" s="1">
        <v>7961</v>
      </c>
      <c r="O36" s="1">
        <v>10351</v>
      </c>
    </row>
    <row r="37" spans="1:15" x14ac:dyDescent="0.15">
      <c r="A37" s="1" t="s">
        <v>50</v>
      </c>
      <c r="B37" s="1">
        <v>232.12</v>
      </c>
      <c r="C37" s="1">
        <v>162.22</v>
      </c>
      <c r="D37" s="1">
        <v>395.56</v>
      </c>
      <c r="E37" s="1">
        <v>521.76</v>
      </c>
      <c r="F37" s="1">
        <v>474.58</v>
      </c>
      <c r="G37" s="1">
        <v>819.76</v>
      </c>
      <c r="H37" s="1">
        <v>1197.8499999999999</v>
      </c>
      <c r="I37" s="1">
        <v>652.29</v>
      </c>
      <c r="J37" s="1">
        <v>1125.1199999999999</v>
      </c>
      <c r="K37" s="1">
        <v>2535.81</v>
      </c>
      <c r="L37" s="1">
        <v>2298.64</v>
      </c>
      <c r="M37" s="1">
        <v>4205</v>
      </c>
      <c r="N37" s="1">
        <v>5794</v>
      </c>
      <c r="O37" s="1">
        <v>6571</v>
      </c>
    </row>
    <row r="38" spans="1:15" x14ac:dyDescent="0.15">
      <c r="A38" s="1" t="s">
        <v>51</v>
      </c>
      <c r="B38" s="1"/>
      <c r="C38" s="1"/>
      <c r="D38" s="1"/>
      <c r="E38" s="1">
        <v>821.09</v>
      </c>
      <c r="F38" s="1">
        <v>942.54</v>
      </c>
      <c r="G38" s="1">
        <v>1728.07</v>
      </c>
      <c r="H38" s="1">
        <v>2963.22</v>
      </c>
      <c r="I38" s="1">
        <v>2682.16</v>
      </c>
      <c r="J38" s="1">
        <v>3920.07</v>
      </c>
      <c r="K38" s="1">
        <v>9913.66</v>
      </c>
      <c r="L38" s="1">
        <v>11525.91</v>
      </c>
      <c r="M38" s="1">
        <v>16605</v>
      </c>
      <c r="N38" s="1">
        <v>25229</v>
      </c>
      <c r="O38" s="1">
        <v>23253</v>
      </c>
    </row>
    <row r="39" spans="1:15" x14ac:dyDescent="0.15">
      <c r="A39" s="1" t="s">
        <v>52</v>
      </c>
      <c r="B39" s="1"/>
      <c r="C39" s="1"/>
      <c r="D39" s="1"/>
      <c r="E39" s="1"/>
      <c r="F39" s="1"/>
      <c r="G39" s="1"/>
      <c r="H39" s="1">
        <v>7964.28</v>
      </c>
      <c r="I39" s="1">
        <v>9462.7099999999991</v>
      </c>
      <c r="J39" s="1">
        <v>9469.49</v>
      </c>
      <c r="K39" s="1">
        <v>16054.49</v>
      </c>
      <c r="L39" s="1">
        <v>16078.61</v>
      </c>
      <c r="M39" s="1">
        <v>8102</v>
      </c>
      <c r="N39" s="1">
        <v>41750</v>
      </c>
      <c r="O39" s="1">
        <v>212963</v>
      </c>
    </row>
    <row r="40" spans="1:15" x14ac:dyDescent="0.15">
      <c r="A40" s="1" t="s">
        <v>53</v>
      </c>
      <c r="B40" s="1"/>
      <c r="C40" s="1">
        <v>172.61</v>
      </c>
      <c r="D40" s="1">
        <v>200.23</v>
      </c>
      <c r="E40" s="1">
        <v>235.05</v>
      </c>
      <c r="F40" s="1">
        <v>233.81</v>
      </c>
      <c r="G40" s="1">
        <v>98.54</v>
      </c>
      <c r="H40" s="1">
        <v>341.68</v>
      </c>
      <c r="I40" s="1">
        <v>94.53</v>
      </c>
      <c r="J40" s="1">
        <v>103.08</v>
      </c>
      <c r="K40" s="1">
        <v>1351.06</v>
      </c>
      <c r="L40" s="1">
        <v>1271.9000000000001</v>
      </c>
      <c r="M40" s="1"/>
      <c r="N40" s="1"/>
      <c r="O40" s="1"/>
    </row>
    <row r="41" spans="1:15" x14ac:dyDescent="0.15">
      <c r="A41" s="1" t="s">
        <v>54</v>
      </c>
      <c r="B41" s="1">
        <v>8.1999999999999993</v>
      </c>
      <c r="C41" s="1">
        <v>18.579999999999998</v>
      </c>
      <c r="D41" s="1">
        <v>30.39</v>
      </c>
      <c r="E41" s="1">
        <v>58.72</v>
      </c>
      <c r="F41" s="1">
        <v>55.45</v>
      </c>
      <c r="G41" s="1">
        <v>77.45</v>
      </c>
      <c r="H41" s="1">
        <v>25.81</v>
      </c>
      <c r="I41" s="1">
        <v>3.36</v>
      </c>
      <c r="J41" s="1">
        <v>3.05</v>
      </c>
      <c r="K41" s="1">
        <v>112.25</v>
      </c>
      <c r="L41" s="1">
        <v>127.68</v>
      </c>
      <c r="M41" s="1">
        <v>56</v>
      </c>
      <c r="N41" s="1">
        <v>25</v>
      </c>
      <c r="O41" s="1">
        <v>26</v>
      </c>
    </row>
    <row r="42" spans="1:15" x14ac:dyDescent="0.15">
      <c r="A42" s="1" t="s">
        <v>55</v>
      </c>
      <c r="B42" s="1"/>
      <c r="C42" s="1"/>
      <c r="D42" s="1"/>
      <c r="E42" s="1">
        <v>1074.04</v>
      </c>
      <c r="F42" s="1">
        <v>1252.3499999999999</v>
      </c>
      <c r="G42" s="1">
        <v>1608.62</v>
      </c>
      <c r="H42" s="1">
        <v>820.44</v>
      </c>
      <c r="I42" s="1">
        <v>1813.85</v>
      </c>
      <c r="J42" s="1">
        <v>856.24</v>
      </c>
      <c r="K42" s="1">
        <v>6073.07</v>
      </c>
      <c r="L42" s="1">
        <v>3131.48</v>
      </c>
      <c r="M42" s="1">
        <v>7187</v>
      </c>
      <c r="N42" s="1">
        <v>8440</v>
      </c>
      <c r="O42" s="1">
        <v>8677</v>
      </c>
    </row>
    <row r="43" spans="1:15" x14ac:dyDescent="0.15">
      <c r="A43" s="1" t="s">
        <v>56</v>
      </c>
      <c r="B43" s="1"/>
      <c r="C43" s="1"/>
      <c r="D43" s="1"/>
      <c r="E43" s="1"/>
      <c r="F43" s="1"/>
      <c r="G43" s="1"/>
      <c r="H43" s="1">
        <v>507.48</v>
      </c>
      <c r="I43" s="1">
        <v>850.88</v>
      </c>
      <c r="J43" s="1">
        <v>5120.82</v>
      </c>
      <c r="K43" s="1">
        <v>70560.73</v>
      </c>
      <c r="L43" s="1">
        <v>3051.78</v>
      </c>
      <c r="M43" s="1">
        <v>2149</v>
      </c>
      <c r="N43" s="1">
        <v>1883</v>
      </c>
      <c r="O43" s="1">
        <v>44</v>
      </c>
    </row>
    <row r="44" spans="1:15" x14ac:dyDescent="0.15">
      <c r="A44" s="3" t="s">
        <v>57</v>
      </c>
      <c r="B44" s="1">
        <v>162398.35999999999</v>
      </c>
      <c r="C44" s="1">
        <v>189058.53</v>
      </c>
      <c r="D44" s="1">
        <v>199601.76</v>
      </c>
      <c r="E44" s="1">
        <v>217270.28</v>
      </c>
      <c r="F44" s="1">
        <v>254101.8</v>
      </c>
      <c r="G44" s="1">
        <v>339533.3</v>
      </c>
      <c r="H44" s="1">
        <v>458039.38</v>
      </c>
      <c r="I44" s="1">
        <v>567341.43000000005</v>
      </c>
      <c r="J44" s="1">
        <v>694097.19</v>
      </c>
      <c r="K44" s="1">
        <v>1182796.3600000001</v>
      </c>
      <c r="L44" s="1">
        <v>1521737.99</v>
      </c>
      <c r="M44" s="1">
        <v>1779660</v>
      </c>
      <c r="N44" s="1">
        <v>2055510</v>
      </c>
      <c r="O44" s="1">
        <v>2345649</v>
      </c>
    </row>
    <row r="45" spans="1:15" x14ac:dyDescent="0.15">
      <c r="A45" s="3" t="s">
        <v>58</v>
      </c>
      <c r="B45" s="2" t="s">
        <v>19</v>
      </c>
      <c r="C45" s="2" t="s">
        <v>19</v>
      </c>
      <c r="D45" s="2" t="s">
        <v>19</v>
      </c>
      <c r="E45" s="2" t="s">
        <v>19</v>
      </c>
      <c r="F45" s="2" t="s">
        <v>19</v>
      </c>
      <c r="G45" s="2" t="s">
        <v>19</v>
      </c>
      <c r="H45" s="2" t="s">
        <v>19</v>
      </c>
      <c r="I45" s="2" t="s">
        <v>19</v>
      </c>
      <c r="J45" s="2" t="s">
        <v>19</v>
      </c>
      <c r="K45" s="2" t="s">
        <v>19</v>
      </c>
      <c r="L45" s="2" t="s">
        <v>19</v>
      </c>
      <c r="M45" s="2" t="s">
        <v>19</v>
      </c>
      <c r="N45" s="2" t="s">
        <v>19</v>
      </c>
      <c r="O45" s="2" t="s">
        <v>19</v>
      </c>
    </row>
    <row r="46" spans="1:15" x14ac:dyDescent="0.15">
      <c r="A46" s="1" t="s">
        <v>59</v>
      </c>
      <c r="B46" s="1">
        <v>1945.82</v>
      </c>
      <c r="C46" s="1">
        <v>1945.82</v>
      </c>
      <c r="D46" s="1">
        <v>1945.82</v>
      </c>
      <c r="E46" s="1">
        <v>1945.82</v>
      </c>
      <c r="F46" s="1">
        <v>1945.82</v>
      </c>
      <c r="G46" s="1">
        <v>2293.41</v>
      </c>
      <c r="H46" s="1">
        <v>3105.43</v>
      </c>
      <c r="I46" s="1">
        <v>3105.43</v>
      </c>
      <c r="J46" s="1">
        <v>3485.01</v>
      </c>
      <c r="K46" s="1">
        <v>5123.3500000000004</v>
      </c>
      <c r="L46" s="1">
        <v>5123.3500000000004</v>
      </c>
      <c r="M46" s="1">
        <v>9521</v>
      </c>
      <c r="N46" s="1">
        <v>11425</v>
      </c>
      <c r="O46" s="1">
        <v>14309</v>
      </c>
    </row>
    <row r="47" spans="1:15" x14ac:dyDescent="0.15">
      <c r="A47" s="1" t="s">
        <v>60</v>
      </c>
      <c r="B47" s="1">
        <v>1571.73</v>
      </c>
      <c r="C47" s="1">
        <v>1571.73</v>
      </c>
      <c r="D47" s="1">
        <v>1571.73</v>
      </c>
      <c r="E47" s="1">
        <v>1574.37</v>
      </c>
      <c r="F47" s="1">
        <v>1648.52</v>
      </c>
      <c r="G47" s="1">
        <v>5213.6499999999996</v>
      </c>
      <c r="H47" s="1">
        <v>7978.98</v>
      </c>
      <c r="I47" s="1">
        <v>7017.07</v>
      </c>
      <c r="J47" s="1">
        <v>13396.94</v>
      </c>
      <c r="K47" s="1">
        <v>41537.75</v>
      </c>
      <c r="L47" s="1">
        <v>40135.32</v>
      </c>
      <c r="M47" s="1">
        <v>51734</v>
      </c>
      <c r="N47" s="1">
        <v>52270</v>
      </c>
      <c r="O47" s="1">
        <v>59326</v>
      </c>
    </row>
    <row r="48" spans="1:15" x14ac:dyDescent="0.15">
      <c r="A48" s="1" t="s">
        <v>61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>
        <v>-1851</v>
      </c>
      <c r="O48" s="1">
        <v>-1117</v>
      </c>
    </row>
    <row r="49" spans="1:15" x14ac:dyDescent="0.15">
      <c r="A49" s="1" t="s">
        <v>62</v>
      </c>
      <c r="B49" s="1">
        <v>125.19</v>
      </c>
      <c r="C49" s="1">
        <v>219.22</v>
      </c>
      <c r="D49" s="1">
        <v>262.68</v>
      </c>
      <c r="E49" s="1">
        <v>324.2</v>
      </c>
      <c r="F49" s="1">
        <v>454.49</v>
      </c>
      <c r="G49" s="1">
        <v>719.48</v>
      </c>
      <c r="H49" s="1">
        <v>780.88</v>
      </c>
      <c r="I49" s="1">
        <v>1283.96</v>
      </c>
      <c r="J49" s="1">
        <v>1912.34</v>
      </c>
      <c r="K49" s="1">
        <v>2830.46</v>
      </c>
      <c r="L49" s="1">
        <v>2830.46</v>
      </c>
      <c r="M49" s="1">
        <v>4354</v>
      </c>
      <c r="N49" s="1">
        <v>6334</v>
      </c>
      <c r="O49" s="1">
        <v>8521</v>
      </c>
    </row>
    <row r="50" spans="1:15" x14ac:dyDescent="0.15">
      <c r="A50" s="1" t="s">
        <v>63</v>
      </c>
      <c r="B50" s="1">
        <v>38.840000000000003</v>
      </c>
      <c r="C50" s="1">
        <v>446.3</v>
      </c>
      <c r="D50" s="1">
        <v>634.66</v>
      </c>
      <c r="E50" s="1">
        <v>773.31</v>
      </c>
      <c r="F50" s="1">
        <v>745.93</v>
      </c>
      <c r="G50" s="1">
        <v>2063.8200000000002</v>
      </c>
      <c r="H50" s="1">
        <v>952.19</v>
      </c>
      <c r="I50" s="1">
        <v>4386.87</v>
      </c>
      <c r="J50" s="1">
        <v>8740.7999999999993</v>
      </c>
      <c r="K50" s="1">
        <v>15864.38</v>
      </c>
      <c r="L50" s="1">
        <v>23076.720000000001</v>
      </c>
      <c r="M50" s="1">
        <v>29963</v>
      </c>
      <c r="N50" s="1">
        <v>43656</v>
      </c>
      <c r="O50" s="1">
        <v>52933</v>
      </c>
    </row>
    <row r="51" spans="1:15" x14ac:dyDescent="0.15">
      <c r="A51" s="1" t="s">
        <v>64</v>
      </c>
      <c r="B51" s="1"/>
      <c r="C51" s="1"/>
      <c r="D51" s="1"/>
      <c r="E51" s="1">
        <v>479.7</v>
      </c>
      <c r="F51" s="1">
        <v>1679.7</v>
      </c>
      <c r="G51" s="1">
        <v>2715.7</v>
      </c>
      <c r="H51" s="1">
        <v>3583.3</v>
      </c>
      <c r="I51" s="1">
        <v>4676.28</v>
      </c>
      <c r="J51" s="1">
        <v>5977.78</v>
      </c>
      <c r="K51" s="1">
        <v>7954.9</v>
      </c>
      <c r="L51" s="1">
        <v>13632.93</v>
      </c>
      <c r="M51" s="1">
        <v>16509</v>
      </c>
      <c r="N51" s="1">
        <v>19115</v>
      </c>
      <c r="O51" s="1">
        <v>27528</v>
      </c>
    </row>
    <row r="52" spans="1:15" x14ac:dyDescent="0.15">
      <c r="A52" s="1" t="s">
        <v>65</v>
      </c>
      <c r="B52" s="1">
        <v>0</v>
      </c>
      <c r="C52" s="1">
        <v>0</v>
      </c>
      <c r="D52" s="1">
        <v>0</v>
      </c>
      <c r="E52" s="1">
        <v>-43</v>
      </c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x14ac:dyDescent="0.15">
      <c r="A53" s="3" t="s">
        <v>66</v>
      </c>
      <c r="B53" s="1">
        <v>3768.02</v>
      </c>
      <c r="C53" s="1">
        <v>4394.8900000000003</v>
      </c>
      <c r="D53" s="1">
        <v>4684.66</v>
      </c>
      <c r="E53" s="1">
        <v>5054.41</v>
      </c>
      <c r="F53" s="1">
        <v>6474.46</v>
      </c>
      <c r="G53" s="1">
        <v>13006.06</v>
      </c>
      <c r="H53" s="1">
        <v>16400.79</v>
      </c>
      <c r="I53" s="1">
        <v>20469.61</v>
      </c>
      <c r="J53" s="1">
        <v>33512.879999999997</v>
      </c>
      <c r="K53" s="1">
        <v>73310.84</v>
      </c>
      <c r="L53" s="1">
        <v>84798.77</v>
      </c>
      <c r="M53" s="1">
        <v>112081</v>
      </c>
      <c r="N53" s="1">
        <v>130949</v>
      </c>
      <c r="O53" s="1">
        <v>161500</v>
      </c>
    </row>
    <row r="54" spans="1:15" x14ac:dyDescent="0.15">
      <c r="A54" s="1" t="s">
        <v>67</v>
      </c>
      <c r="B54" s="1"/>
      <c r="C54" s="1"/>
      <c r="D54" s="1"/>
      <c r="E54" s="1"/>
      <c r="F54" s="1"/>
      <c r="G54" s="1"/>
      <c r="H54" s="1"/>
      <c r="I54" s="1"/>
      <c r="J54" s="1"/>
      <c r="K54" s="1">
        <v>2069.75</v>
      </c>
      <c r="L54" s="1"/>
      <c r="M54" s="1"/>
      <c r="N54" s="1"/>
      <c r="O54" s="1"/>
    </row>
    <row r="55" spans="1:15" x14ac:dyDescent="0.15">
      <c r="A55" s="3" t="s">
        <v>68</v>
      </c>
      <c r="B55" s="1">
        <v>3768.02</v>
      </c>
      <c r="C55" s="1">
        <v>4394.8900000000003</v>
      </c>
      <c r="D55" s="1">
        <v>4684.66</v>
      </c>
      <c r="E55" s="1">
        <v>5054.41</v>
      </c>
      <c r="F55" s="1">
        <v>6474.46</v>
      </c>
      <c r="G55" s="1">
        <v>13006.06</v>
      </c>
      <c r="H55" s="1">
        <v>16400.79</v>
      </c>
      <c r="I55" s="1">
        <v>20469.61</v>
      </c>
      <c r="J55" s="1">
        <v>33512.879999999997</v>
      </c>
      <c r="K55" s="1">
        <v>75380.58</v>
      </c>
      <c r="L55" s="1">
        <v>84798.77</v>
      </c>
      <c r="M55" s="1">
        <v>112081</v>
      </c>
      <c r="N55" s="1">
        <v>130949</v>
      </c>
      <c r="O55" s="1">
        <v>161500</v>
      </c>
    </row>
    <row r="56" spans="1:15" x14ac:dyDescent="0.15">
      <c r="A56" s="3" t="s">
        <v>69</v>
      </c>
      <c r="B56" s="1">
        <v>166166.38</v>
      </c>
      <c r="C56" s="1">
        <v>193453.42</v>
      </c>
      <c r="D56" s="1">
        <v>204286.42</v>
      </c>
      <c r="E56" s="1">
        <v>222324.69</v>
      </c>
      <c r="F56" s="1">
        <v>260576.26</v>
      </c>
      <c r="G56" s="1">
        <v>352539.36</v>
      </c>
      <c r="H56" s="1">
        <v>474440.17</v>
      </c>
      <c r="I56" s="1">
        <v>587811.03</v>
      </c>
      <c r="J56" s="1">
        <v>727610.07</v>
      </c>
      <c r="K56" s="1">
        <v>1258176.94</v>
      </c>
      <c r="L56" s="1">
        <v>1606536.76</v>
      </c>
      <c r="M56" s="1">
        <v>1891741</v>
      </c>
      <c r="N56" s="1">
        <v>2186459</v>
      </c>
      <c r="O56" s="1">
        <v>2507149</v>
      </c>
    </row>
    <row r="57" spans="1:15" x14ac:dyDescent="0.15">
      <c r="A57" s="1" t="s">
        <v>70</v>
      </c>
      <c r="B57" s="2" t="s">
        <v>71</v>
      </c>
      <c r="C57" s="2" t="s">
        <v>71</v>
      </c>
      <c r="D57" s="2" t="s">
        <v>71</v>
      </c>
      <c r="E57" s="2" t="s">
        <v>71</v>
      </c>
      <c r="F57" s="2" t="s">
        <v>71</v>
      </c>
      <c r="G57" s="2" t="s">
        <v>71</v>
      </c>
      <c r="H57" s="2" t="s">
        <v>71</v>
      </c>
      <c r="I57" s="2" t="s">
        <v>71</v>
      </c>
      <c r="J57" s="2" t="s">
        <v>71</v>
      </c>
      <c r="K57" s="2" t="s">
        <v>71</v>
      </c>
      <c r="L57" s="2" t="s">
        <v>71</v>
      </c>
      <c r="M57" s="2" t="s">
        <v>71</v>
      </c>
      <c r="N57" s="2" t="s">
        <v>71</v>
      </c>
      <c r="O57" s="2" t="s">
        <v>71</v>
      </c>
    </row>
    <row r="58" spans="1:15" x14ac:dyDescent="0.15">
      <c r="A58" s="1" t="s">
        <v>72</v>
      </c>
      <c r="B58" s="2" t="s">
        <v>71</v>
      </c>
      <c r="C58" s="2" t="s">
        <v>71</v>
      </c>
      <c r="D58" s="2" t="s">
        <v>71</v>
      </c>
      <c r="E58" s="2" t="s">
        <v>71</v>
      </c>
      <c r="F58" s="2" t="s">
        <v>71</v>
      </c>
      <c r="G58" s="2" t="s">
        <v>71</v>
      </c>
      <c r="H58" s="2" t="s">
        <v>71</v>
      </c>
      <c r="I58" s="2" t="s">
        <v>71</v>
      </c>
      <c r="J58" s="2" t="s">
        <v>71</v>
      </c>
      <c r="K58" s="2" t="s">
        <v>71</v>
      </c>
      <c r="L58" s="2" t="s">
        <v>71</v>
      </c>
      <c r="M58" s="2" t="s">
        <v>71</v>
      </c>
      <c r="N58" s="2" t="s">
        <v>71</v>
      </c>
      <c r="O58" s="2" t="s">
        <v>71</v>
      </c>
    </row>
    <row r="59" spans="1:15" x14ac:dyDescent="0.15">
      <c r="A59" s="1" t="s">
        <v>73</v>
      </c>
      <c r="B59" s="2" t="s">
        <v>74</v>
      </c>
      <c r="C59" s="2" t="s">
        <v>74</v>
      </c>
      <c r="D59" s="2" t="s">
        <v>74</v>
      </c>
      <c r="E59" s="2" t="s">
        <v>74</v>
      </c>
      <c r="F59" s="2" t="s">
        <v>74</v>
      </c>
      <c r="G59" s="2" t="s">
        <v>74</v>
      </c>
      <c r="H59" s="2" t="s">
        <v>74</v>
      </c>
      <c r="I59" s="2" t="s">
        <v>74</v>
      </c>
      <c r="J59" s="2" t="s">
        <v>74</v>
      </c>
      <c r="K59" s="2" t="s">
        <v>74</v>
      </c>
      <c r="L59" s="2" t="s">
        <v>74</v>
      </c>
      <c r="M59" s="2" t="s">
        <v>74</v>
      </c>
      <c r="N59" s="2" t="s">
        <v>74</v>
      </c>
      <c r="O59" s="2" t="s">
        <v>74</v>
      </c>
    </row>
    <row r="60" spans="1:15" x14ac:dyDescent="0.15">
      <c r="A60" s="1" t="s">
        <v>75</v>
      </c>
      <c r="B60" s="2" t="s">
        <v>76</v>
      </c>
      <c r="C60" s="2" t="s">
        <v>76</v>
      </c>
      <c r="D60" s="2" t="s">
        <v>76</v>
      </c>
      <c r="E60" s="2" t="s">
        <v>76</v>
      </c>
      <c r="F60" s="2" t="s">
        <v>76</v>
      </c>
      <c r="G60" s="2" t="s">
        <v>76</v>
      </c>
      <c r="H60" s="2" t="s">
        <v>76</v>
      </c>
      <c r="I60" s="2" t="s">
        <v>76</v>
      </c>
      <c r="J60" s="2" t="s">
        <v>76</v>
      </c>
      <c r="K60" s="2" t="s">
        <v>76</v>
      </c>
      <c r="L60" s="2" t="s">
        <v>76</v>
      </c>
      <c r="M60" s="2" t="s">
        <v>76</v>
      </c>
      <c r="N60" s="2" t="s">
        <v>76</v>
      </c>
      <c r="O60" s="2" t="s">
        <v>76</v>
      </c>
    </row>
    <row r="61" spans="1:15" x14ac:dyDescent="0.15">
      <c r="A61" s="1" t="s">
        <v>77</v>
      </c>
      <c r="B61" s="2" t="s">
        <v>78</v>
      </c>
      <c r="C61" s="2" t="s">
        <v>78</v>
      </c>
      <c r="D61" s="2" t="s">
        <v>79</v>
      </c>
      <c r="E61" s="2" t="s">
        <v>78</v>
      </c>
      <c r="F61" s="2" t="s">
        <v>78</v>
      </c>
      <c r="G61" s="2" t="s">
        <v>78</v>
      </c>
      <c r="H61" s="2" t="s">
        <v>78</v>
      </c>
      <c r="I61" s="2" t="s">
        <v>78</v>
      </c>
      <c r="J61" s="2" t="s">
        <v>78</v>
      </c>
      <c r="K61" s="2" t="s">
        <v>78</v>
      </c>
      <c r="L61" s="2" t="s">
        <v>78</v>
      </c>
      <c r="M61" s="2" t="s">
        <v>78</v>
      </c>
      <c r="N61" s="2" t="s">
        <v>78</v>
      </c>
      <c r="O61" s="2" t="s">
        <v>78</v>
      </c>
    </row>
    <row r="62" spans="1:15" x14ac:dyDescent="0.15">
      <c r="A62" s="1" t="s">
        <v>80</v>
      </c>
      <c r="B62" s="2" t="s">
        <v>78</v>
      </c>
      <c r="C62" s="2" t="s">
        <v>78</v>
      </c>
      <c r="D62" s="2" t="s">
        <v>79</v>
      </c>
      <c r="E62" s="2" t="s">
        <v>78</v>
      </c>
      <c r="F62" s="2" t="s">
        <v>78</v>
      </c>
      <c r="G62" s="2" t="s">
        <v>78</v>
      </c>
      <c r="H62" s="2" t="s">
        <v>78</v>
      </c>
      <c r="I62" s="2" t="s">
        <v>78</v>
      </c>
      <c r="J62" s="2" t="s">
        <v>78</v>
      </c>
      <c r="K62" s="2" t="s">
        <v>78</v>
      </c>
      <c r="L62" s="2" t="s">
        <v>78</v>
      </c>
      <c r="M62" s="2" t="s">
        <v>19</v>
      </c>
      <c r="N62" s="2" t="s">
        <v>19</v>
      </c>
      <c r="O62" s="2" t="s">
        <v>19</v>
      </c>
    </row>
    <row r="63" spans="1:15" x14ac:dyDescent="0.15">
      <c r="A63" s="1" t="s">
        <v>81</v>
      </c>
      <c r="B63" s="1" t="s">
        <v>82</v>
      </c>
      <c r="C63" s="1" t="s">
        <v>82</v>
      </c>
      <c r="D63" s="1" t="s">
        <v>82</v>
      </c>
      <c r="E63" s="1" t="s">
        <v>82</v>
      </c>
      <c r="F63" s="1" t="s">
        <v>82</v>
      </c>
      <c r="G63" s="1" t="s">
        <v>82</v>
      </c>
      <c r="H63" s="1" t="s">
        <v>82</v>
      </c>
      <c r="I63" s="1" t="s">
        <v>82</v>
      </c>
      <c r="J63" s="1" t="s">
        <v>82</v>
      </c>
      <c r="K63" s="1" t="s">
        <v>82</v>
      </c>
      <c r="L63" s="1" t="s">
        <v>82</v>
      </c>
      <c r="M63" s="1" t="s">
        <v>82</v>
      </c>
      <c r="N63" s="1" t="s">
        <v>82</v>
      </c>
      <c r="O63" s="1" t="s">
        <v>82</v>
      </c>
    </row>
    <row r="64" spans="1:15" x14ac:dyDescent="0.15">
      <c r="A64" s="1" t="s">
        <v>83</v>
      </c>
      <c r="B64" s="2" t="s">
        <v>84</v>
      </c>
      <c r="C64" s="2" t="s">
        <v>85</v>
      </c>
      <c r="D64" s="2" t="s">
        <v>86</v>
      </c>
      <c r="E64" s="2" t="s">
        <v>87</v>
      </c>
      <c r="F64" s="2" t="s">
        <v>87</v>
      </c>
      <c r="G64" s="2" t="s">
        <v>88</v>
      </c>
      <c r="H64" s="2" t="s">
        <v>89</v>
      </c>
      <c r="I64" s="2" t="s">
        <v>90</v>
      </c>
      <c r="J64" s="2" t="s">
        <v>91</v>
      </c>
      <c r="K64" s="2" t="s">
        <v>92</v>
      </c>
      <c r="L64" s="2" t="s">
        <v>93</v>
      </c>
      <c r="M64" s="2" t="s">
        <v>94</v>
      </c>
      <c r="N64" s="2" t="s">
        <v>95</v>
      </c>
      <c r="O64" s="2" t="s">
        <v>96</v>
      </c>
    </row>
    <row r="65" spans="1:15" x14ac:dyDescent="0.15">
      <c r="A65" s="1" t="s">
        <v>97</v>
      </c>
      <c r="B65" s="2" t="s">
        <v>98</v>
      </c>
      <c r="C65" s="2" t="s">
        <v>98</v>
      </c>
      <c r="D65" s="2" t="s">
        <v>98</v>
      </c>
      <c r="E65" s="2" t="s">
        <v>99</v>
      </c>
      <c r="F65" s="2" t="s">
        <v>99</v>
      </c>
      <c r="G65" s="2" t="s">
        <v>99</v>
      </c>
      <c r="H65" s="2" t="s">
        <v>99</v>
      </c>
      <c r="I65" s="2" t="s">
        <v>99</v>
      </c>
      <c r="J65" s="2" t="s">
        <v>99</v>
      </c>
      <c r="K65" s="2" t="s">
        <v>99</v>
      </c>
      <c r="L65" s="2" t="s">
        <v>99</v>
      </c>
      <c r="M65" s="2" t="s">
        <v>99</v>
      </c>
      <c r="N65" s="2" t="s">
        <v>99</v>
      </c>
      <c r="O65" s="2" t="s">
        <v>99</v>
      </c>
    </row>
    <row r="69" spans="1:15" x14ac:dyDescent="0.15">
      <c r="A69" t="s">
        <v>100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000001.SZ-资产负债表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2016-05-29T09:23:19Z</dcterms:created>
  <dcterms:modified xsi:type="dcterms:W3CDTF">2016-05-29T12:45:58Z</dcterms:modified>
</cp:coreProperties>
</file>