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451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2" l="1"/>
  <c r="I12" i="2"/>
  <c r="G12" i="2"/>
  <c r="H29" i="2"/>
  <c r="I29" i="2"/>
  <c r="G29" i="2"/>
</calcChain>
</file>

<file path=xl/sharedStrings.xml><?xml version="1.0" encoding="utf-8"?>
<sst xmlns="http://schemas.openxmlformats.org/spreadsheetml/2006/main" count="233" uniqueCount="88">
  <si>
    <t>2003-12-31</t>
  </si>
  <si>
    <t>2004-12-31</t>
  </si>
  <si>
    <t>2005-12-31</t>
  </si>
  <si>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</si>
  <si>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</si>
  <si>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</si>
  <si>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</si>
  <si>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</si>
  <si>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</si>
  <si>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</si>
  <si>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</si>
  <si>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</si>
  <si>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</si>
  <si>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</si>
  <si>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</si>
  <si>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</si>
  <si>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</si>
  <si>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</si>
  <si>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</si>
  <si>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</si>
  <si>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</si>
  <si>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</si>
  <si>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</si>
  <si>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</si>
  <si>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</si>
  <si>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</si>
  <si>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</si>
  <si>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</si>
  <si>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</si>
  <si>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</si>
  <si>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</si>
  <si>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</si>
  <si>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</si>
  <si>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</si>
  <si>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资产差额(合计平衡项目)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</si>
  <si>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</si>
  <si>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</si>
  <si>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</si>
  <si>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</si>
  <si>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</si>
  <si>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</si>
  <si>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</si>
  <si>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</si>
  <si>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</si>
  <si>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</si>
  <si>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</si>
  <si>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</si>
  <si>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</si>
  <si>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负债差额(合计平衡项目)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</si>
  <si>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</si>
  <si>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</si>
  <si>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</si>
  <si>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</si>
  <si>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</si>
  <si>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</si>
  <si>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</si>
  <si>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</si>
  <si>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</si>
  <si>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</si>
  <si>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</si>
  <si>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</si>
  <si>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</si>
  <si>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</si>
  <si>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</si>
  <si>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</si>
  <si>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</si>
  <si>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</si>
  <si>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</si>
  <si>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</si>
  <si>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带强调事项段的无保留意见</t>
  </si>
  <si>
    <t>标准无保留意见</t>
  </si>
  <si>
    <t>原始报表</t>
  </si>
  <si>
    <t>点击浏览</t>
  </si>
  <si>
    <t>公告日期</t>
  </si>
  <si>
    <t>2007-12-14</t>
  </si>
  <si>
    <t>2009-12-22</t>
  </si>
  <si>
    <t>2009-04-30</t>
  </si>
  <si>
    <t>2010-05-19</t>
  </si>
  <si>
    <t>2011-04-07</t>
  </si>
  <si>
    <t>2012-03-19</t>
  </si>
  <si>
    <t>2013-04-24</t>
  </si>
  <si>
    <t>2014-04-28</t>
  </si>
  <si>
    <t>2015-04-24</t>
  </si>
  <si>
    <t>2016-04-26</t>
  </si>
  <si>
    <t>数据来源</t>
  </si>
  <si>
    <t>WIND调整计算值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</si>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</sst>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tabSelected="1" workbookViewId="0">
      <selection activeCell="B22" sqref="B22:F22"/>
    </sheetView>
  </sheetViews>
  <sheetFormatPr defaultRowHeight="13.5" x14ac:dyDescent="0.15"/>
  <cols>
    <col min="1" max="1" width="34.125" bestFit="1" customWidth="1"/>
    <col min="2" max="2" width="10.375" customWidth="1"/>
    <col min="3" max="3" width="13.125" customWidth="1"/>
    <col min="4" max="4" width="11.125" customWidth="1"/>
    <col min="5" max="5" width="11.25" customWidth="1"/>
    <col min="6" max="14" width="15.125" bestFit="1" customWidth="1"/>
  </cols>
  <sheetData>
    <row r="1" spans="1:14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15">
      <c r="A2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  <c r="N2" s="3" t="s">
        <v>14</v>
      </c>
    </row>
    <row r="3" spans="1:14" x14ac:dyDescent="0.15">
      <c r="A3" t="s">
        <v>15</v>
      </c>
      <c r="B3" s="3" t="s">
        <v>16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3" t="s">
        <v>16</v>
      </c>
    </row>
    <row r="4" spans="1:14" x14ac:dyDescent="0.15">
      <c r="A4" s="2" t="s">
        <v>17</v>
      </c>
      <c r="B4" s="3" t="s">
        <v>18</v>
      </c>
      <c r="C4" s="3" t="s">
        <v>18</v>
      </c>
      <c r="D4" s="3" t="s">
        <v>18</v>
      </c>
      <c r="E4" s="3" t="s">
        <v>18</v>
      </c>
      <c r="F4" s="3" t="s">
        <v>18</v>
      </c>
      <c r="G4" s="3" t="s">
        <v>18</v>
      </c>
      <c r="H4" s="3" t="s">
        <v>18</v>
      </c>
      <c r="I4" s="3" t="s">
        <v>18</v>
      </c>
      <c r="J4" s="3" t="s">
        <v>18</v>
      </c>
      <c r="K4" s="3" t="s">
        <v>18</v>
      </c>
      <c r="L4" s="3" t="s">
        <v>18</v>
      </c>
      <c r="M4" s="3" t="s">
        <v>18</v>
      </c>
      <c r="N4" s="3" t="s">
        <v>18</v>
      </c>
    </row>
    <row r="5" spans="1:14" x14ac:dyDescent="0.15">
      <c r="A5" t="s">
        <v>19</v>
      </c>
      <c r="B5" s="1"/>
      <c r="C5" s="1"/>
      <c r="D5" s="1">
        <v>831.91</v>
      </c>
      <c r="E5" s="1">
        <v>1155.74</v>
      </c>
      <c r="F5" s="1">
        <v>2175.29</v>
      </c>
      <c r="G5" s="1">
        <v>2282.52</v>
      </c>
      <c r="H5" s="1">
        <v>3881.55</v>
      </c>
      <c r="I5" s="1">
        <v>6787.35</v>
      </c>
      <c r="J5" s="1">
        <v>7276.54</v>
      </c>
      <c r="K5" s="1">
        <v>9391.66</v>
      </c>
      <c r="L5" s="1">
        <v>11912.36</v>
      </c>
      <c r="M5" s="1">
        <v>12154.42</v>
      </c>
      <c r="N5" s="1">
        <v>10528.88</v>
      </c>
    </row>
    <row r="6" spans="1:14" x14ac:dyDescent="0.15">
      <c r="A6" t="s">
        <v>20</v>
      </c>
      <c r="B6" s="1"/>
      <c r="C6" s="1"/>
      <c r="D6" s="1">
        <v>398.13</v>
      </c>
      <c r="E6" s="1">
        <v>3.68</v>
      </c>
      <c r="F6" s="1">
        <v>521.39</v>
      </c>
      <c r="G6" s="1">
        <v>866.75</v>
      </c>
      <c r="H6" s="1">
        <v>1458.74</v>
      </c>
      <c r="I6" s="1">
        <v>1149.83</v>
      </c>
      <c r="J6" s="1">
        <v>2422.9</v>
      </c>
      <c r="K6" s="1">
        <v>1177.44</v>
      </c>
      <c r="L6" s="1">
        <v>1978.86</v>
      </c>
      <c r="M6" s="1">
        <v>1415.86</v>
      </c>
      <c r="N6" s="1">
        <v>960.4</v>
      </c>
    </row>
    <row r="7" spans="1:14" x14ac:dyDescent="0.15">
      <c r="A7" t="s">
        <v>21</v>
      </c>
      <c r="B7" s="1"/>
      <c r="C7" s="1"/>
      <c r="D7" s="1"/>
      <c r="E7" s="1"/>
      <c r="F7" s="1"/>
      <c r="G7" s="1"/>
      <c r="H7" s="1">
        <v>50</v>
      </c>
      <c r="I7" s="1"/>
      <c r="J7" s="1">
        <v>100</v>
      </c>
      <c r="K7" s="1">
        <v>7</v>
      </c>
      <c r="L7" s="1">
        <v>249.22</v>
      </c>
      <c r="M7" s="1">
        <v>122.38</v>
      </c>
      <c r="N7" s="1">
        <v>725.65</v>
      </c>
    </row>
    <row r="8" spans="1:14" x14ac:dyDescent="0.15">
      <c r="A8" t="s">
        <v>22</v>
      </c>
      <c r="B8" s="1"/>
      <c r="C8" s="1"/>
      <c r="D8" s="1"/>
      <c r="E8" s="1"/>
      <c r="F8" s="1"/>
      <c r="G8" s="1">
        <v>874.66</v>
      </c>
      <c r="H8" s="1">
        <v>816.9</v>
      </c>
      <c r="I8" s="1">
        <v>778.97</v>
      </c>
      <c r="J8" s="1">
        <v>443.72</v>
      </c>
      <c r="K8" s="1">
        <v>1084.04</v>
      </c>
      <c r="L8" s="1">
        <v>2081.13</v>
      </c>
      <c r="M8" s="1">
        <v>1200.17</v>
      </c>
      <c r="N8" s="1">
        <v>4149.97</v>
      </c>
    </row>
    <row r="9" spans="1:14" x14ac:dyDescent="0.15">
      <c r="A9" t="s">
        <v>23</v>
      </c>
      <c r="B9" s="1"/>
      <c r="C9" s="1"/>
      <c r="D9" s="1"/>
      <c r="E9" s="1"/>
      <c r="F9" s="1"/>
      <c r="G9" s="1">
        <v>500.77</v>
      </c>
      <c r="H9" s="1">
        <v>286.14999999999998</v>
      </c>
      <c r="I9" s="1">
        <v>7355.02</v>
      </c>
      <c r="J9" s="1">
        <v>535.86</v>
      </c>
      <c r="K9" s="1">
        <v>2012.54</v>
      </c>
      <c r="L9" s="1">
        <v>1967.8</v>
      </c>
      <c r="M9" s="1">
        <v>407.5</v>
      </c>
      <c r="N9" s="1">
        <v>2365.5300000000002</v>
      </c>
    </row>
    <row r="10" spans="1:14" x14ac:dyDescent="0.15">
      <c r="A10" t="s">
        <v>24</v>
      </c>
      <c r="B10" s="1"/>
      <c r="C10" s="1"/>
      <c r="D10" s="1"/>
      <c r="E10" s="1"/>
      <c r="F10" s="1"/>
      <c r="G10" s="1">
        <v>68.540000000000006</v>
      </c>
      <c r="H10" s="1">
        <v>79.3</v>
      </c>
      <c r="I10" s="1">
        <v>148.61000000000001</v>
      </c>
      <c r="J10" s="1">
        <v>172.79</v>
      </c>
      <c r="K10" s="1">
        <v>234.28</v>
      </c>
      <c r="L10" s="1">
        <v>346.12</v>
      </c>
      <c r="M10" s="1">
        <v>449.27</v>
      </c>
      <c r="N10" s="1">
        <v>577.55999999999995</v>
      </c>
    </row>
    <row r="11" spans="1:14" x14ac:dyDescent="0.15">
      <c r="A11" t="s">
        <v>25</v>
      </c>
      <c r="B11" s="1"/>
      <c r="C11" s="1"/>
      <c r="D11" s="1"/>
      <c r="E11" s="1"/>
      <c r="F11" s="1"/>
      <c r="G11" s="1">
        <v>9967.85</v>
      </c>
      <c r="H11" s="1">
        <v>14260.31</v>
      </c>
      <c r="I11" s="1">
        <v>17405.87</v>
      </c>
      <c r="J11" s="1">
        <v>21602.99</v>
      </c>
      <c r="K11" s="1">
        <v>26992.74</v>
      </c>
      <c r="L11" s="1">
        <v>30268.67</v>
      </c>
      <c r="M11" s="1">
        <v>35791.1</v>
      </c>
      <c r="N11" s="1">
        <v>43052.61</v>
      </c>
    </row>
    <row r="12" spans="1:14" x14ac:dyDescent="0.15">
      <c r="B12" s="1"/>
      <c r="C12" s="1"/>
      <c r="D12" s="1"/>
      <c r="E12" s="1"/>
      <c r="F12" s="1"/>
      <c r="G12" s="1">
        <f>G10+G11</f>
        <v>10036.390000000001</v>
      </c>
      <c r="H12" s="1">
        <f t="shared" ref="H12:I12" si="0">H10+H11</f>
        <v>14339.609999999999</v>
      </c>
      <c r="I12" s="1">
        <f t="shared" si="0"/>
        <v>17554.48</v>
      </c>
      <c r="J12" s="1"/>
      <c r="K12" s="1"/>
      <c r="L12" s="1"/>
      <c r="M12" s="1"/>
      <c r="N12" s="1"/>
    </row>
    <row r="13" spans="1:14" x14ac:dyDescent="0.15">
      <c r="A13" t="s">
        <v>26</v>
      </c>
      <c r="B13" s="1"/>
      <c r="C13" s="1"/>
      <c r="D13" s="1"/>
      <c r="E13" s="1"/>
      <c r="F13" s="1"/>
      <c r="G13" s="1">
        <v>1795.77</v>
      </c>
      <c r="H13" s="1">
        <v>1855.67</v>
      </c>
      <c r="I13" s="1">
        <v>1043.03</v>
      </c>
      <c r="J13" s="1">
        <v>1983.85</v>
      </c>
      <c r="K13" s="1">
        <v>3363.76</v>
      </c>
      <c r="L13" s="1">
        <v>4853.57</v>
      </c>
      <c r="M13" s="1">
        <v>6353.49</v>
      </c>
      <c r="N13" s="1">
        <v>9613.66</v>
      </c>
    </row>
    <row r="14" spans="1:14" x14ac:dyDescent="0.15">
      <c r="A14" t="s">
        <v>27</v>
      </c>
      <c r="B14" s="1"/>
      <c r="C14" s="1"/>
      <c r="D14" s="1"/>
      <c r="E14" s="1"/>
      <c r="F14" s="1"/>
      <c r="G14" s="1">
        <v>1469.94</v>
      </c>
      <c r="H14" s="1">
        <v>2006.63</v>
      </c>
      <c r="I14" s="1">
        <v>2152.2800000000002</v>
      </c>
      <c r="J14" s="1">
        <v>3791.55</v>
      </c>
      <c r="K14" s="1">
        <v>4172.92</v>
      </c>
      <c r="L14" s="1">
        <v>7343.94</v>
      </c>
      <c r="M14" s="1">
        <v>8140.72</v>
      </c>
      <c r="N14" s="1">
        <v>9006.56</v>
      </c>
    </row>
    <row r="15" spans="1:14" x14ac:dyDescent="0.15">
      <c r="A15" t="s">
        <v>28</v>
      </c>
      <c r="B15" s="1"/>
      <c r="C15" s="1"/>
      <c r="D15" s="1"/>
      <c r="E15" s="1"/>
      <c r="F15" s="1"/>
      <c r="G15" s="1">
        <v>12.75</v>
      </c>
      <c r="H15" s="1">
        <v>22.75</v>
      </c>
      <c r="I15" s="1">
        <v>28.75</v>
      </c>
      <c r="J15" s="1">
        <v>27.91</v>
      </c>
      <c r="K15" s="1">
        <v>36.83</v>
      </c>
      <c r="L15" s="1">
        <v>32.75</v>
      </c>
      <c r="M15" s="1">
        <v>3.28</v>
      </c>
      <c r="N15" s="1">
        <v>1.28</v>
      </c>
    </row>
    <row r="16" spans="1:14" x14ac:dyDescent="0.15">
      <c r="A16" t="s">
        <v>29</v>
      </c>
      <c r="B16" s="1"/>
      <c r="C16" s="1"/>
      <c r="D16" s="1"/>
      <c r="E16" s="1"/>
      <c r="F16" s="1"/>
      <c r="G16" s="1"/>
      <c r="H16" s="1"/>
      <c r="I16" s="1"/>
      <c r="J16" s="1"/>
      <c r="K16" s="1">
        <v>1023.25</v>
      </c>
      <c r="L16" s="1">
        <v>1989.83</v>
      </c>
      <c r="M16" s="1">
        <v>4869.38</v>
      </c>
      <c r="N16" s="1">
        <v>8163.16</v>
      </c>
    </row>
    <row r="17" spans="1:14" x14ac:dyDescent="0.15">
      <c r="A17" t="s">
        <v>30</v>
      </c>
      <c r="B17" s="1"/>
      <c r="C17" s="1"/>
      <c r="D17" s="1">
        <v>64.510000000000005</v>
      </c>
      <c r="E17" s="1"/>
      <c r="F17" s="1">
        <v>103.17</v>
      </c>
      <c r="G17" s="1">
        <v>119.98</v>
      </c>
      <c r="H17" s="1">
        <v>394.26</v>
      </c>
      <c r="I17" s="1">
        <v>503.56</v>
      </c>
      <c r="J17" s="1">
        <v>709.48</v>
      </c>
      <c r="K17" s="1">
        <v>869.41</v>
      </c>
      <c r="L17" s="1">
        <v>926</v>
      </c>
      <c r="M17" s="1">
        <v>1116.32</v>
      </c>
      <c r="N17" s="1">
        <v>1169.2</v>
      </c>
    </row>
    <row r="18" spans="1:14" x14ac:dyDescent="0.15">
      <c r="A18" t="s">
        <v>31</v>
      </c>
      <c r="B18" s="1">
        <v>25.21</v>
      </c>
      <c r="C18" s="1">
        <v>61.8</v>
      </c>
      <c r="D18" s="1">
        <v>64.709999999999994</v>
      </c>
      <c r="E18" s="1">
        <v>51.03</v>
      </c>
      <c r="F18" s="1">
        <v>46.41</v>
      </c>
      <c r="G18" s="1">
        <v>87.17</v>
      </c>
      <c r="H18" s="1">
        <v>87.6</v>
      </c>
      <c r="I18" s="1">
        <v>116.31</v>
      </c>
      <c r="J18" s="1">
        <v>95.91</v>
      </c>
      <c r="K18" s="1">
        <v>93.9</v>
      </c>
      <c r="L18" s="1">
        <v>100.7</v>
      </c>
      <c r="M18" s="1">
        <v>103.42</v>
      </c>
      <c r="N18" s="1">
        <v>95.68</v>
      </c>
    </row>
    <row r="19" spans="1:14" x14ac:dyDescent="0.15">
      <c r="A19" t="s">
        <v>32</v>
      </c>
      <c r="B19" s="1"/>
      <c r="C19" s="1"/>
      <c r="D19" s="1"/>
      <c r="E19" s="1"/>
      <c r="F19" s="1"/>
      <c r="G19" s="1">
        <v>27.52</v>
      </c>
      <c r="H19" s="1">
        <v>59.56</v>
      </c>
      <c r="I19" s="1">
        <v>80.84</v>
      </c>
      <c r="J19" s="1">
        <v>112.36</v>
      </c>
      <c r="K19" s="1">
        <v>184.27</v>
      </c>
      <c r="L19" s="1">
        <v>302.89999999999998</v>
      </c>
      <c r="M19" s="1">
        <v>379.38</v>
      </c>
      <c r="N19" s="1">
        <v>631.09</v>
      </c>
    </row>
    <row r="20" spans="1:14" x14ac:dyDescent="0.15">
      <c r="A20" t="s">
        <v>33</v>
      </c>
      <c r="B20" s="1"/>
      <c r="C20" s="1"/>
      <c r="D20" s="1">
        <v>117.22</v>
      </c>
      <c r="E20" s="1">
        <v>66.17</v>
      </c>
      <c r="F20" s="1">
        <v>52.14</v>
      </c>
      <c r="G20" s="1">
        <v>84.57</v>
      </c>
      <c r="H20" s="1">
        <v>95.13</v>
      </c>
      <c r="I20" s="1">
        <v>260.27</v>
      </c>
      <c r="J20" s="1">
        <v>213.29</v>
      </c>
      <c r="K20" s="1">
        <v>232.19</v>
      </c>
      <c r="L20" s="1">
        <v>312.27</v>
      </c>
      <c r="M20" s="1">
        <v>566.26</v>
      </c>
      <c r="N20" s="1">
        <v>946.87</v>
      </c>
    </row>
    <row r="21" spans="1:14" x14ac:dyDescent="0.15">
      <c r="A21" t="s">
        <v>34</v>
      </c>
      <c r="B21" s="1">
        <v>4846.87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15">
      <c r="A22" s="2" t="s">
        <v>35</v>
      </c>
      <c r="B22" s="1">
        <v>4872.08</v>
      </c>
      <c r="C22" s="1">
        <v>6739.96</v>
      </c>
      <c r="D22" s="1">
        <v>9128.93</v>
      </c>
      <c r="E22" s="1">
        <v>13582.15</v>
      </c>
      <c r="F22" s="1">
        <v>17849.77</v>
      </c>
      <c r="G22" s="1">
        <v>18158.78</v>
      </c>
      <c r="H22" s="1">
        <v>25354.55</v>
      </c>
      <c r="I22" s="1">
        <v>37810.69</v>
      </c>
      <c r="J22" s="1">
        <v>39489.14</v>
      </c>
      <c r="K22" s="1">
        <v>50876.24</v>
      </c>
      <c r="L22" s="1">
        <v>64666.12</v>
      </c>
      <c r="M22" s="1">
        <v>73072.94</v>
      </c>
      <c r="N22" s="1">
        <v>91988.1</v>
      </c>
    </row>
    <row r="23" spans="1:14" x14ac:dyDescent="0.15">
      <c r="A23" s="2" t="s">
        <v>36</v>
      </c>
      <c r="B23" s="3" t="s">
        <v>18</v>
      </c>
      <c r="C23" s="3" t="s">
        <v>18</v>
      </c>
      <c r="D23" s="3" t="s">
        <v>18</v>
      </c>
      <c r="E23" s="3" t="s">
        <v>18</v>
      </c>
      <c r="F23" s="3" t="s">
        <v>18</v>
      </c>
      <c r="G23" s="3" t="s">
        <v>18</v>
      </c>
      <c r="H23" s="3" t="s">
        <v>18</v>
      </c>
      <c r="I23" s="3" t="s">
        <v>18</v>
      </c>
      <c r="J23" s="3" t="s">
        <v>18</v>
      </c>
      <c r="K23" s="3" t="s">
        <v>18</v>
      </c>
      <c r="L23" s="3" t="s">
        <v>18</v>
      </c>
      <c r="M23" s="3" t="s">
        <v>18</v>
      </c>
      <c r="N23" s="3" t="s">
        <v>18</v>
      </c>
    </row>
    <row r="24" spans="1:14" x14ac:dyDescent="0.15">
      <c r="A24" t="s">
        <v>37</v>
      </c>
      <c r="B24" s="1"/>
      <c r="C24" s="1"/>
      <c r="D24" s="1">
        <v>40.35</v>
      </c>
      <c r="E24" s="1">
        <v>23.43</v>
      </c>
      <c r="F24" s="1">
        <v>30.21</v>
      </c>
      <c r="G24" s="1">
        <v>648.85</v>
      </c>
      <c r="H24" s="1">
        <v>675.96</v>
      </c>
      <c r="I24" s="1">
        <v>659.83</v>
      </c>
      <c r="J24" s="1">
        <v>1143.69</v>
      </c>
      <c r="K24" s="1">
        <v>647.96</v>
      </c>
      <c r="L24" s="1">
        <v>1183.29</v>
      </c>
      <c r="M24" s="1">
        <v>858.62</v>
      </c>
      <c r="N24" s="1">
        <v>1527.4</v>
      </c>
    </row>
    <row r="25" spans="1:14" x14ac:dyDescent="0.15">
      <c r="A25" t="s">
        <v>38</v>
      </c>
      <c r="B25" s="1"/>
      <c r="C25" s="1"/>
      <c r="D25" s="1"/>
      <c r="E25" s="1"/>
      <c r="F25" s="1">
        <v>140.66</v>
      </c>
      <c r="G25" s="1"/>
      <c r="H25" s="1"/>
      <c r="I25" s="1"/>
      <c r="J25" s="1"/>
      <c r="K25" s="1"/>
      <c r="L25" s="1"/>
      <c r="M25" s="1">
        <v>221.47</v>
      </c>
      <c r="N25" s="1">
        <v>39.99</v>
      </c>
    </row>
    <row r="26" spans="1:14" x14ac:dyDescent="0.15">
      <c r="A26" t="s">
        <v>39</v>
      </c>
      <c r="B26" s="1"/>
      <c r="C26" s="1"/>
      <c r="D26" s="1"/>
      <c r="E26" s="1"/>
      <c r="F26" s="1"/>
      <c r="G26" s="1"/>
      <c r="H26" s="1"/>
      <c r="I26" s="1"/>
      <c r="J26" s="1">
        <v>56.71</v>
      </c>
      <c r="K26" s="1">
        <v>639.77</v>
      </c>
      <c r="L26" s="1">
        <v>70.11</v>
      </c>
      <c r="M26" s="1">
        <v>1373.73</v>
      </c>
      <c r="N26" s="1">
        <v>194.81</v>
      </c>
    </row>
    <row r="27" spans="1:14" x14ac:dyDescent="0.15">
      <c r="A27" t="s">
        <v>40</v>
      </c>
      <c r="B27" s="1"/>
      <c r="C27" s="1"/>
      <c r="D27" s="1">
        <v>500</v>
      </c>
      <c r="E27" s="1">
        <v>2103.6</v>
      </c>
      <c r="F27" s="1">
        <v>3094.1</v>
      </c>
      <c r="G27" s="1">
        <v>1655.64</v>
      </c>
      <c r="H27" s="1">
        <v>400</v>
      </c>
      <c r="I27" s="1">
        <v>2814.24</v>
      </c>
      <c r="J27" s="1">
        <v>1100</v>
      </c>
      <c r="K27" s="1">
        <v>3527.6</v>
      </c>
      <c r="L27" s="1">
        <v>3398.22</v>
      </c>
      <c r="M27" s="1">
        <v>5072.2</v>
      </c>
      <c r="N27" s="1">
        <v>9449.2800000000007</v>
      </c>
    </row>
    <row r="28" spans="1:14" x14ac:dyDescent="0.15">
      <c r="A28" t="s">
        <v>41</v>
      </c>
      <c r="B28" s="1"/>
      <c r="C28" s="1"/>
      <c r="D28" s="1"/>
      <c r="E28" s="1"/>
      <c r="F28" s="1"/>
      <c r="G28" s="1">
        <v>13164.54</v>
      </c>
      <c r="H28" s="1">
        <v>20960.990000000002</v>
      </c>
      <c r="I28" s="1">
        <v>29977</v>
      </c>
      <c r="J28" s="1">
        <v>32231.97</v>
      </c>
      <c r="K28" s="1">
        <v>40723.96</v>
      </c>
      <c r="L28" s="1">
        <v>50655.97</v>
      </c>
      <c r="M28" s="1">
        <v>56790.239999999998</v>
      </c>
      <c r="N28" s="1">
        <v>66929.33</v>
      </c>
    </row>
    <row r="29" spans="1:14" x14ac:dyDescent="0.15">
      <c r="B29" s="1"/>
      <c r="C29" s="1"/>
      <c r="D29" s="1"/>
      <c r="E29" s="1"/>
      <c r="F29" s="1"/>
      <c r="G29" s="1">
        <f>SUM(G24:G28)</f>
        <v>15469.03</v>
      </c>
      <c r="H29" s="1">
        <f t="shared" ref="H29:I29" si="1">SUM(H24:H28)</f>
        <v>22036.95</v>
      </c>
      <c r="I29" s="1">
        <f t="shared" si="1"/>
        <v>33451.07</v>
      </c>
      <c r="J29" s="1"/>
      <c r="K29" s="1"/>
      <c r="L29" s="1"/>
      <c r="M29" s="1"/>
      <c r="N29" s="1"/>
    </row>
    <row r="30" spans="1:14" x14ac:dyDescent="0.15">
      <c r="A30" t="s">
        <v>42</v>
      </c>
      <c r="B30" s="1">
        <v>12.66</v>
      </c>
      <c r="C30" s="1">
        <v>19.3</v>
      </c>
      <c r="D30" s="1">
        <v>57.17</v>
      </c>
      <c r="E30" s="1"/>
      <c r="F30" s="1">
        <v>143.38999999999999</v>
      </c>
      <c r="G30" s="1">
        <v>165.08</v>
      </c>
      <c r="H30" s="1">
        <v>171.11</v>
      </c>
      <c r="I30" s="1">
        <v>169.19</v>
      </c>
      <c r="J30" s="1">
        <v>167.19</v>
      </c>
      <c r="K30" s="1">
        <v>169.14</v>
      </c>
      <c r="L30" s="1">
        <v>172.66</v>
      </c>
      <c r="M30" s="1">
        <v>22.83</v>
      </c>
      <c r="N30" s="1">
        <v>33.35</v>
      </c>
    </row>
    <row r="31" spans="1:14" x14ac:dyDescent="0.15">
      <c r="A31" t="s">
        <v>43</v>
      </c>
      <c r="B31" s="1">
        <v>5.69</v>
      </c>
      <c r="C31" s="1">
        <v>-5.6</v>
      </c>
      <c r="D31" s="1">
        <v>-11.39</v>
      </c>
      <c r="E31" s="1">
        <v>78.05</v>
      </c>
      <c r="F31" s="1">
        <v>88.33</v>
      </c>
      <c r="G31" s="1">
        <v>104.79</v>
      </c>
      <c r="H31" s="1">
        <v>108.87</v>
      </c>
      <c r="I31" s="1">
        <v>72.33</v>
      </c>
      <c r="J31" s="1">
        <v>173.71</v>
      </c>
      <c r="K31" s="1">
        <v>249.33</v>
      </c>
      <c r="L31" s="1">
        <v>199.59</v>
      </c>
      <c r="M31" s="1">
        <v>241.26</v>
      </c>
      <c r="N31" s="1">
        <v>228.3</v>
      </c>
    </row>
    <row r="32" spans="1:14" x14ac:dyDescent="0.15">
      <c r="A32" t="s">
        <v>44</v>
      </c>
      <c r="B32" s="1"/>
      <c r="C32" s="1"/>
      <c r="D32" s="1"/>
      <c r="E32" s="1"/>
      <c r="F32" s="1"/>
      <c r="G32" s="1">
        <v>192.42</v>
      </c>
      <c r="H32" s="1">
        <v>140.08000000000001</v>
      </c>
      <c r="I32" s="1">
        <v>194.64</v>
      </c>
      <c r="J32" s="1">
        <v>256.77</v>
      </c>
      <c r="K32" s="1">
        <v>418.94</v>
      </c>
      <c r="L32" s="1">
        <v>549.04</v>
      </c>
      <c r="M32" s="1">
        <v>680.11</v>
      </c>
      <c r="N32" s="1">
        <v>804.78</v>
      </c>
    </row>
    <row r="33" spans="1:14" x14ac:dyDescent="0.15">
      <c r="A33" t="s">
        <v>45</v>
      </c>
      <c r="B33" s="1"/>
      <c r="C33" s="1"/>
      <c r="D33" s="1"/>
      <c r="E33" s="1"/>
      <c r="F33" s="1"/>
      <c r="G33" s="1">
        <v>400</v>
      </c>
      <c r="H33" s="1">
        <v>400</v>
      </c>
      <c r="I33" s="1">
        <v>400</v>
      </c>
      <c r="J33" s="1">
        <v>400</v>
      </c>
      <c r="K33" s="1">
        <v>600</v>
      </c>
      <c r="L33" s="1">
        <v>600</v>
      </c>
      <c r="M33" s="1">
        <v>600</v>
      </c>
      <c r="N33" s="1">
        <v>4713.09</v>
      </c>
    </row>
    <row r="34" spans="1:14" x14ac:dyDescent="0.15">
      <c r="A34" t="s">
        <v>46</v>
      </c>
      <c r="B34" s="1"/>
      <c r="C34" s="1"/>
      <c r="D34" s="1"/>
      <c r="E34" s="1"/>
      <c r="F34" s="1"/>
      <c r="G34" s="1"/>
      <c r="H34" s="1">
        <v>9.17</v>
      </c>
      <c r="I34" s="1">
        <v>8.48</v>
      </c>
      <c r="J34" s="1">
        <v>10.89</v>
      </c>
      <c r="K34" s="1"/>
      <c r="L34" s="1"/>
      <c r="M34" s="1">
        <v>11.44</v>
      </c>
      <c r="N34" s="1">
        <v>51.67</v>
      </c>
    </row>
    <row r="35" spans="1:14" x14ac:dyDescent="0.15">
      <c r="A35" t="s">
        <v>47</v>
      </c>
      <c r="B35" s="1"/>
      <c r="C35" s="1"/>
      <c r="D35" s="1"/>
      <c r="E35" s="1"/>
      <c r="F35" s="1"/>
      <c r="G35" s="1">
        <v>450.69</v>
      </c>
      <c r="H35" s="1">
        <v>648.20000000000005</v>
      </c>
      <c r="I35" s="1">
        <v>1224.67</v>
      </c>
      <c r="J35" s="1">
        <v>964.01</v>
      </c>
      <c r="K35" s="1">
        <v>103.1</v>
      </c>
      <c r="L35" s="1">
        <v>1946.84</v>
      </c>
      <c r="M35" s="1">
        <v>244.7</v>
      </c>
      <c r="N35" s="1">
        <v>441.18</v>
      </c>
    </row>
    <row r="36" spans="1:14" x14ac:dyDescent="0.15">
      <c r="A36" t="s">
        <v>48</v>
      </c>
      <c r="B36" s="1">
        <v>4587.7700000000004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15">
      <c r="A37" s="2" t="s">
        <v>49</v>
      </c>
      <c r="B37" s="1">
        <v>4606.1099999999997</v>
      </c>
      <c r="C37" s="1">
        <v>6430.59</v>
      </c>
      <c r="D37" s="1">
        <v>8684</v>
      </c>
      <c r="E37" s="1"/>
      <c r="F37" s="1">
        <v>16801.900000000001</v>
      </c>
      <c r="G37" s="1">
        <v>16782.009999999998</v>
      </c>
      <c r="H37" s="1">
        <v>23514.38</v>
      </c>
      <c r="I37" s="1">
        <v>35520.379999999997</v>
      </c>
      <c r="J37" s="1">
        <v>36504.949999999997</v>
      </c>
      <c r="K37" s="1">
        <v>47079.8</v>
      </c>
      <c r="L37" s="1">
        <v>58775.73</v>
      </c>
      <c r="M37" s="1">
        <v>66116.600000000006</v>
      </c>
      <c r="N37" s="1">
        <v>84413.17</v>
      </c>
    </row>
    <row r="38" spans="1:14" x14ac:dyDescent="0.15">
      <c r="A38" s="2" t="s">
        <v>50</v>
      </c>
      <c r="B38" s="3" t="s">
        <v>18</v>
      </c>
      <c r="C38" s="3" t="s">
        <v>18</v>
      </c>
      <c r="D38" s="3" t="s">
        <v>18</v>
      </c>
      <c r="E38" s="3" t="s">
        <v>18</v>
      </c>
      <c r="F38" s="3" t="s">
        <v>18</v>
      </c>
      <c r="G38" s="3" t="s">
        <v>18</v>
      </c>
      <c r="H38" s="3" t="s">
        <v>18</v>
      </c>
      <c r="I38" s="3" t="s">
        <v>18</v>
      </c>
      <c r="J38" s="3" t="s">
        <v>18</v>
      </c>
      <c r="K38" s="3" t="s">
        <v>18</v>
      </c>
      <c r="L38" s="3" t="s">
        <v>18</v>
      </c>
      <c r="M38" s="3" t="s">
        <v>18</v>
      </c>
      <c r="N38" s="3" t="s">
        <v>18</v>
      </c>
    </row>
    <row r="39" spans="1:14" x14ac:dyDescent="0.15">
      <c r="A39" t="s">
        <v>51</v>
      </c>
      <c r="B39" s="1">
        <v>235.38</v>
      </c>
      <c r="C39" s="1">
        <v>235.38</v>
      </c>
      <c r="D39" s="1">
        <v>258.38</v>
      </c>
      <c r="E39" s="1">
        <v>500</v>
      </c>
      <c r="F39" s="1">
        <v>500</v>
      </c>
      <c r="G39" s="1">
        <v>500</v>
      </c>
      <c r="H39" s="1">
        <v>500</v>
      </c>
      <c r="I39" s="1">
        <v>1000</v>
      </c>
      <c r="J39" s="1">
        <v>1000</v>
      </c>
      <c r="K39" s="1">
        <v>1000</v>
      </c>
      <c r="L39" s="1">
        <v>2498.0700000000002</v>
      </c>
      <c r="M39" s="1">
        <v>2498.0700000000002</v>
      </c>
      <c r="N39" s="1">
        <v>2498.0700000000002</v>
      </c>
    </row>
    <row r="40" spans="1:14" x14ac:dyDescent="0.15">
      <c r="A40" t="s">
        <v>52</v>
      </c>
      <c r="B40" s="1"/>
      <c r="C40" s="1"/>
      <c r="D40" s="1"/>
      <c r="E40" s="1">
        <v>131.68</v>
      </c>
      <c r="F40" s="1">
        <v>131.68</v>
      </c>
      <c r="G40" s="1">
        <v>131.68</v>
      </c>
      <c r="H40" s="1">
        <v>188.67</v>
      </c>
      <c r="I40" s="1">
        <v>157.11000000000001</v>
      </c>
      <c r="J40" s="1">
        <v>164.37</v>
      </c>
      <c r="K40" s="1">
        <v>111.46</v>
      </c>
      <c r="L40" s="1">
        <v>540.71</v>
      </c>
      <c r="M40" s="1">
        <v>729.37</v>
      </c>
      <c r="N40" s="1">
        <v>729.37</v>
      </c>
    </row>
    <row r="41" spans="1:14" x14ac:dyDescent="0.15">
      <c r="A41" t="s">
        <v>53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>
        <v>34.33</v>
      </c>
      <c r="N41" s="1">
        <v>150.16999999999999</v>
      </c>
    </row>
    <row r="42" spans="1:14" x14ac:dyDescent="0.15">
      <c r="A42" t="s">
        <v>54</v>
      </c>
      <c r="B42" s="1">
        <v>13.77</v>
      </c>
      <c r="C42" s="1">
        <v>16.66</v>
      </c>
      <c r="D42" s="1">
        <v>27.24</v>
      </c>
      <c r="E42" s="1">
        <v>66.599999999999994</v>
      </c>
      <c r="F42" s="1">
        <v>187.55</v>
      </c>
      <c r="G42" s="1">
        <v>178.09</v>
      </c>
      <c r="H42" s="1">
        <v>392.21</v>
      </c>
      <c r="I42" s="1">
        <v>488.55</v>
      </c>
      <c r="J42" s="1">
        <v>732.04</v>
      </c>
      <c r="K42" s="1">
        <v>1029.48</v>
      </c>
      <c r="L42" s="1">
        <v>1372.55</v>
      </c>
      <c r="M42" s="1">
        <v>1720.79</v>
      </c>
      <c r="N42" s="1">
        <v>1880.06</v>
      </c>
    </row>
    <row r="43" spans="1:14" x14ac:dyDescent="0.15">
      <c r="A43" t="s">
        <v>55</v>
      </c>
      <c r="B43" s="1">
        <v>16.809999999999999</v>
      </c>
      <c r="C43" s="1">
        <v>57.33</v>
      </c>
      <c r="D43" s="1">
        <v>159.31</v>
      </c>
      <c r="E43" s="1">
        <v>174.05</v>
      </c>
      <c r="F43" s="1">
        <v>228.65</v>
      </c>
      <c r="G43" s="1">
        <v>438.21</v>
      </c>
      <c r="H43" s="1">
        <v>566.15</v>
      </c>
      <c r="I43" s="1">
        <v>352.49</v>
      </c>
      <c r="J43" s="1">
        <v>795.63</v>
      </c>
      <c r="K43" s="1">
        <v>1066.46</v>
      </c>
      <c r="L43" s="1">
        <v>757.09</v>
      </c>
      <c r="M43" s="1">
        <v>1149.58</v>
      </c>
      <c r="N43" s="1">
        <v>1226.4000000000001</v>
      </c>
    </row>
    <row r="44" spans="1:14" x14ac:dyDescent="0.15">
      <c r="A44" t="s">
        <v>56</v>
      </c>
      <c r="B44" s="1"/>
      <c r="C44" s="1"/>
      <c r="D44" s="1"/>
      <c r="E44" s="1"/>
      <c r="F44" s="1"/>
      <c r="G44" s="1">
        <v>128.79</v>
      </c>
      <c r="H44" s="1">
        <v>193.13</v>
      </c>
      <c r="I44" s="1">
        <v>292.16000000000003</v>
      </c>
      <c r="J44" s="1">
        <v>292.16000000000003</v>
      </c>
      <c r="K44" s="1">
        <v>564.94000000000005</v>
      </c>
      <c r="L44" s="1">
        <v>678.21</v>
      </c>
      <c r="M44" s="1">
        <v>791.54</v>
      </c>
      <c r="N44" s="1">
        <v>1055.17</v>
      </c>
    </row>
    <row r="45" spans="1:14" x14ac:dyDescent="0.15">
      <c r="A45" s="2" t="s">
        <v>57</v>
      </c>
      <c r="B45" s="1">
        <v>265.97000000000003</v>
      </c>
      <c r="C45" s="1">
        <v>309.37</v>
      </c>
      <c r="D45" s="1">
        <v>444.93</v>
      </c>
      <c r="E45" s="1">
        <v>872.33</v>
      </c>
      <c r="F45" s="1">
        <v>1047.8800000000001</v>
      </c>
      <c r="G45" s="1">
        <v>1376.77</v>
      </c>
      <c r="H45" s="1">
        <v>1840.16</v>
      </c>
      <c r="I45" s="1">
        <v>2290.31</v>
      </c>
      <c r="J45" s="1">
        <v>2984.2</v>
      </c>
      <c r="K45" s="1">
        <v>3772.34</v>
      </c>
      <c r="L45" s="1">
        <v>5846.65</v>
      </c>
      <c r="M45" s="1">
        <v>6923.68</v>
      </c>
      <c r="N45" s="1">
        <v>7539.25</v>
      </c>
    </row>
    <row r="46" spans="1:14" x14ac:dyDescent="0.15">
      <c r="A46" t="s">
        <v>58</v>
      </c>
      <c r="B46" s="1"/>
      <c r="C46" s="1"/>
      <c r="D46" s="1"/>
      <c r="E46" s="1"/>
      <c r="F46" s="1"/>
      <c r="G46" s="1"/>
      <c r="H46" s="1"/>
      <c r="I46" s="1"/>
      <c r="J46" s="1"/>
      <c r="K46" s="1">
        <v>24.09</v>
      </c>
      <c r="L46" s="1">
        <v>43.74</v>
      </c>
      <c r="M46" s="1">
        <v>32.659999999999997</v>
      </c>
      <c r="N46" s="1">
        <v>35.68</v>
      </c>
    </row>
    <row r="47" spans="1:14" x14ac:dyDescent="0.15">
      <c r="A47" s="2" t="s">
        <v>59</v>
      </c>
      <c r="B47" s="1">
        <v>265.97000000000003</v>
      </c>
      <c r="C47" s="1">
        <v>309.37</v>
      </c>
      <c r="D47" s="1">
        <v>444.93</v>
      </c>
      <c r="E47" s="1">
        <v>872.33</v>
      </c>
      <c r="F47" s="1">
        <v>1047.8800000000001</v>
      </c>
      <c r="G47" s="1">
        <v>1376.77</v>
      </c>
      <c r="H47" s="1">
        <v>1840.16</v>
      </c>
      <c r="I47" s="1">
        <v>2290.31</v>
      </c>
      <c r="J47" s="1">
        <v>2984.2</v>
      </c>
      <c r="K47" s="1">
        <v>3796.44</v>
      </c>
      <c r="L47" s="1">
        <v>5890.39</v>
      </c>
      <c r="M47" s="1">
        <v>6956.35</v>
      </c>
      <c r="N47" s="1">
        <v>7574.93</v>
      </c>
    </row>
    <row r="48" spans="1:14" x14ac:dyDescent="0.15">
      <c r="A48" s="2" t="s">
        <v>60</v>
      </c>
      <c r="B48" s="1">
        <v>4872.08</v>
      </c>
      <c r="C48" s="1">
        <v>6739.96</v>
      </c>
      <c r="D48" s="1">
        <v>9128.93</v>
      </c>
      <c r="E48" s="1">
        <v>13582.15</v>
      </c>
      <c r="F48" s="1">
        <v>17849.77</v>
      </c>
      <c r="G48" s="1">
        <v>18158.78</v>
      </c>
      <c r="H48" s="1">
        <v>25354.55</v>
      </c>
      <c r="I48" s="1">
        <v>37810.69</v>
      </c>
      <c r="J48" s="1">
        <v>39489.14</v>
      </c>
      <c r="K48" s="1">
        <v>50876.24</v>
      </c>
      <c r="L48" s="1">
        <v>64666.12</v>
      </c>
      <c r="M48" s="1">
        <v>73072.94</v>
      </c>
      <c r="N48" s="1">
        <v>91988.1</v>
      </c>
    </row>
    <row r="49" spans="1:14" x14ac:dyDescent="0.15">
      <c r="A49" t="s">
        <v>61</v>
      </c>
      <c r="B49" s="3" t="s">
        <v>62</v>
      </c>
      <c r="C49" s="3" t="s">
        <v>62</v>
      </c>
      <c r="D49" s="3" t="s">
        <v>62</v>
      </c>
      <c r="E49" s="3" t="s">
        <v>62</v>
      </c>
      <c r="F49" s="3" t="s">
        <v>62</v>
      </c>
      <c r="G49" s="3" t="s">
        <v>62</v>
      </c>
      <c r="H49" s="3" t="s">
        <v>62</v>
      </c>
      <c r="I49" s="3" t="s">
        <v>62</v>
      </c>
      <c r="J49" s="3" t="s">
        <v>62</v>
      </c>
      <c r="K49" s="3" t="s">
        <v>62</v>
      </c>
      <c r="L49" s="3" t="s">
        <v>62</v>
      </c>
      <c r="M49" s="3" t="s">
        <v>62</v>
      </c>
      <c r="N49" s="3" t="s">
        <v>62</v>
      </c>
    </row>
    <row r="50" spans="1:14" x14ac:dyDescent="0.15">
      <c r="A50" t="s">
        <v>63</v>
      </c>
      <c r="B50" s="3" t="s">
        <v>62</v>
      </c>
      <c r="C50" s="3" t="s">
        <v>62</v>
      </c>
      <c r="D50" s="3" t="s">
        <v>62</v>
      </c>
      <c r="E50" s="3" t="s">
        <v>62</v>
      </c>
      <c r="F50" s="3" t="s">
        <v>62</v>
      </c>
      <c r="G50" s="3" t="s">
        <v>62</v>
      </c>
      <c r="H50" s="3" t="s">
        <v>62</v>
      </c>
      <c r="I50" s="3" t="s">
        <v>62</v>
      </c>
      <c r="J50" s="3" t="s">
        <v>62</v>
      </c>
      <c r="K50" s="3" t="s">
        <v>62</v>
      </c>
      <c r="L50" s="3" t="s">
        <v>62</v>
      </c>
      <c r="M50" s="3" t="s">
        <v>62</v>
      </c>
      <c r="N50" s="3" t="s">
        <v>62</v>
      </c>
    </row>
    <row r="51" spans="1:14" x14ac:dyDescent="0.15">
      <c r="A51" t="s">
        <v>64</v>
      </c>
      <c r="B51" s="3" t="s">
        <v>65</v>
      </c>
      <c r="C51" s="3" t="s">
        <v>65</v>
      </c>
      <c r="D51" s="3" t="s">
        <v>65</v>
      </c>
      <c r="E51" s="3" t="s">
        <v>65</v>
      </c>
      <c r="F51" s="3" t="s">
        <v>65</v>
      </c>
      <c r="G51" s="3" t="s">
        <v>65</v>
      </c>
      <c r="H51" s="3" t="s">
        <v>65</v>
      </c>
      <c r="I51" s="3" t="s">
        <v>65</v>
      </c>
      <c r="J51" s="3" t="s">
        <v>65</v>
      </c>
      <c r="K51" s="3" t="s">
        <v>65</v>
      </c>
      <c r="L51" s="3" t="s">
        <v>65</v>
      </c>
      <c r="M51" s="3" t="s">
        <v>65</v>
      </c>
      <c r="N51" s="3" t="s">
        <v>65</v>
      </c>
    </row>
    <row r="52" spans="1:14" x14ac:dyDescent="0.15">
      <c r="A52" t="s">
        <v>66</v>
      </c>
      <c r="B52" s="3" t="s">
        <v>67</v>
      </c>
      <c r="C52" s="3" t="s">
        <v>67</v>
      </c>
      <c r="D52" s="3" t="s">
        <v>67</v>
      </c>
      <c r="E52" s="3" t="s">
        <v>67</v>
      </c>
      <c r="F52" s="3" t="s">
        <v>67</v>
      </c>
      <c r="G52" s="3" t="s">
        <v>67</v>
      </c>
      <c r="H52" s="3" t="s">
        <v>67</v>
      </c>
      <c r="I52" s="3" t="s">
        <v>67</v>
      </c>
      <c r="J52" s="3" t="s">
        <v>67</v>
      </c>
      <c r="K52" s="3" t="s">
        <v>67</v>
      </c>
      <c r="L52" s="3" t="s">
        <v>67</v>
      </c>
      <c r="M52" s="3" t="s">
        <v>67</v>
      </c>
      <c r="N52" s="3" t="s">
        <v>67</v>
      </c>
    </row>
    <row r="53" spans="1:14" x14ac:dyDescent="0.15">
      <c r="A53" t="s">
        <v>68</v>
      </c>
      <c r="B53" s="3" t="s">
        <v>18</v>
      </c>
      <c r="C53" s="3" t="s">
        <v>69</v>
      </c>
      <c r="D53" s="3" t="s">
        <v>69</v>
      </c>
      <c r="E53" s="3" t="s">
        <v>69</v>
      </c>
      <c r="F53" s="3" t="s">
        <v>70</v>
      </c>
      <c r="G53" s="3" t="s">
        <v>70</v>
      </c>
      <c r="H53" s="3" t="s">
        <v>70</v>
      </c>
      <c r="I53" s="3" t="s">
        <v>70</v>
      </c>
      <c r="J53" s="3" t="s">
        <v>70</v>
      </c>
      <c r="K53" s="3" t="s">
        <v>70</v>
      </c>
      <c r="L53" s="3" t="s">
        <v>70</v>
      </c>
      <c r="M53" s="3" t="s">
        <v>70</v>
      </c>
      <c r="N53" s="3" t="s">
        <v>70</v>
      </c>
    </row>
    <row r="54" spans="1:14" x14ac:dyDescent="0.15">
      <c r="A54" t="s">
        <v>71</v>
      </c>
      <c r="E54" t="s">
        <v>72</v>
      </c>
      <c r="F54" t="s">
        <v>72</v>
      </c>
      <c r="G54" t="s">
        <v>72</v>
      </c>
      <c r="H54" t="s">
        <v>72</v>
      </c>
      <c r="I54" t="s">
        <v>72</v>
      </c>
      <c r="J54" t="s">
        <v>72</v>
      </c>
      <c r="K54" t="s">
        <v>72</v>
      </c>
      <c r="L54" t="s">
        <v>72</v>
      </c>
      <c r="M54" t="s">
        <v>72</v>
      </c>
      <c r="N54" t="s">
        <v>72</v>
      </c>
    </row>
    <row r="55" spans="1:14" x14ac:dyDescent="0.15">
      <c r="A55" t="s">
        <v>73</v>
      </c>
      <c r="B55" s="3" t="s">
        <v>74</v>
      </c>
      <c r="C55" s="3" t="s">
        <v>74</v>
      </c>
      <c r="D55" s="3" t="s">
        <v>75</v>
      </c>
      <c r="E55" s="3" t="s">
        <v>75</v>
      </c>
      <c r="F55" s="3" t="s">
        <v>75</v>
      </c>
      <c r="G55" s="3" t="s">
        <v>76</v>
      </c>
      <c r="H55" s="3" t="s">
        <v>77</v>
      </c>
      <c r="I55" s="3" t="s">
        <v>78</v>
      </c>
      <c r="J55" s="3" t="s">
        <v>79</v>
      </c>
      <c r="K55" s="3" t="s">
        <v>80</v>
      </c>
      <c r="L55" s="3" t="s">
        <v>81</v>
      </c>
      <c r="M55" s="3" t="s">
        <v>82</v>
      </c>
      <c r="N55" s="3" t="s">
        <v>83</v>
      </c>
    </row>
    <row r="56" spans="1:14" x14ac:dyDescent="0.15">
      <c r="A56" t="s">
        <v>84</v>
      </c>
      <c r="B56" s="3" t="s">
        <v>85</v>
      </c>
      <c r="C56" s="3" t="s">
        <v>85</v>
      </c>
      <c r="D56" s="3" t="s">
        <v>86</v>
      </c>
      <c r="E56" s="3" t="s">
        <v>86</v>
      </c>
      <c r="F56" s="3" t="s">
        <v>86</v>
      </c>
      <c r="G56" s="3" t="s">
        <v>86</v>
      </c>
      <c r="H56" s="3" t="s">
        <v>86</v>
      </c>
      <c r="I56" s="3" t="s">
        <v>86</v>
      </c>
      <c r="J56" s="3" t="s">
        <v>86</v>
      </c>
      <c r="K56" s="3" t="s">
        <v>86</v>
      </c>
      <c r="L56" s="3" t="s">
        <v>86</v>
      </c>
      <c r="M56" s="3" t="s">
        <v>86</v>
      </c>
      <c r="N56" s="3" t="s">
        <v>86</v>
      </c>
    </row>
    <row r="60" spans="1:14" x14ac:dyDescent="0.15">
      <c r="A60" t="s">
        <v>87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F0200451.00-资产负债表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2016-06-09T01:47:46Z</dcterms:created>
  <dcterms:modified xsi:type="dcterms:W3CDTF">2016-06-09T01:51:48Z</dcterms:modified>
</cp:coreProperties>
</file>