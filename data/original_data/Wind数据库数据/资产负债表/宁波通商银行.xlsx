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12615" windowHeight="6390"/>
  </bookViews>
  <sheets>
    <sheet name="F0201010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B12" i="2"/>
  <c r="C27" i="2"/>
  <c r="D27" i="2"/>
  <c r="E27" i="2"/>
  <c r="F27" i="2"/>
  <c r="G27" i="2"/>
  <c r="H27" i="2"/>
  <c r="B27" i="2"/>
</calcChain>
</file>

<file path=xl/sharedStrings.xml><?xml version="1.0" encoding="utf-8"?>
<sst xmlns="http://schemas.openxmlformats.org/spreadsheetml/2006/main" count="150" uniqueCount="75">
  <si>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</si>
  <si>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</si>
  <si>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</si>
  <si>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</si>
  <si>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</si>
  <si>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</si>
  <si>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</si>
  <si>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</si>
  <si>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</si>
  <si>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</si>
  <si>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</si>
  <si>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</si>
  <si>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</si>
  <si>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</si>
  <si>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</si>
  <si>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</si>
  <si>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</si>
  <si>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</si>
  <si>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</si>
  <si>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</si>
  <si>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</si>
  <si>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</si>
  <si>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</si>
  <si>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</si>
  <si>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</si>
  <si>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</si>
  <si>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</si>
  <si>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</si>
  <si>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</si>
  <si>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</si>
  <si>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</si>
  <si>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</si>
  <si>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</si>
  <si>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</si>
  <si>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</si>
  <si>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</si>
  <si>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</si>
  <si>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递延所得税负债</t>
  </si>
  <si>
    <t>　　预计负债</t>
  </si>
  <si>
    <t>　　其他负债</t>
  </si>
  <si>
    <t>　　负债差额(特殊报表科目)</t>
  </si>
  <si>
    <t>　　负债差额(合计平衡项目)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</si>
  <si>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</si>
  <si>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</si>
  <si>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</si>
  <si>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</si>
  <si>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</si>
  <si>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</si>
  <si>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</si>
  <si>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</si>
  <si>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外币报表折算差额</t>
  </si>
  <si>
    <t>　　股东权益差额(特殊报表科目)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</si>
  <si>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</si>
  <si>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</si>
  <si>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</si>
  <si>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</si>
  <si>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</si>
  <si>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</si>
  <si>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</si>
  <si>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</si>
  <si>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</si>
  <si>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</si>
  <si>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</si>
  <si>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</si>
  <si>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</si>
  <si>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</si>
  <si>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</si>
  <si>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2011-04-30</t>
  </si>
  <si>
    <t>2013-09-04</t>
  </si>
  <si>
    <t>2014-04-30</t>
  </si>
  <si>
    <t>2015-07-06</t>
  </si>
  <si>
    <t>2016-05-06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</si>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</sst>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7" fontId="0" fillId="0" borderId="0" xfId="0" applyNumberFormat="1">
      <alignment vertical="center"/>
    </xf>
    <xf numFmtId="177" fontId="0" fillId="0" borderId="0" xfId="0" quotePrefix="1" applyNumberFormat="1">
      <alignment vertical="center"/>
    </xf>
    <xf numFmtId="177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topLeftCell="A28" workbookViewId="0">
      <selection activeCell="H47" sqref="H47"/>
    </sheetView>
  </sheetViews>
  <sheetFormatPr defaultRowHeight="13.5" x14ac:dyDescent="0.15"/>
  <cols>
    <col min="1" max="1" width="34.125" style="1" bestFit="1" customWidth="1"/>
    <col min="2" max="4" width="11.625" style="1" bestFit="1" customWidth="1"/>
    <col min="5" max="8" width="15.125" style="1" bestFit="1" customWidth="1"/>
    <col min="9" max="16384" width="9" style="1"/>
  </cols>
  <sheetData>
    <row r="1" spans="1:8" x14ac:dyDescent="0.1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15">
      <c r="A2" s="1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spans="1:8" x14ac:dyDescent="0.15">
      <c r="A3" s="1" t="s">
        <v>9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</row>
    <row r="4" spans="1:8" x14ac:dyDescent="0.15">
      <c r="A4" s="3" t="s">
        <v>11</v>
      </c>
      <c r="B4" s="2" t="s">
        <v>12</v>
      </c>
      <c r="C4" s="2" t="s">
        <v>12</v>
      </c>
      <c r="D4" s="2" t="s">
        <v>12</v>
      </c>
      <c r="E4" s="2" t="s">
        <v>12</v>
      </c>
      <c r="F4" s="2" t="s">
        <v>12</v>
      </c>
      <c r="G4" s="2" t="s">
        <v>12</v>
      </c>
      <c r="H4" s="2" t="s">
        <v>12</v>
      </c>
    </row>
    <row r="5" spans="1:8" x14ac:dyDescent="0.15">
      <c r="A5" s="1" t="s">
        <v>13</v>
      </c>
      <c r="B5" s="1">
        <v>119.05</v>
      </c>
      <c r="C5" s="1">
        <v>77.92</v>
      </c>
      <c r="D5" s="1">
        <v>84.78</v>
      </c>
      <c r="E5" s="1">
        <v>1957.95</v>
      </c>
      <c r="F5" s="1">
        <v>3636.55</v>
      </c>
      <c r="G5" s="1">
        <v>5203.93</v>
      </c>
      <c r="H5" s="1">
        <v>5533.39</v>
      </c>
    </row>
    <row r="6" spans="1:8" x14ac:dyDescent="0.15">
      <c r="A6" s="1" t="s">
        <v>14</v>
      </c>
      <c r="B6" s="1">
        <v>1035.98</v>
      </c>
      <c r="C6" s="1">
        <v>742</v>
      </c>
      <c r="D6" s="1">
        <v>476.75</v>
      </c>
      <c r="E6" s="1">
        <v>3765</v>
      </c>
      <c r="F6" s="1">
        <v>2697.94</v>
      </c>
      <c r="G6" s="1">
        <v>1244.04</v>
      </c>
      <c r="H6" s="1">
        <v>1584.6</v>
      </c>
    </row>
    <row r="7" spans="1:8" x14ac:dyDescent="0.15">
      <c r="A7" s="1" t="s">
        <v>15</v>
      </c>
      <c r="B7" s="1">
        <v>528.07000000000005</v>
      </c>
      <c r="C7" s="1">
        <v>630.79</v>
      </c>
      <c r="D7" s="1">
        <v>818.86</v>
      </c>
      <c r="E7" s="1">
        <v>1523.95</v>
      </c>
      <c r="F7" s="1">
        <v>1448.72</v>
      </c>
      <c r="G7" s="1">
        <v>1744</v>
      </c>
      <c r="H7" s="1">
        <v>1520.96</v>
      </c>
    </row>
    <row r="8" spans="1:8" x14ac:dyDescent="0.15">
      <c r="A8" s="1" t="s">
        <v>16</v>
      </c>
      <c r="B8" s="1">
        <v>22.06</v>
      </c>
      <c r="C8" s="1">
        <v>20.73</v>
      </c>
      <c r="E8" s="1">
        <v>176.15</v>
      </c>
      <c r="F8" s="1">
        <v>855.07</v>
      </c>
      <c r="G8" s="1">
        <v>1257.3599999999999</v>
      </c>
      <c r="H8" s="1">
        <v>1088.47</v>
      </c>
    </row>
    <row r="9" spans="1:8" x14ac:dyDescent="0.15">
      <c r="A9" s="1" t="s">
        <v>17</v>
      </c>
      <c r="E9" s="1">
        <v>142.5</v>
      </c>
      <c r="F9" s="1">
        <v>1103.75</v>
      </c>
      <c r="H9" s="1">
        <v>329</v>
      </c>
    </row>
    <row r="10" spans="1:8" x14ac:dyDescent="0.15">
      <c r="A10" s="1" t="s">
        <v>18</v>
      </c>
      <c r="B10" s="1">
        <v>5.58</v>
      </c>
      <c r="C10" s="1">
        <v>4.79</v>
      </c>
      <c r="D10" s="1">
        <v>8.9600000000000009</v>
      </c>
      <c r="E10" s="1">
        <v>64.290000000000006</v>
      </c>
      <c r="F10" s="1">
        <v>344.62</v>
      </c>
      <c r="G10" s="1">
        <v>404.13</v>
      </c>
      <c r="H10" s="1">
        <v>366.3</v>
      </c>
    </row>
    <row r="11" spans="1:8" x14ac:dyDescent="0.15">
      <c r="A11" s="1" t="s">
        <v>19</v>
      </c>
      <c r="B11" s="1">
        <v>414.76</v>
      </c>
      <c r="C11" s="1">
        <v>660.43</v>
      </c>
      <c r="D11" s="1">
        <v>389.11</v>
      </c>
      <c r="E11" s="1">
        <v>2866.69</v>
      </c>
      <c r="F11" s="1">
        <v>9719.74</v>
      </c>
      <c r="G11" s="1">
        <v>15517.5</v>
      </c>
      <c r="H11" s="1">
        <v>18516.689999999999</v>
      </c>
    </row>
    <row r="12" spans="1:8" x14ac:dyDescent="0.15">
      <c r="B12" s="1">
        <f>B10+B11</f>
        <v>420.34</v>
      </c>
      <c r="C12" s="1">
        <f t="shared" ref="C12:H12" si="0">C10+C11</f>
        <v>665.21999999999991</v>
      </c>
      <c r="D12" s="1">
        <f t="shared" si="0"/>
        <v>398.07</v>
      </c>
      <c r="E12" s="1">
        <f t="shared" si="0"/>
        <v>2930.98</v>
      </c>
      <c r="F12" s="1">
        <f t="shared" si="0"/>
        <v>10064.36</v>
      </c>
      <c r="G12" s="1">
        <f t="shared" si="0"/>
        <v>15921.63</v>
      </c>
      <c r="H12" s="1">
        <f t="shared" si="0"/>
        <v>18882.989999999998</v>
      </c>
    </row>
    <row r="13" spans="1:8" x14ac:dyDescent="0.15">
      <c r="A13" s="1" t="s">
        <v>20</v>
      </c>
      <c r="F13" s="1">
        <v>346.02</v>
      </c>
      <c r="G13" s="1">
        <v>1119.7</v>
      </c>
      <c r="H13" s="1">
        <v>1126.08</v>
      </c>
    </row>
    <row r="14" spans="1:8" x14ac:dyDescent="0.15">
      <c r="A14" s="1" t="s">
        <v>21</v>
      </c>
      <c r="E14" s="1">
        <v>80.209999999999994</v>
      </c>
      <c r="F14" s="1">
        <v>3117.26</v>
      </c>
      <c r="G14" s="1">
        <v>2747.81</v>
      </c>
      <c r="H14" s="1">
        <v>2649.73</v>
      </c>
    </row>
    <row r="15" spans="1:8" x14ac:dyDescent="0.15">
      <c r="A15" s="1" t="s">
        <v>22</v>
      </c>
      <c r="E15" s="1">
        <v>6779.7</v>
      </c>
      <c r="F15" s="1">
        <v>14907</v>
      </c>
      <c r="G15" s="1">
        <v>13987.36</v>
      </c>
      <c r="H15" s="1">
        <v>16973.580000000002</v>
      </c>
    </row>
    <row r="16" spans="1:8" x14ac:dyDescent="0.15">
      <c r="A16" s="1" t="s">
        <v>23</v>
      </c>
      <c r="B16" s="1">
        <v>5.78</v>
      </c>
      <c r="C16" s="1">
        <v>4.33</v>
      </c>
      <c r="D16" s="1">
        <v>4.66</v>
      </c>
      <c r="E16" s="1">
        <v>273.74</v>
      </c>
      <c r="F16" s="1">
        <v>272.02</v>
      </c>
      <c r="G16" s="1">
        <v>261.8</v>
      </c>
      <c r="H16" s="1">
        <v>246.58</v>
      </c>
    </row>
    <row r="17" spans="1:8" x14ac:dyDescent="0.15">
      <c r="A17" s="1" t="s">
        <v>24</v>
      </c>
      <c r="B17" s="1">
        <v>1.05</v>
      </c>
      <c r="C17" s="1">
        <v>1.1000000000000001</v>
      </c>
      <c r="D17" s="1">
        <v>0.82</v>
      </c>
      <c r="E17" s="1">
        <v>17.72</v>
      </c>
      <c r="F17" s="1">
        <v>25.53</v>
      </c>
      <c r="G17" s="1">
        <v>37.380000000000003</v>
      </c>
      <c r="H17" s="1">
        <v>36.93</v>
      </c>
    </row>
    <row r="18" spans="1:8" x14ac:dyDescent="0.15">
      <c r="A18" s="1" t="s">
        <v>25</v>
      </c>
      <c r="E18" s="1">
        <v>22.24</v>
      </c>
      <c r="F18" s="1">
        <v>12.15</v>
      </c>
      <c r="G18" s="1">
        <v>61.39</v>
      </c>
      <c r="H18" s="1">
        <v>161.15</v>
      </c>
    </row>
    <row r="19" spans="1:8" x14ac:dyDescent="0.15">
      <c r="A19" s="1" t="s">
        <v>26</v>
      </c>
      <c r="B19" s="1">
        <v>1.45</v>
      </c>
      <c r="C19" s="1">
        <v>7.84</v>
      </c>
      <c r="D19" s="1">
        <v>64.83</v>
      </c>
      <c r="E19" s="1">
        <v>383.14</v>
      </c>
      <c r="F19" s="1">
        <v>378.26</v>
      </c>
      <c r="G19" s="1">
        <v>111.42</v>
      </c>
      <c r="H19" s="1">
        <v>162.19999999999999</v>
      </c>
    </row>
    <row r="20" spans="1:8" x14ac:dyDescent="0.15">
      <c r="A20" s="3" t="s">
        <v>27</v>
      </c>
      <c r="B20" s="1">
        <v>2133.7800000000002</v>
      </c>
      <c r="C20" s="1">
        <v>2149.9299999999998</v>
      </c>
      <c r="D20" s="1">
        <v>1848.75</v>
      </c>
      <c r="E20" s="1">
        <v>18053.27</v>
      </c>
      <c r="F20" s="1">
        <v>38864.620000000003</v>
      </c>
      <c r="G20" s="1">
        <v>43697.83</v>
      </c>
      <c r="H20" s="1">
        <v>50295.67</v>
      </c>
    </row>
    <row r="21" spans="1:8" x14ac:dyDescent="0.15">
      <c r="A21" s="3" t="s">
        <v>28</v>
      </c>
      <c r="B21" s="2" t="s">
        <v>12</v>
      </c>
      <c r="C21" s="2" t="s">
        <v>12</v>
      </c>
      <c r="D21" s="2" t="s">
        <v>12</v>
      </c>
      <c r="E21" s="2" t="s">
        <v>12</v>
      </c>
      <c r="F21" s="2" t="s">
        <v>12</v>
      </c>
      <c r="G21" s="2" t="s">
        <v>12</v>
      </c>
      <c r="H21" s="2" t="s">
        <v>12</v>
      </c>
    </row>
    <row r="22" spans="1:8" x14ac:dyDescent="0.15">
      <c r="A22" s="1" t="s">
        <v>29</v>
      </c>
      <c r="B22" s="1">
        <v>5.0999999999999996</v>
      </c>
      <c r="C22" s="1">
        <v>4.4400000000000004</v>
      </c>
      <c r="D22" s="1">
        <v>19.41</v>
      </c>
      <c r="E22" s="1">
        <v>7116.53</v>
      </c>
      <c r="F22" s="1">
        <v>16655.63</v>
      </c>
      <c r="G22" s="1">
        <v>12511.07</v>
      </c>
      <c r="H22" s="1">
        <v>8216.9500000000007</v>
      </c>
    </row>
    <row r="23" spans="1:8" x14ac:dyDescent="0.15">
      <c r="A23" s="1" t="s">
        <v>30</v>
      </c>
      <c r="G23" s="1">
        <v>229.76</v>
      </c>
    </row>
    <row r="24" spans="1:8" x14ac:dyDescent="0.15">
      <c r="A24" s="1" t="s">
        <v>31</v>
      </c>
      <c r="F24" s="1">
        <v>150</v>
      </c>
      <c r="G24" s="1">
        <v>250.64</v>
      </c>
      <c r="H24" s="1">
        <v>712</v>
      </c>
    </row>
    <row r="25" spans="1:8" x14ac:dyDescent="0.15">
      <c r="A25" s="1" t="s">
        <v>32</v>
      </c>
      <c r="F25" s="1">
        <v>2035.2</v>
      </c>
      <c r="G25" s="1">
        <v>1703.7</v>
      </c>
      <c r="H25" s="1">
        <v>3372.51</v>
      </c>
    </row>
    <row r="26" spans="1:8" x14ac:dyDescent="0.15">
      <c r="A26" s="1" t="s">
        <v>33</v>
      </c>
      <c r="B26" s="1">
        <v>1283.1099999999999</v>
      </c>
      <c r="C26" s="1">
        <v>1196.1300000000001</v>
      </c>
      <c r="D26" s="1">
        <v>1000.97</v>
      </c>
      <c r="E26" s="1">
        <v>6004.44</v>
      </c>
      <c r="F26" s="1">
        <v>14290.7</v>
      </c>
      <c r="G26" s="1">
        <v>22812.13</v>
      </c>
      <c r="H26" s="1">
        <v>27293.68</v>
      </c>
    </row>
    <row r="27" spans="1:8" x14ac:dyDescent="0.15">
      <c r="B27" s="1">
        <f>SUM(B22:B26)</f>
        <v>1288.2099999999998</v>
      </c>
      <c r="C27" s="1">
        <f t="shared" ref="C27:H27" si="1">SUM(C22:C26)</f>
        <v>1200.5700000000002</v>
      </c>
      <c r="D27" s="1">
        <f t="shared" si="1"/>
        <v>1020.38</v>
      </c>
      <c r="E27" s="1">
        <f t="shared" si="1"/>
        <v>13120.97</v>
      </c>
      <c r="F27" s="1">
        <f t="shared" si="1"/>
        <v>33131.53</v>
      </c>
      <c r="G27" s="1">
        <f t="shared" si="1"/>
        <v>37507.300000000003</v>
      </c>
      <c r="H27" s="1">
        <f t="shared" si="1"/>
        <v>39595.14</v>
      </c>
    </row>
    <row r="28" spans="1:8" x14ac:dyDescent="0.15">
      <c r="A28" s="1" t="s">
        <v>34</v>
      </c>
      <c r="B28" s="1">
        <v>0.76</v>
      </c>
      <c r="C28" s="1">
        <v>0.47</v>
      </c>
      <c r="D28" s="1">
        <v>1.17</v>
      </c>
      <c r="E28" s="1">
        <v>44.56</v>
      </c>
      <c r="F28" s="1">
        <v>99.89</v>
      </c>
      <c r="G28" s="1">
        <v>152.03</v>
      </c>
      <c r="H28" s="1">
        <v>236.71</v>
      </c>
    </row>
    <row r="29" spans="1:8" x14ac:dyDescent="0.15">
      <c r="A29" s="1" t="s">
        <v>35</v>
      </c>
      <c r="B29" s="1">
        <v>1.99</v>
      </c>
      <c r="C29" s="1">
        <v>4.26</v>
      </c>
      <c r="D29" s="1">
        <v>4.04</v>
      </c>
      <c r="E29" s="1">
        <v>1.04</v>
      </c>
      <c r="F29" s="1">
        <v>17.420000000000002</v>
      </c>
      <c r="G29" s="1">
        <v>74.23</v>
      </c>
      <c r="H29" s="1">
        <v>55.36</v>
      </c>
    </row>
    <row r="30" spans="1:8" x14ac:dyDescent="0.15">
      <c r="A30" s="1" t="s">
        <v>36</v>
      </c>
      <c r="B30" s="1">
        <v>0.24</v>
      </c>
      <c r="C30" s="1">
        <v>0.25</v>
      </c>
      <c r="D30" s="1">
        <v>0.22</v>
      </c>
      <c r="E30" s="1">
        <v>59.26</v>
      </c>
      <c r="F30" s="1">
        <v>199.75</v>
      </c>
      <c r="G30" s="1">
        <v>203.39</v>
      </c>
      <c r="H30" s="1">
        <v>176.9</v>
      </c>
    </row>
    <row r="31" spans="1:8" x14ac:dyDescent="0.15">
      <c r="A31" s="1" t="s">
        <v>37</v>
      </c>
      <c r="B31" s="1">
        <v>0.39</v>
      </c>
      <c r="C31" s="1">
        <v>0.22</v>
      </c>
      <c r="G31" s="1">
        <v>14.41</v>
      </c>
      <c r="H31" s="1">
        <v>29.08</v>
      </c>
    </row>
    <row r="32" spans="1:8" x14ac:dyDescent="0.15">
      <c r="A32" s="1" t="s">
        <v>38</v>
      </c>
      <c r="F32" s="1">
        <v>2.6</v>
      </c>
      <c r="G32" s="1">
        <v>2.9</v>
      </c>
      <c r="H32" s="1">
        <v>2.2999999999999998</v>
      </c>
    </row>
    <row r="33" spans="1:8" x14ac:dyDescent="0.15">
      <c r="A33" s="1" t="s">
        <v>39</v>
      </c>
      <c r="B33" s="1">
        <v>1.48</v>
      </c>
      <c r="C33" s="1">
        <v>10.08</v>
      </c>
      <c r="D33" s="1">
        <v>47.15</v>
      </c>
      <c r="E33" s="1">
        <v>4127.58</v>
      </c>
      <c r="F33" s="1">
        <v>17.899999999999999</v>
      </c>
      <c r="G33" s="1">
        <v>29.3</v>
      </c>
      <c r="H33" s="1">
        <v>56.6</v>
      </c>
    </row>
    <row r="34" spans="1:8" x14ac:dyDescent="0.15">
      <c r="A34" s="1" t="s">
        <v>40</v>
      </c>
      <c r="H34" s="1">
        <v>3973.6</v>
      </c>
    </row>
    <row r="35" spans="1:8" x14ac:dyDescent="0.15">
      <c r="A35" s="1" t="s">
        <v>41</v>
      </c>
      <c r="G35" s="1">
        <v>0</v>
      </c>
    </row>
    <row r="36" spans="1:8" x14ac:dyDescent="0.15">
      <c r="A36" s="3" t="s">
        <v>42</v>
      </c>
      <c r="B36" s="1">
        <v>1293.06</v>
      </c>
      <c r="C36" s="1">
        <v>1215.8399999999999</v>
      </c>
      <c r="D36" s="1">
        <v>1072.96</v>
      </c>
      <c r="E36" s="1">
        <v>17353.419999999998</v>
      </c>
      <c r="F36" s="1">
        <v>33469.089999999997</v>
      </c>
      <c r="G36" s="1">
        <v>37983.57</v>
      </c>
      <c r="H36" s="1">
        <v>44125.69</v>
      </c>
    </row>
    <row r="37" spans="1:8" x14ac:dyDescent="0.15">
      <c r="A37" s="3" t="s">
        <v>43</v>
      </c>
      <c r="B37" s="2" t="s">
        <v>12</v>
      </c>
      <c r="C37" s="2" t="s">
        <v>12</v>
      </c>
      <c r="D37" s="2" t="s">
        <v>12</v>
      </c>
      <c r="E37" s="2" t="s">
        <v>12</v>
      </c>
      <c r="F37" s="2" t="s">
        <v>12</v>
      </c>
      <c r="G37" s="2" t="s">
        <v>12</v>
      </c>
      <c r="H37" s="2" t="s">
        <v>12</v>
      </c>
    </row>
    <row r="38" spans="1:8" x14ac:dyDescent="0.15">
      <c r="A38" s="1" t="s">
        <v>44</v>
      </c>
      <c r="B38" s="1">
        <v>839.33</v>
      </c>
      <c r="C38" s="1">
        <v>839.33</v>
      </c>
      <c r="D38" s="1">
        <v>639.22</v>
      </c>
      <c r="E38" s="1">
        <v>639.22</v>
      </c>
      <c r="F38" s="1">
        <v>5220</v>
      </c>
      <c r="G38" s="1">
        <v>5220</v>
      </c>
      <c r="H38" s="1">
        <v>5220</v>
      </c>
    </row>
    <row r="39" spans="1:8" x14ac:dyDescent="0.15">
      <c r="A39" s="1" t="s">
        <v>45</v>
      </c>
      <c r="D39" s="1">
        <v>119.65</v>
      </c>
      <c r="E39" s="1">
        <v>120.74</v>
      </c>
      <c r="F39" s="1">
        <v>109.83</v>
      </c>
      <c r="G39" s="1">
        <v>112.18</v>
      </c>
      <c r="H39" s="1">
        <v>111.43</v>
      </c>
    </row>
    <row r="40" spans="1:8" x14ac:dyDescent="0.15">
      <c r="A40" s="1" t="s">
        <v>46</v>
      </c>
      <c r="G40" s="1">
        <v>33</v>
      </c>
      <c r="H40" s="1">
        <v>52.07</v>
      </c>
    </row>
    <row r="41" spans="1:8" x14ac:dyDescent="0.15">
      <c r="A41" s="1" t="s">
        <v>47</v>
      </c>
      <c r="F41" s="1">
        <v>4.88</v>
      </c>
      <c r="G41" s="1">
        <v>33.22</v>
      </c>
      <c r="H41" s="1">
        <v>76.959999999999994</v>
      </c>
    </row>
    <row r="42" spans="1:8" x14ac:dyDescent="0.15">
      <c r="A42" s="1" t="s">
        <v>48</v>
      </c>
      <c r="B42" s="1">
        <v>117.11</v>
      </c>
      <c r="C42" s="1">
        <v>225.44</v>
      </c>
      <c r="E42" s="1">
        <v>-77.03</v>
      </c>
      <c r="F42" s="1">
        <v>43.9</v>
      </c>
      <c r="G42" s="1">
        <v>298.94</v>
      </c>
      <c r="H42" s="1">
        <v>402.61</v>
      </c>
    </row>
    <row r="43" spans="1:8" x14ac:dyDescent="0.15">
      <c r="A43" s="1" t="s">
        <v>49</v>
      </c>
      <c r="B43" s="1">
        <v>19.79</v>
      </c>
      <c r="C43" s="1">
        <v>20.34</v>
      </c>
      <c r="D43" s="1">
        <v>16.920000000000002</v>
      </c>
      <c r="E43" s="1">
        <v>16.920000000000002</v>
      </c>
      <c r="F43" s="1">
        <v>16.920000000000002</v>
      </c>
      <c r="G43" s="1">
        <v>16.920000000000002</v>
      </c>
      <c r="H43" s="1">
        <v>306.92</v>
      </c>
    </row>
    <row r="44" spans="1:8" x14ac:dyDescent="0.15">
      <c r="A44" s="1" t="s">
        <v>50</v>
      </c>
      <c r="B44" s="1">
        <v>-196.13</v>
      </c>
      <c r="C44" s="1">
        <v>-223.5</v>
      </c>
    </row>
    <row r="45" spans="1:8" x14ac:dyDescent="0.15">
      <c r="A45" s="1" t="s">
        <v>51</v>
      </c>
      <c r="B45" s="1">
        <v>60.62</v>
      </c>
      <c r="C45" s="1">
        <v>72.48</v>
      </c>
    </row>
    <row r="46" spans="1:8" x14ac:dyDescent="0.15">
      <c r="A46" s="3" t="s">
        <v>52</v>
      </c>
      <c r="B46" s="1">
        <v>840.72</v>
      </c>
      <c r="C46" s="1">
        <v>934.09</v>
      </c>
      <c r="D46" s="1">
        <v>775.8</v>
      </c>
      <c r="E46" s="1">
        <v>699.85</v>
      </c>
      <c r="F46" s="1">
        <v>5395.53</v>
      </c>
      <c r="G46" s="1">
        <v>5714.26</v>
      </c>
      <c r="H46" s="1">
        <v>6169.98</v>
      </c>
    </row>
    <row r="47" spans="1:8" x14ac:dyDescent="0.15">
      <c r="A47" s="3" t="s">
        <v>53</v>
      </c>
      <c r="B47" s="1">
        <v>840.72</v>
      </c>
      <c r="C47" s="1">
        <v>934.09</v>
      </c>
      <c r="D47" s="1">
        <v>775.8</v>
      </c>
      <c r="E47" s="1">
        <v>699.85</v>
      </c>
      <c r="F47" s="1">
        <v>5395.53</v>
      </c>
      <c r="G47" s="1">
        <v>5714.26</v>
      </c>
      <c r="H47" s="1">
        <v>6169.98</v>
      </c>
    </row>
    <row r="48" spans="1:8" x14ac:dyDescent="0.15">
      <c r="A48" s="3" t="s">
        <v>54</v>
      </c>
      <c r="B48" s="1">
        <v>2133.7800000000002</v>
      </c>
      <c r="C48" s="1">
        <v>2149.9299999999998</v>
      </c>
      <c r="D48" s="1">
        <v>1848.75</v>
      </c>
      <c r="E48" s="1">
        <v>18053.27</v>
      </c>
      <c r="F48" s="1">
        <v>38864.620000000003</v>
      </c>
      <c r="G48" s="1">
        <v>43697.83</v>
      </c>
      <c r="H48" s="1">
        <v>50295.67</v>
      </c>
    </row>
    <row r="49" spans="1:8" x14ac:dyDescent="0.15">
      <c r="A49" s="1" t="s">
        <v>55</v>
      </c>
      <c r="B49" s="2" t="s">
        <v>56</v>
      </c>
      <c r="C49" s="2" t="s">
        <v>56</v>
      </c>
      <c r="D49" s="2" t="s">
        <v>56</v>
      </c>
      <c r="E49" s="2" t="s">
        <v>56</v>
      </c>
      <c r="F49" s="2" t="s">
        <v>56</v>
      </c>
      <c r="G49" s="2" t="s">
        <v>56</v>
      </c>
      <c r="H49" s="2" t="s">
        <v>56</v>
      </c>
    </row>
    <row r="50" spans="1:8" x14ac:dyDescent="0.15">
      <c r="A50" s="1" t="s">
        <v>57</v>
      </c>
      <c r="B50" s="2" t="s">
        <v>56</v>
      </c>
      <c r="C50" s="2" t="s">
        <v>56</v>
      </c>
      <c r="D50" s="2" t="s">
        <v>56</v>
      </c>
      <c r="E50" s="2" t="s">
        <v>56</v>
      </c>
      <c r="F50" s="2" t="s">
        <v>56</v>
      </c>
      <c r="G50" s="2" t="s">
        <v>56</v>
      </c>
      <c r="H50" s="2" t="s">
        <v>56</v>
      </c>
    </row>
    <row r="51" spans="1:8" x14ac:dyDescent="0.15">
      <c r="A51" s="1" t="s">
        <v>58</v>
      </c>
      <c r="B51" s="2" t="s">
        <v>59</v>
      </c>
      <c r="C51" s="2" t="s">
        <v>59</v>
      </c>
      <c r="D51" s="2" t="s">
        <v>59</v>
      </c>
      <c r="E51" s="2" t="s">
        <v>59</v>
      </c>
      <c r="F51" s="2" t="s">
        <v>59</v>
      </c>
      <c r="G51" s="2" t="s">
        <v>59</v>
      </c>
      <c r="H51" s="2" t="s">
        <v>59</v>
      </c>
    </row>
    <row r="52" spans="1:8" x14ac:dyDescent="0.15">
      <c r="A52" s="1" t="s">
        <v>60</v>
      </c>
      <c r="B52" s="2" t="s">
        <v>61</v>
      </c>
      <c r="C52" s="2" t="s">
        <v>61</v>
      </c>
      <c r="D52" s="2" t="s">
        <v>61</v>
      </c>
      <c r="E52" s="2" t="s">
        <v>61</v>
      </c>
      <c r="F52" s="2" t="s">
        <v>61</v>
      </c>
      <c r="G52" s="2" t="s">
        <v>61</v>
      </c>
      <c r="H52" s="2" t="s">
        <v>61</v>
      </c>
    </row>
    <row r="53" spans="1:8" x14ac:dyDescent="0.15">
      <c r="A53" s="1" t="s">
        <v>62</v>
      </c>
      <c r="B53" s="2" t="s">
        <v>12</v>
      </c>
      <c r="C53" s="2" t="s">
        <v>12</v>
      </c>
      <c r="D53" s="2" t="s">
        <v>12</v>
      </c>
      <c r="E53" s="2" t="s">
        <v>63</v>
      </c>
      <c r="F53" s="2" t="s">
        <v>63</v>
      </c>
      <c r="G53" s="2" t="s">
        <v>63</v>
      </c>
      <c r="H53" s="2" t="s">
        <v>63</v>
      </c>
    </row>
    <row r="54" spans="1:8" x14ac:dyDescent="0.15">
      <c r="A54" s="1" t="s">
        <v>64</v>
      </c>
      <c r="C54" s="1" t="s">
        <v>65</v>
      </c>
      <c r="E54" s="1" t="s">
        <v>65</v>
      </c>
      <c r="F54" s="1" t="s">
        <v>65</v>
      </c>
      <c r="G54" s="1" t="s">
        <v>65</v>
      </c>
      <c r="H54" s="1" t="s">
        <v>65</v>
      </c>
    </row>
    <row r="55" spans="1:8" x14ac:dyDescent="0.15">
      <c r="A55" s="1" t="s">
        <v>66</v>
      </c>
      <c r="B55" s="2" t="s">
        <v>67</v>
      </c>
      <c r="C55" s="2" t="s">
        <v>67</v>
      </c>
      <c r="D55" s="2" t="s">
        <v>68</v>
      </c>
      <c r="E55" s="2" t="s">
        <v>68</v>
      </c>
      <c r="F55" s="2" t="s">
        <v>69</v>
      </c>
      <c r="G55" s="2" t="s">
        <v>70</v>
      </c>
      <c r="H55" s="2" t="s">
        <v>71</v>
      </c>
    </row>
    <row r="56" spans="1:8" x14ac:dyDescent="0.15">
      <c r="A56" s="1" t="s">
        <v>72</v>
      </c>
      <c r="B56" s="2" t="s">
        <v>73</v>
      </c>
      <c r="C56" s="2" t="s">
        <v>73</v>
      </c>
      <c r="D56" s="2" t="s">
        <v>73</v>
      </c>
      <c r="E56" s="2" t="s">
        <v>73</v>
      </c>
      <c r="F56" s="2" t="s">
        <v>73</v>
      </c>
      <c r="G56" s="2" t="s">
        <v>73</v>
      </c>
      <c r="H56" s="2" t="s">
        <v>73</v>
      </c>
    </row>
    <row r="60" spans="1:8" x14ac:dyDescent="0.15">
      <c r="A60" s="1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F0201010.00-资产负债表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2016-06-09T03:21:39Z</dcterms:created>
  <dcterms:modified xsi:type="dcterms:W3CDTF">2016-06-09T03:25:46Z</dcterms:modified>
</cp:coreProperties>
</file>