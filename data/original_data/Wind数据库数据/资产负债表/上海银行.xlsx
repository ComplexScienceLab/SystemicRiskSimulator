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15345" windowHeight="4665"/>
  </bookViews>
  <sheets>
    <sheet name="A14613.SH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2" l="1"/>
  <c r="D14" i="2"/>
  <c r="E14" i="2"/>
  <c r="F14" i="2"/>
  <c r="G14" i="2"/>
  <c r="H14" i="2"/>
  <c r="I14" i="2"/>
  <c r="J14" i="2"/>
  <c r="K14" i="2"/>
  <c r="L14" i="2"/>
  <c r="B14" i="2"/>
  <c r="C34" i="2"/>
  <c r="D34" i="2"/>
  <c r="E34" i="2"/>
  <c r="F34" i="2"/>
  <c r="G34" i="2"/>
  <c r="H34" i="2"/>
  <c r="I34" i="2"/>
  <c r="J34" i="2"/>
  <c r="K34" i="2"/>
  <c r="L34" i="2"/>
  <c r="B34" i="2"/>
</calcChain>
</file>

<file path=xl/sharedStrings.xml><?xml version="1.0" encoding="utf-8"?>
<sst xmlns="http://schemas.openxmlformats.org/spreadsheetml/2006/main" count="214" uniqueCount="88">
  <si>
    <t>2005-12-31</t>
  </si>
  <si>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</si>
  <si>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</si>
  <si>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</si>
  <si>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</si>
  <si>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</si>
  <si>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</si>
  <si>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</si>
  <si>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</si>
  <si>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</si>
  <si>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</si>
  <si>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</si>
  <si>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</si>
  <si>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</si>
  <si>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</si>
  <si>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</si>
  <si>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</si>
  <si>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</si>
  <si>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</si>
  <si>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贵金属</t>
  </si>
  <si>
    <t>　　拆出资金</t>
  </si>
  <si>
    <t>　　交易性金融资产</t>
  </si>
  <si>
    <t>　　衍生金融资产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</si>
  <si>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</si>
  <si>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</si>
  <si>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</si>
  <si>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</si>
  <si>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</si>
  <si>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</si>
  <si>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</si>
  <si>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</si>
  <si>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</si>
  <si>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</si>
  <si>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投资性房地产</t>
  </si>
  <si>
    <t>　　其他资产</t>
  </si>
  <si>
    <t>资产差额(特殊报表科目)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</si>
  <si>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</si>
  <si>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</si>
  <si>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</si>
  <si>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</si>
  <si>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</si>
  <si>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交易性金融负债</t>
  </si>
  <si>
    <t>　　衍生金融负债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</si>
  <si>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</si>
  <si>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</si>
  <si>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</si>
  <si>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</si>
  <si>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</si>
  <si>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</si>
  <si>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</si>
  <si>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预计负债</t>
  </si>
  <si>
    <t>　　其他负债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</si>
  <si>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</si>
  <si>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</si>
  <si>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</si>
  <si>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</si>
  <si>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</si>
  <si>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</si>
  <si>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</si>
  <si>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</si>
  <si>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外币报表折算差额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</si>
  <si>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</si>
  <si>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</si>
  <si>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</si>
  <si>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</si>
  <si>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</si>
  <si>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</si>
  <si>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</si>
  <si>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</si>
  <si>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</si>
  <si>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</si>
  <si>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</si>
  <si>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</si>
  <si>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</si>
  <si>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</si>
  <si>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</si>
  <si>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</si>
  <si>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2009-11-10</t>
  </si>
  <si>
    <t>2008-05-22</t>
  </si>
  <si>
    <t>2009-08-12</t>
  </si>
  <si>
    <t>2010-04-29</t>
  </si>
  <si>
    <t>2011-04-29</t>
  </si>
  <si>
    <t>2014-06-30</t>
  </si>
  <si>
    <t>2015-12-17</t>
  </si>
  <si>
    <t>2016-04-29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</si>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</sst>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7" fontId="0" fillId="0" borderId="0" xfId="0" applyNumberFormat="1">
      <alignment vertical="center"/>
    </xf>
    <xf numFmtId="177" fontId="0" fillId="0" borderId="0" xfId="0" quotePrefix="1" applyNumberFormat="1">
      <alignment vertical="center"/>
    </xf>
    <xf numFmtId="177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tabSelected="1" topLeftCell="A34" workbookViewId="0">
      <selection activeCell="E49" sqref="E49"/>
    </sheetView>
  </sheetViews>
  <sheetFormatPr defaultRowHeight="13.5" x14ac:dyDescent="0.15"/>
  <cols>
    <col min="1" max="1" width="34.125" bestFit="1" customWidth="1"/>
    <col min="2" max="2" width="12.75" bestFit="1" customWidth="1"/>
    <col min="3" max="12" width="15.125" bestFit="1" customWidth="1"/>
  </cols>
  <sheetData>
    <row r="1" spans="1:12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15">
      <c r="A2" s="1" t="s">
        <v>11</v>
      </c>
      <c r="B2" s="2" t="s">
        <v>12</v>
      </c>
      <c r="C2" s="2" t="s">
        <v>12</v>
      </c>
      <c r="D2" s="2" t="s">
        <v>12</v>
      </c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</row>
    <row r="3" spans="1:12" x14ac:dyDescent="0.15">
      <c r="A3" s="1" t="s">
        <v>13</v>
      </c>
      <c r="B3" s="2" t="s">
        <v>14</v>
      </c>
      <c r="C3" s="2" t="s">
        <v>14</v>
      </c>
      <c r="D3" s="2" t="s">
        <v>14</v>
      </c>
      <c r="E3" s="2" t="s">
        <v>14</v>
      </c>
      <c r="F3" s="2" t="s">
        <v>14</v>
      </c>
      <c r="G3" s="2" t="s">
        <v>14</v>
      </c>
      <c r="H3" s="2" t="s">
        <v>14</v>
      </c>
      <c r="I3" s="2" t="s">
        <v>14</v>
      </c>
      <c r="J3" s="2" t="s">
        <v>14</v>
      </c>
      <c r="K3" s="2" t="s">
        <v>14</v>
      </c>
      <c r="L3" s="2" t="s">
        <v>14</v>
      </c>
    </row>
    <row r="4" spans="1:12" x14ac:dyDescent="0.15">
      <c r="A4" s="3" t="s">
        <v>15</v>
      </c>
      <c r="B4" s="2" t="s">
        <v>16</v>
      </c>
      <c r="C4" s="2" t="s">
        <v>16</v>
      </c>
      <c r="D4" s="2" t="s">
        <v>16</v>
      </c>
      <c r="E4" s="2" t="s">
        <v>16</v>
      </c>
      <c r="F4" s="2" t="s">
        <v>16</v>
      </c>
      <c r="G4" s="2" t="s">
        <v>16</v>
      </c>
      <c r="H4" s="2" t="s">
        <v>16</v>
      </c>
      <c r="I4" s="2" t="s">
        <v>16</v>
      </c>
      <c r="J4" s="2" t="s">
        <v>16</v>
      </c>
      <c r="K4" s="2" t="s">
        <v>16</v>
      </c>
      <c r="L4" s="2" t="s">
        <v>16</v>
      </c>
    </row>
    <row r="5" spans="1:12" x14ac:dyDescent="0.15">
      <c r="A5" s="1" t="s">
        <v>17</v>
      </c>
      <c r="B5" s="1">
        <v>21301.61</v>
      </c>
      <c r="C5" s="1">
        <v>34681.39</v>
      </c>
      <c r="D5" s="1">
        <v>41276.33</v>
      </c>
      <c r="E5" s="1">
        <v>64957.04</v>
      </c>
      <c r="F5" s="1">
        <v>74910.289999999994</v>
      </c>
      <c r="G5" s="1">
        <v>93142.25</v>
      </c>
      <c r="H5" s="1">
        <v>107011.86</v>
      </c>
      <c r="I5" s="1">
        <v>105809.18</v>
      </c>
      <c r="J5" s="1">
        <v>121609</v>
      </c>
      <c r="K5" s="1">
        <v>139983.73000000001</v>
      </c>
      <c r="L5" s="1">
        <v>144057.98000000001</v>
      </c>
    </row>
    <row r="6" spans="1:12" x14ac:dyDescent="0.15">
      <c r="A6" s="1" t="s">
        <v>18</v>
      </c>
      <c r="B6" s="1">
        <v>4257.9399999999996</v>
      </c>
      <c r="C6" s="1">
        <v>1192.58</v>
      </c>
      <c r="D6" s="1">
        <v>4657.18</v>
      </c>
      <c r="E6" s="1">
        <v>4202.68</v>
      </c>
      <c r="F6" s="1">
        <v>12163.96</v>
      </c>
      <c r="G6" s="1">
        <v>1286.58</v>
      </c>
      <c r="H6" s="1">
        <v>36781.08</v>
      </c>
      <c r="I6" s="1">
        <v>142401.23000000001</v>
      </c>
      <c r="J6" s="1">
        <v>66684.91</v>
      </c>
      <c r="K6" s="1">
        <v>71149.789999999994</v>
      </c>
      <c r="L6" s="1">
        <v>46177.63</v>
      </c>
    </row>
    <row r="7" spans="1:12" x14ac:dyDescent="0.15">
      <c r="A7" s="1" t="s">
        <v>19</v>
      </c>
      <c r="B7" s="1">
        <v>1.34</v>
      </c>
      <c r="C7" s="1">
        <v>248.99</v>
      </c>
      <c r="D7" s="1">
        <v>644.80999999999995</v>
      </c>
      <c r="E7" s="1">
        <v>42.78</v>
      </c>
      <c r="F7" s="1">
        <v>5.61</v>
      </c>
      <c r="G7" s="1"/>
      <c r="H7" s="1"/>
      <c r="I7" s="1"/>
      <c r="J7" s="1"/>
      <c r="K7" s="1"/>
      <c r="L7" s="1"/>
    </row>
    <row r="8" spans="1:12" x14ac:dyDescent="0.15">
      <c r="A8" s="1" t="s">
        <v>20</v>
      </c>
      <c r="B8" s="1">
        <v>5427.79</v>
      </c>
      <c r="C8" s="1">
        <v>8715.31</v>
      </c>
      <c r="D8" s="1">
        <v>13897.68</v>
      </c>
      <c r="E8" s="1">
        <v>13503.91</v>
      </c>
      <c r="F8" s="1">
        <v>11960.04</v>
      </c>
      <c r="G8" s="1">
        <v>9346.85</v>
      </c>
      <c r="H8" s="1">
        <v>29791.34</v>
      </c>
      <c r="I8" s="1">
        <v>15215.91</v>
      </c>
      <c r="J8" s="1">
        <v>21376.560000000001</v>
      </c>
      <c r="K8" s="1">
        <v>37970.9</v>
      </c>
      <c r="L8" s="1">
        <v>72167.759999999995</v>
      </c>
    </row>
    <row r="9" spans="1:12" x14ac:dyDescent="0.15">
      <c r="A9" s="1" t="s">
        <v>21</v>
      </c>
      <c r="B9" s="1">
        <v>15419.86</v>
      </c>
      <c r="C9" s="1">
        <v>14953.14</v>
      </c>
      <c r="D9" s="1">
        <v>7917.84</v>
      </c>
      <c r="E9" s="1">
        <v>6770.15</v>
      </c>
      <c r="F9" s="1">
        <v>5453.03</v>
      </c>
      <c r="G9" s="1">
        <v>2905.89</v>
      </c>
      <c r="H9" s="1">
        <v>6306.91</v>
      </c>
      <c r="I9" s="1">
        <v>4848.66</v>
      </c>
      <c r="J9" s="1">
        <v>7281.28</v>
      </c>
      <c r="K9" s="1">
        <v>7990.84</v>
      </c>
      <c r="L9" s="1">
        <v>4614.2</v>
      </c>
    </row>
    <row r="10" spans="1:12" x14ac:dyDescent="0.15">
      <c r="A10" s="1" t="s">
        <v>22</v>
      </c>
      <c r="B10" s="1"/>
      <c r="C10" s="1"/>
      <c r="D10" s="1">
        <v>65.22</v>
      </c>
      <c r="E10" s="1">
        <v>151.81</v>
      </c>
      <c r="F10" s="1">
        <v>17.59</v>
      </c>
      <c r="G10" s="1">
        <v>32.049999999999997</v>
      </c>
      <c r="H10" s="1">
        <v>47.2</v>
      </c>
      <c r="I10" s="1">
        <v>182.5</v>
      </c>
      <c r="J10" s="1">
        <v>1030.56</v>
      </c>
      <c r="K10" s="1">
        <v>407.19</v>
      </c>
      <c r="L10" s="1">
        <v>691.28</v>
      </c>
    </row>
    <row r="11" spans="1:12" x14ac:dyDescent="0.15">
      <c r="A11" s="1" t="s">
        <v>23</v>
      </c>
      <c r="B11" s="1">
        <v>12950.18</v>
      </c>
      <c r="C11" s="1">
        <v>8525.5300000000007</v>
      </c>
      <c r="D11" s="1">
        <v>15996.05</v>
      </c>
      <c r="E11" s="1">
        <v>9937.9500000000007</v>
      </c>
      <c r="F11" s="1">
        <v>2614</v>
      </c>
      <c r="G11" s="1">
        <v>22007.3</v>
      </c>
      <c r="H11" s="1">
        <v>9997.06</v>
      </c>
      <c r="I11" s="1">
        <v>8323.9699999999993</v>
      </c>
      <c r="J11" s="1">
        <v>33136.5</v>
      </c>
      <c r="K11" s="1">
        <v>62320.800000000003</v>
      </c>
      <c r="L11" s="1">
        <v>51042.68</v>
      </c>
    </row>
    <row r="12" spans="1:12" x14ac:dyDescent="0.15">
      <c r="A12" s="1" t="s">
        <v>24</v>
      </c>
      <c r="B12" s="1">
        <v>955.73</v>
      </c>
      <c r="C12" s="1">
        <v>1278.54</v>
      </c>
      <c r="D12" s="1">
        <v>1738.29</v>
      </c>
      <c r="E12" s="1">
        <v>2149.94</v>
      </c>
      <c r="F12" s="1">
        <v>1752.62</v>
      </c>
      <c r="G12" s="1">
        <v>1900.26</v>
      </c>
      <c r="H12" s="1">
        <v>2679.95</v>
      </c>
      <c r="I12" s="1">
        <v>4815.54</v>
      </c>
      <c r="J12" s="1">
        <v>5384</v>
      </c>
      <c r="K12" s="1">
        <v>6925.1</v>
      </c>
      <c r="L12" s="1">
        <v>6053.14</v>
      </c>
    </row>
    <row r="13" spans="1:12" x14ac:dyDescent="0.15">
      <c r="A13" s="1" t="s">
        <v>25</v>
      </c>
      <c r="B13" s="1">
        <v>118168.01</v>
      </c>
      <c r="C13" s="1">
        <v>121188.43</v>
      </c>
      <c r="D13" s="1">
        <v>145879.67000000001</v>
      </c>
      <c r="E13" s="1">
        <v>172626.38</v>
      </c>
      <c r="F13" s="1">
        <v>238136</v>
      </c>
      <c r="G13" s="1">
        <v>290088.26</v>
      </c>
      <c r="H13" s="1">
        <v>325523.45</v>
      </c>
      <c r="I13" s="1">
        <v>381217.51</v>
      </c>
      <c r="J13" s="1">
        <v>430953.61</v>
      </c>
      <c r="K13" s="1">
        <v>472194.36</v>
      </c>
      <c r="L13" s="1">
        <v>521365.25</v>
      </c>
    </row>
    <row r="14" spans="1:12" x14ac:dyDescent="0.15">
      <c r="A14" s="1"/>
      <c r="B14" s="1">
        <f>B12+B13</f>
        <v>119123.73999999999</v>
      </c>
      <c r="C14" s="1">
        <f t="shared" ref="C14:L14" si="0">C12+C13</f>
        <v>122466.96999999999</v>
      </c>
      <c r="D14" s="1">
        <f t="shared" si="0"/>
        <v>147617.96000000002</v>
      </c>
      <c r="E14" s="1">
        <f t="shared" si="0"/>
        <v>174776.32000000001</v>
      </c>
      <c r="F14" s="1">
        <f t="shared" si="0"/>
        <v>239888.62</v>
      </c>
      <c r="G14" s="1">
        <f t="shared" si="0"/>
        <v>291988.52</v>
      </c>
      <c r="H14" s="1">
        <f t="shared" si="0"/>
        <v>328203.40000000002</v>
      </c>
      <c r="I14" s="1">
        <f t="shared" si="0"/>
        <v>386033.05</v>
      </c>
      <c r="J14" s="1">
        <f t="shared" si="0"/>
        <v>436337.61</v>
      </c>
      <c r="K14" s="1">
        <f t="shared" si="0"/>
        <v>479119.45999999996</v>
      </c>
      <c r="L14" s="1">
        <f t="shared" si="0"/>
        <v>527418.39</v>
      </c>
    </row>
    <row r="15" spans="1:12" x14ac:dyDescent="0.15">
      <c r="A15" s="1" t="s">
        <v>26</v>
      </c>
      <c r="B15" s="1">
        <v>6978.5</v>
      </c>
      <c r="C15" s="1">
        <v>11227.7</v>
      </c>
      <c r="D15" s="1">
        <v>26978.04</v>
      </c>
      <c r="E15" s="1">
        <v>39423.68</v>
      </c>
      <c r="F15" s="1">
        <v>44222.57</v>
      </c>
      <c r="G15" s="1">
        <v>43201.65</v>
      </c>
      <c r="H15" s="1">
        <v>46689.67</v>
      </c>
      <c r="I15" s="1">
        <v>61539.88</v>
      </c>
      <c r="J15" s="1">
        <v>54938.75</v>
      </c>
      <c r="K15" s="1">
        <v>86051.72</v>
      </c>
      <c r="L15" s="1">
        <v>163955.29</v>
      </c>
    </row>
    <row r="16" spans="1:12" x14ac:dyDescent="0.15">
      <c r="A16" s="1" t="s">
        <v>27</v>
      </c>
      <c r="B16" s="1">
        <v>46356.88</v>
      </c>
      <c r="C16" s="1">
        <v>55407.31</v>
      </c>
      <c r="D16" s="1">
        <v>41688.410000000003</v>
      </c>
      <c r="E16" s="1">
        <v>45640.87</v>
      </c>
      <c r="F16" s="1">
        <v>64112.72</v>
      </c>
      <c r="G16" s="1">
        <v>80652.539999999994</v>
      </c>
      <c r="H16" s="1">
        <v>73610.73</v>
      </c>
      <c r="I16" s="1">
        <v>67415.44</v>
      </c>
      <c r="J16" s="1">
        <v>74093.37</v>
      </c>
      <c r="K16" s="1">
        <v>76004.679999999993</v>
      </c>
      <c r="L16" s="1">
        <v>119953.78</v>
      </c>
    </row>
    <row r="17" spans="1:12" x14ac:dyDescent="0.15">
      <c r="A17" s="1" t="s">
        <v>28</v>
      </c>
      <c r="B17" s="1"/>
      <c r="C17" s="1"/>
      <c r="D17" s="1"/>
      <c r="E17" s="1"/>
      <c r="F17" s="1"/>
      <c r="G17" s="1"/>
      <c r="H17" s="1"/>
      <c r="I17" s="1"/>
      <c r="J17" s="1"/>
      <c r="K17" s="1">
        <v>20</v>
      </c>
      <c r="L17" s="1">
        <v>18.420000000000002</v>
      </c>
    </row>
    <row r="18" spans="1:12" x14ac:dyDescent="0.15">
      <c r="A18" s="1" t="s">
        <v>29</v>
      </c>
      <c r="B18" s="1">
        <v>1822.69</v>
      </c>
      <c r="C18" s="1">
        <v>1436.17</v>
      </c>
      <c r="D18" s="1">
        <v>3719.29</v>
      </c>
      <c r="E18" s="1">
        <v>3247.04</v>
      </c>
      <c r="F18" s="1">
        <v>5118.8999999999996</v>
      </c>
      <c r="G18" s="1">
        <v>14713.17</v>
      </c>
      <c r="H18" s="1">
        <v>6330.19</v>
      </c>
      <c r="I18" s="1">
        <v>17031.32</v>
      </c>
      <c r="J18" s="1">
        <v>150059.49</v>
      </c>
      <c r="K18" s="1">
        <v>213792.69</v>
      </c>
      <c r="L18" s="1">
        <v>301803.28999999998</v>
      </c>
    </row>
    <row r="19" spans="1:12" x14ac:dyDescent="0.15">
      <c r="A19" s="1" t="s">
        <v>30</v>
      </c>
      <c r="B19" s="1">
        <v>1815.27</v>
      </c>
      <c r="C19" s="1">
        <v>2030.44</v>
      </c>
      <c r="D19" s="1">
        <v>2381.4699999999998</v>
      </c>
      <c r="E19" s="1">
        <v>3120.33</v>
      </c>
      <c r="F19" s="1">
        <v>3070.67</v>
      </c>
      <c r="G19" s="1">
        <v>3233.53</v>
      </c>
      <c r="H19" s="1">
        <v>3551</v>
      </c>
      <c r="I19" s="1">
        <v>3851.41</v>
      </c>
      <c r="J19" s="1">
        <v>4571.6000000000004</v>
      </c>
      <c r="K19" s="1">
        <v>4414.5</v>
      </c>
      <c r="L19" s="1">
        <v>4172.87</v>
      </c>
    </row>
    <row r="20" spans="1:12" x14ac:dyDescent="0.15">
      <c r="A20" s="1" t="s">
        <v>31</v>
      </c>
      <c r="B20" s="1">
        <v>137.26</v>
      </c>
      <c r="C20" s="1">
        <v>134.07</v>
      </c>
      <c r="D20" s="1">
        <v>210.51</v>
      </c>
      <c r="E20" s="1">
        <v>213.24</v>
      </c>
      <c r="F20" s="1">
        <v>259.22000000000003</v>
      </c>
      <c r="G20" s="1">
        <v>272.64</v>
      </c>
      <c r="H20" s="1">
        <v>298.14999999999998</v>
      </c>
      <c r="I20" s="1">
        <v>321.37</v>
      </c>
      <c r="J20" s="1">
        <v>472.91</v>
      </c>
      <c r="K20" s="1">
        <v>532.65</v>
      </c>
      <c r="L20" s="1">
        <v>579.91</v>
      </c>
    </row>
    <row r="21" spans="1:12" x14ac:dyDescent="0.15">
      <c r="A21" s="1" t="s">
        <v>32</v>
      </c>
      <c r="B21" s="1">
        <v>777.82</v>
      </c>
      <c r="C21" s="1">
        <v>513.99</v>
      </c>
      <c r="D21" s="1">
        <v>558.83000000000004</v>
      </c>
      <c r="E21" s="1">
        <v>612.55999999999995</v>
      </c>
      <c r="F21" s="1">
        <v>1037.83</v>
      </c>
      <c r="G21" s="1">
        <v>1510.1</v>
      </c>
      <c r="H21" s="1">
        <v>1493.37</v>
      </c>
      <c r="I21" s="1">
        <v>1750.09</v>
      </c>
      <c r="J21" s="1">
        <v>2182.91</v>
      </c>
      <c r="K21" s="1">
        <v>2547.52</v>
      </c>
      <c r="L21" s="1">
        <v>3504.32</v>
      </c>
    </row>
    <row r="22" spans="1:12" x14ac:dyDescent="0.15">
      <c r="A22" s="1" t="s">
        <v>33</v>
      </c>
      <c r="B22" s="1"/>
      <c r="C22" s="1"/>
      <c r="D22" s="1">
        <v>157.61000000000001</v>
      </c>
      <c r="E22" s="1">
        <v>152.81</v>
      </c>
      <c r="F22" s="1">
        <v>147.63999999999999</v>
      </c>
      <c r="G22" s="1">
        <v>142.82</v>
      </c>
      <c r="H22" s="1"/>
      <c r="I22" s="1"/>
      <c r="J22" s="1"/>
      <c r="K22" s="1"/>
      <c r="L22" s="1"/>
    </row>
    <row r="23" spans="1:12" x14ac:dyDescent="0.15">
      <c r="A23" s="1" t="s">
        <v>34</v>
      </c>
      <c r="B23" s="1">
        <v>1041.67</v>
      </c>
      <c r="C23" s="1">
        <v>1122.81</v>
      </c>
      <c r="D23" s="1">
        <v>944.81</v>
      </c>
      <c r="E23" s="1">
        <v>731.08</v>
      </c>
      <c r="F23" s="1">
        <v>598.79</v>
      </c>
      <c r="G23" s="1">
        <v>1881.43</v>
      </c>
      <c r="H23" s="1">
        <v>5688.06</v>
      </c>
      <c r="I23" s="1">
        <v>2179.96</v>
      </c>
      <c r="J23" s="1">
        <v>3946.96</v>
      </c>
      <c r="K23" s="1">
        <v>5145.72</v>
      </c>
      <c r="L23" s="1">
        <v>8982.68</v>
      </c>
    </row>
    <row r="24" spans="1:12" x14ac:dyDescent="0.15">
      <c r="A24" s="1" t="s">
        <v>35</v>
      </c>
      <c r="B24" s="1">
        <v>250.12</v>
      </c>
      <c r="C24" s="1">
        <v>246.21</v>
      </c>
      <c r="D24" s="1">
        <v>273.97000000000003</v>
      </c>
      <c r="E24" s="1">
        <v>251.75</v>
      </c>
      <c r="F24" s="1">
        <v>457.49</v>
      </c>
      <c r="G24" s="1">
        <v>457.87</v>
      </c>
      <c r="H24" s="1"/>
      <c r="I24" s="1"/>
      <c r="J24" s="1"/>
      <c r="K24" s="1"/>
      <c r="L24" s="1"/>
    </row>
    <row r="25" spans="1:12" x14ac:dyDescent="0.15">
      <c r="A25" s="3" t="s">
        <v>36</v>
      </c>
      <c r="B25" s="1">
        <v>237662.66</v>
      </c>
      <c r="C25" s="1">
        <v>262902.62</v>
      </c>
      <c r="D25" s="1">
        <v>308986.01</v>
      </c>
      <c r="E25" s="1">
        <v>367735.97</v>
      </c>
      <c r="F25" s="1">
        <v>466038.95</v>
      </c>
      <c r="G25" s="1">
        <v>566775.19999999995</v>
      </c>
      <c r="H25" s="1">
        <v>655800.01</v>
      </c>
      <c r="I25" s="1">
        <v>816903.95</v>
      </c>
      <c r="J25" s="1">
        <v>977722.41</v>
      </c>
      <c r="K25" s="1">
        <v>1187452.2</v>
      </c>
      <c r="L25" s="1">
        <v>1449140.49</v>
      </c>
    </row>
    <row r="26" spans="1:12" x14ac:dyDescent="0.15">
      <c r="A26" s="3" t="s">
        <v>37</v>
      </c>
      <c r="B26" s="2" t="s">
        <v>16</v>
      </c>
      <c r="C26" s="2" t="s">
        <v>16</v>
      </c>
      <c r="D26" s="2" t="s">
        <v>16</v>
      </c>
      <c r="E26" s="2" t="s">
        <v>16</v>
      </c>
      <c r="F26" s="2" t="s">
        <v>16</v>
      </c>
      <c r="G26" s="2" t="s">
        <v>16</v>
      </c>
      <c r="H26" s="2" t="s">
        <v>16</v>
      </c>
      <c r="I26" s="2" t="s">
        <v>16</v>
      </c>
      <c r="J26" s="2" t="s">
        <v>16</v>
      </c>
      <c r="K26" s="2" t="s">
        <v>16</v>
      </c>
      <c r="L26" s="2" t="s">
        <v>16</v>
      </c>
    </row>
    <row r="27" spans="1:12" x14ac:dyDescent="0.15">
      <c r="A27" s="1" t="s">
        <v>38</v>
      </c>
      <c r="B27" s="1">
        <v>23194.01</v>
      </c>
      <c r="C27" s="1">
        <v>29238.26</v>
      </c>
      <c r="D27" s="1">
        <v>38242.519999999997</v>
      </c>
      <c r="E27" s="1">
        <v>36340.74</v>
      </c>
      <c r="F27" s="1">
        <v>80298.02</v>
      </c>
      <c r="G27" s="1">
        <v>75280.600000000006</v>
      </c>
      <c r="H27" s="1">
        <v>89699.69</v>
      </c>
      <c r="I27" s="1">
        <v>160002.73000000001</v>
      </c>
      <c r="J27" s="1">
        <v>195686.68</v>
      </c>
      <c r="K27" s="1">
        <v>259647.37</v>
      </c>
      <c r="L27" s="1">
        <v>331338.78000000003</v>
      </c>
    </row>
    <row r="28" spans="1:12" x14ac:dyDescent="0.15">
      <c r="A28" s="1" t="s">
        <v>39</v>
      </c>
      <c r="B28" s="1"/>
      <c r="C28" s="1"/>
      <c r="D28" s="1"/>
      <c r="E28" s="1"/>
      <c r="F28" s="1"/>
      <c r="G28" s="1"/>
      <c r="H28" s="1"/>
      <c r="I28" s="1">
        <v>40</v>
      </c>
      <c r="J28" s="1">
        <v>114.5</v>
      </c>
      <c r="K28" s="1">
        <v>40.299999999999997</v>
      </c>
      <c r="L28" s="1">
        <v>6403.17</v>
      </c>
    </row>
    <row r="29" spans="1:12" x14ac:dyDescent="0.15">
      <c r="A29" s="1" t="s">
        <v>40</v>
      </c>
      <c r="B29" s="1"/>
      <c r="C29" s="1">
        <v>850.76</v>
      </c>
      <c r="D29" s="1">
        <v>2074.66</v>
      </c>
      <c r="E29" s="1">
        <v>5166.62</v>
      </c>
      <c r="F29" s="1">
        <v>9603.5499999999993</v>
      </c>
      <c r="G29" s="1">
        <v>12548.56</v>
      </c>
      <c r="H29" s="1">
        <v>16497.16</v>
      </c>
      <c r="I29" s="1">
        <v>15169.19</v>
      </c>
      <c r="J29" s="1">
        <v>22570.59</v>
      </c>
      <c r="K29" s="1">
        <v>24199.73</v>
      </c>
      <c r="L29" s="1">
        <v>30229.75</v>
      </c>
    </row>
    <row r="30" spans="1:12" x14ac:dyDescent="0.15">
      <c r="A30" s="1" t="s">
        <v>41</v>
      </c>
      <c r="B30" s="1"/>
      <c r="C30" s="1"/>
      <c r="D30" s="1"/>
      <c r="E30" s="1"/>
      <c r="F30" s="1"/>
      <c r="G30" s="1"/>
      <c r="H30" s="1"/>
      <c r="I30" s="1"/>
      <c r="J30" s="1"/>
      <c r="K30" s="1">
        <v>53.76</v>
      </c>
      <c r="L30" s="1">
        <v>11.24</v>
      </c>
    </row>
    <row r="31" spans="1:12" x14ac:dyDescent="0.15">
      <c r="A31" s="1" t="s">
        <v>42</v>
      </c>
      <c r="B31" s="1"/>
      <c r="C31" s="1"/>
      <c r="D31" s="1">
        <v>57.84</v>
      </c>
      <c r="E31" s="1">
        <v>185.44</v>
      </c>
      <c r="F31" s="1">
        <v>15.69</v>
      </c>
      <c r="G31" s="1">
        <v>51.78</v>
      </c>
      <c r="H31" s="1">
        <v>37.65</v>
      </c>
      <c r="I31" s="1">
        <v>196.62</v>
      </c>
      <c r="J31" s="1">
        <v>1059.42</v>
      </c>
      <c r="K31" s="1">
        <v>349.75</v>
      </c>
      <c r="L31" s="1">
        <v>525.4</v>
      </c>
    </row>
    <row r="32" spans="1:12" x14ac:dyDescent="0.15">
      <c r="A32" s="1" t="s">
        <v>43</v>
      </c>
      <c r="B32" s="1">
        <v>13262.07</v>
      </c>
      <c r="C32" s="1">
        <v>13738.62</v>
      </c>
      <c r="D32" s="1">
        <v>25100.53</v>
      </c>
      <c r="E32" s="1">
        <v>32457.29</v>
      </c>
      <c r="F32" s="1">
        <v>6325</v>
      </c>
      <c r="G32" s="1">
        <v>27885</v>
      </c>
      <c r="H32" s="1">
        <v>29015.22</v>
      </c>
      <c r="I32" s="1">
        <v>30195.200000000001</v>
      </c>
      <c r="J32" s="1">
        <v>46954.81</v>
      </c>
      <c r="K32" s="1">
        <v>43943</v>
      </c>
      <c r="L32" s="1">
        <v>47464.95</v>
      </c>
    </row>
    <row r="33" spans="1:12" x14ac:dyDescent="0.15">
      <c r="A33" s="1" t="s">
        <v>44</v>
      </c>
      <c r="B33" s="1">
        <v>184784.58</v>
      </c>
      <c r="C33" s="1">
        <v>200368.85</v>
      </c>
      <c r="D33" s="1">
        <v>220888.8</v>
      </c>
      <c r="E33" s="1">
        <v>266363.07</v>
      </c>
      <c r="F33" s="1">
        <v>333420.87</v>
      </c>
      <c r="G33" s="1">
        <v>409522.28</v>
      </c>
      <c r="H33" s="1">
        <v>466764.06</v>
      </c>
      <c r="I33" s="1">
        <v>545031.71</v>
      </c>
      <c r="J33" s="1">
        <v>626012.6</v>
      </c>
      <c r="K33" s="1">
        <v>724618.13</v>
      </c>
      <c r="L33" s="1">
        <v>792679.89</v>
      </c>
    </row>
    <row r="34" spans="1:12" x14ac:dyDescent="0.15">
      <c r="A34" s="1"/>
      <c r="B34" s="1">
        <f>SUM(B27:B33)</f>
        <v>221240.65999999997</v>
      </c>
      <c r="C34" s="1">
        <f t="shared" ref="C34:L34" si="1">SUM(C27:C33)</f>
        <v>244196.49</v>
      </c>
      <c r="D34" s="1">
        <f t="shared" si="1"/>
        <v>286364.34999999998</v>
      </c>
      <c r="E34" s="1">
        <f t="shared" si="1"/>
        <v>340513.16000000003</v>
      </c>
      <c r="F34" s="1">
        <f t="shared" si="1"/>
        <v>429663.13</v>
      </c>
      <c r="G34" s="1">
        <f t="shared" si="1"/>
        <v>525288.22</v>
      </c>
      <c r="H34" s="1">
        <f t="shared" si="1"/>
        <v>602013.78</v>
      </c>
      <c r="I34" s="1">
        <f t="shared" si="1"/>
        <v>750635.45</v>
      </c>
      <c r="J34" s="1">
        <f t="shared" si="1"/>
        <v>892398.6</v>
      </c>
      <c r="K34" s="1">
        <f t="shared" si="1"/>
        <v>1052852.04</v>
      </c>
      <c r="L34" s="1">
        <f t="shared" si="1"/>
        <v>1208653.1800000002</v>
      </c>
    </row>
    <row r="35" spans="1:12" x14ac:dyDescent="0.15">
      <c r="A35" s="1" t="s">
        <v>45</v>
      </c>
      <c r="B35" s="1">
        <v>105.37</v>
      </c>
      <c r="C35" s="1">
        <v>138.37</v>
      </c>
      <c r="D35" s="1">
        <v>261.27999999999997</v>
      </c>
      <c r="E35" s="1">
        <v>496.83</v>
      </c>
      <c r="F35" s="1">
        <v>496.78</v>
      </c>
      <c r="G35" s="1">
        <v>558.27</v>
      </c>
      <c r="H35" s="1">
        <v>786.75</v>
      </c>
      <c r="I35" s="1">
        <v>1167.1300000000001</v>
      </c>
      <c r="J35" s="1">
        <v>1432.85</v>
      </c>
      <c r="K35" s="1">
        <v>1661.01</v>
      </c>
      <c r="L35" s="1">
        <v>2046.98</v>
      </c>
    </row>
    <row r="36" spans="1:12" x14ac:dyDescent="0.15">
      <c r="A36" s="1" t="s">
        <v>46</v>
      </c>
      <c r="B36" s="1">
        <v>22.69</v>
      </c>
      <c r="C36" s="1">
        <v>93.76</v>
      </c>
      <c r="D36" s="1">
        <v>759.79</v>
      </c>
      <c r="E36" s="1">
        <v>547.12</v>
      </c>
      <c r="F36" s="1">
        <v>529.75</v>
      </c>
      <c r="G36" s="1">
        <v>826.77</v>
      </c>
      <c r="H36" s="1">
        <v>714.01</v>
      </c>
      <c r="I36" s="1">
        <v>1118.24</v>
      </c>
      <c r="J36" s="1">
        <v>1462.14</v>
      </c>
      <c r="K36" s="1">
        <v>2043.91</v>
      </c>
      <c r="L36" s="1">
        <v>2857.29</v>
      </c>
    </row>
    <row r="37" spans="1:12" x14ac:dyDescent="0.15">
      <c r="A37" s="1" t="s">
        <v>47</v>
      </c>
      <c r="B37" s="1">
        <v>907.91</v>
      </c>
      <c r="C37" s="1">
        <v>1244.9100000000001</v>
      </c>
      <c r="D37" s="1">
        <v>1603.94</v>
      </c>
      <c r="E37" s="1">
        <v>2534.06</v>
      </c>
      <c r="F37" s="1">
        <v>2723.23</v>
      </c>
      <c r="G37" s="1">
        <v>3598.43</v>
      </c>
      <c r="H37" s="1">
        <v>4892</v>
      </c>
      <c r="I37" s="1">
        <v>7422.97</v>
      </c>
      <c r="J37" s="1">
        <v>10628.58</v>
      </c>
      <c r="K37" s="1">
        <v>12726.01</v>
      </c>
      <c r="L37" s="1">
        <v>14766.54</v>
      </c>
    </row>
    <row r="38" spans="1:12" x14ac:dyDescent="0.15">
      <c r="A38" s="1" t="s">
        <v>48</v>
      </c>
      <c r="B38" s="1">
        <v>3000</v>
      </c>
      <c r="C38" s="1">
        <v>3000</v>
      </c>
      <c r="D38" s="1">
        <v>3000</v>
      </c>
      <c r="E38" s="1">
        <v>3000</v>
      </c>
      <c r="F38" s="1">
        <v>8000</v>
      </c>
      <c r="G38" s="1">
        <v>5000</v>
      </c>
      <c r="H38" s="1">
        <v>10000</v>
      </c>
      <c r="I38" s="1">
        <v>12219.16</v>
      </c>
      <c r="J38" s="1">
        <v>12220.25</v>
      </c>
      <c r="K38" s="1">
        <v>38460.22</v>
      </c>
      <c r="L38" s="1">
        <v>123939.76</v>
      </c>
    </row>
    <row r="39" spans="1:12" x14ac:dyDescent="0.15">
      <c r="A39" s="1" t="s">
        <v>49</v>
      </c>
      <c r="B39" s="1"/>
      <c r="C39" s="1"/>
      <c r="D39" s="1"/>
      <c r="E39" s="1"/>
      <c r="F39" s="1"/>
      <c r="G39" s="1"/>
      <c r="H39" s="1"/>
      <c r="I39" s="1"/>
      <c r="J39" s="1"/>
      <c r="K39" s="1">
        <v>13.55</v>
      </c>
      <c r="L39" s="1">
        <v>51.36</v>
      </c>
    </row>
    <row r="40" spans="1:12" x14ac:dyDescent="0.15">
      <c r="A40" s="1" t="s">
        <v>50</v>
      </c>
      <c r="B40" s="1">
        <v>70</v>
      </c>
      <c r="C40" s="1">
        <v>57</v>
      </c>
      <c r="D40" s="1">
        <v>49.5</v>
      </c>
      <c r="E40" s="1">
        <v>115.71</v>
      </c>
      <c r="F40" s="1">
        <v>126.39</v>
      </c>
      <c r="G40" s="1">
        <v>74.64</v>
      </c>
      <c r="H40" s="1"/>
      <c r="I40" s="1"/>
      <c r="J40" s="1"/>
      <c r="K40" s="1"/>
      <c r="L40" s="1"/>
    </row>
    <row r="41" spans="1:12" x14ac:dyDescent="0.15">
      <c r="A41" s="1" t="s">
        <v>51</v>
      </c>
      <c r="B41" s="1">
        <v>1998.07</v>
      </c>
      <c r="C41" s="1">
        <v>1831</v>
      </c>
      <c r="D41" s="1">
        <v>2185.7800000000002</v>
      </c>
      <c r="E41" s="1">
        <v>1688.99</v>
      </c>
      <c r="F41" s="1">
        <v>2987.57</v>
      </c>
      <c r="G41" s="1">
        <v>1941.78</v>
      </c>
      <c r="H41" s="1">
        <v>2117.04</v>
      </c>
      <c r="I41" s="1">
        <v>2069.39</v>
      </c>
      <c r="J41" s="1">
        <v>3260</v>
      </c>
      <c r="K41" s="1">
        <v>5336.49</v>
      </c>
      <c r="L41" s="1">
        <v>3991</v>
      </c>
    </row>
    <row r="42" spans="1:12" x14ac:dyDescent="0.15">
      <c r="A42" s="3" t="s">
        <v>52</v>
      </c>
      <c r="B42" s="1">
        <v>227344.69</v>
      </c>
      <c r="C42" s="1">
        <v>250561.52</v>
      </c>
      <c r="D42" s="1">
        <v>294224.65000000002</v>
      </c>
      <c r="E42" s="1">
        <v>348895.86</v>
      </c>
      <c r="F42" s="1">
        <v>444526.86</v>
      </c>
      <c r="G42" s="1">
        <v>537288.11</v>
      </c>
      <c r="H42" s="1">
        <v>620523.59</v>
      </c>
      <c r="I42" s="1">
        <v>774632.33</v>
      </c>
      <c r="J42" s="1">
        <v>921402.43</v>
      </c>
      <c r="K42" s="1">
        <v>1113093.24</v>
      </c>
      <c r="L42" s="1">
        <v>1356306.09</v>
      </c>
    </row>
    <row r="43" spans="1:12" x14ac:dyDescent="0.15">
      <c r="A43" s="3" t="s">
        <v>53</v>
      </c>
      <c r="B43" s="2" t="s">
        <v>16</v>
      </c>
      <c r="C43" s="2" t="s">
        <v>16</v>
      </c>
      <c r="D43" s="2" t="s">
        <v>16</v>
      </c>
      <c r="E43" s="2" t="s">
        <v>16</v>
      </c>
      <c r="F43" s="2" t="s">
        <v>16</v>
      </c>
      <c r="G43" s="2" t="s">
        <v>16</v>
      </c>
      <c r="H43" s="2" t="s">
        <v>16</v>
      </c>
      <c r="I43" s="2" t="s">
        <v>16</v>
      </c>
      <c r="J43" s="2" t="s">
        <v>16</v>
      </c>
      <c r="K43" s="2" t="s">
        <v>16</v>
      </c>
      <c r="L43" s="2" t="s">
        <v>16</v>
      </c>
    </row>
    <row r="44" spans="1:12" x14ac:dyDescent="0.15">
      <c r="A44" s="1" t="s">
        <v>54</v>
      </c>
      <c r="B44" s="1">
        <v>2600</v>
      </c>
      <c r="C44" s="1">
        <v>2600</v>
      </c>
      <c r="D44" s="1">
        <v>2600</v>
      </c>
      <c r="E44" s="1">
        <v>2600</v>
      </c>
      <c r="F44" s="1">
        <v>2600</v>
      </c>
      <c r="G44" s="1">
        <v>4234</v>
      </c>
      <c r="H44" s="1">
        <v>4234</v>
      </c>
      <c r="I44" s="1">
        <v>4234</v>
      </c>
      <c r="J44" s="1">
        <v>4234</v>
      </c>
      <c r="K44" s="1">
        <v>4704</v>
      </c>
      <c r="L44" s="1">
        <v>5404</v>
      </c>
    </row>
    <row r="45" spans="1:12" x14ac:dyDescent="0.15">
      <c r="A45" s="1" t="s">
        <v>55</v>
      </c>
      <c r="B45" s="1">
        <v>1376.43</v>
      </c>
      <c r="C45" s="1">
        <v>1327.71</v>
      </c>
      <c r="D45" s="1">
        <v>1125.6400000000001</v>
      </c>
      <c r="E45" s="1">
        <v>2517.25</v>
      </c>
      <c r="F45" s="1">
        <v>1956.37</v>
      </c>
      <c r="G45" s="1">
        <v>3659.21</v>
      </c>
      <c r="H45" s="1">
        <v>4003.06</v>
      </c>
      <c r="I45" s="1">
        <v>3869.55</v>
      </c>
      <c r="J45" s="1">
        <v>9333.06</v>
      </c>
      <c r="K45" s="1">
        <v>15688.71</v>
      </c>
      <c r="L45" s="1">
        <v>20392.7</v>
      </c>
    </row>
    <row r="46" spans="1:12" x14ac:dyDescent="0.15">
      <c r="A46" s="1" t="s">
        <v>56</v>
      </c>
      <c r="B46" s="1"/>
      <c r="C46" s="1"/>
      <c r="D46" s="1"/>
      <c r="E46" s="1"/>
      <c r="F46" s="1"/>
      <c r="G46" s="1"/>
      <c r="H46" s="1"/>
      <c r="I46" s="1"/>
      <c r="J46" s="1"/>
      <c r="K46" s="1">
        <v>744.26</v>
      </c>
      <c r="L46" s="1">
        <v>1887.02</v>
      </c>
    </row>
    <row r="47" spans="1:12" x14ac:dyDescent="0.15">
      <c r="A47" s="1" t="s">
        <v>57</v>
      </c>
      <c r="B47" s="1">
        <v>3267.03</v>
      </c>
      <c r="C47" s="1">
        <v>3589.31</v>
      </c>
      <c r="D47" s="1">
        <v>3627.03</v>
      </c>
      <c r="E47" s="1">
        <v>4709.21</v>
      </c>
      <c r="F47" s="1">
        <v>5632.35</v>
      </c>
      <c r="G47" s="1">
        <v>6719.21</v>
      </c>
      <c r="H47" s="1">
        <v>8227.66</v>
      </c>
      <c r="I47" s="1">
        <v>9969.3799999999992</v>
      </c>
      <c r="J47" s="1">
        <v>12219.38</v>
      </c>
      <c r="K47" s="1">
        <v>15024.99</v>
      </c>
      <c r="L47" s="1">
        <v>18402.91</v>
      </c>
    </row>
    <row r="48" spans="1:12" x14ac:dyDescent="0.15">
      <c r="A48" s="1" t="s">
        <v>58</v>
      </c>
      <c r="B48" s="1">
        <v>3074.52</v>
      </c>
      <c r="C48" s="1">
        <v>3334.08</v>
      </c>
      <c r="D48" s="1">
        <v>4718.7</v>
      </c>
      <c r="E48" s="1">
        <v>5273.66</v>
      </c>
      <c r="F48" s="1">
        <v>7123.37</v>
      </c>
      <c r="G48" s="1">
        <v>10114.67</v>
      </c>
      <c r="H48" s="1">
        <v>12734.3</v>
      </c>
      <c r="I48" s="1">
        <v>16651.060000000001</v>
      </c>
      <c r="J48" s="1">
        <v>19683.09</v>
      </c>
      <c r="K48" s="1">
        <v>24942.91</v>
      </c>
      <c r="L48" s="1">
        <v>29635.75</v>
      </c>
    </row>
    <row r="49" spans="1:12" x14ac:dyDescent="0.15">
      <c r="A49" s="1" t="s">
        <v>59</v>
      </c>
      <c r="B49" s="1"/>
      <c r="C49" s="1">
        <v>1490</v>
      </c>
      <c r="D49" s="1">
        <v>2690</v>
      </c>
      <c r="E49" s="1">
        <v>3740</v>
      </c>
      <c r="F49" s="1">
        <v>4200</v>
      </c>
      <c r="G49" s="1">
        <v>4760</v>
      </c>
      <c r="H49" s="1">
        <v>5930</v>
      </c>
      <c r="I49" s="1">
        <v>7230</v>
      </c>
      <c r="J49" s="1">
        <v>10485.92</v>
      </c>
      <c r="K49" s="1">
        <v>12865.47</v>
      </c>
      <c r="L49" s="1">
        <v>16668.11</v>
      </c>
    </row>
    <row r="50" spans="1:12" x14ac:dyDescent="0.15">
      <c r="A50" s="1" t="s">
        <v>60</v>
      </c>
      <c r="B50" s="1"/>
      <c r="C50" s="1"/>
      <c r="D50" s="1"/>
      <c r="E50" s="1"/>
      <c r="F50" s="1"/>
      <c r="G50" s="1"/>
      <c r="H50" s="1"/>
      <c r="I50" s="1"/>
      <c r="J50" s="1">
        <v>-0.62</v>
      </c>
      <c r="K50" s="1"/>
      <c r="L50" s="1"/>
    </row>
    <row r="51" spans="1:12" x14ac:dyDescent="0.15">
      <c r="A51" s="3" t="s">
        <v>61</v>
      </c>
      <c r="B51" s="1">
        <v>10317.969999999999</v>
      </c>
      <c r="C51" s="1">
        <v>12341.1</v>
      </c>
      <c r="D51" s="1">
        <v>14761.36</v>
      </c>
      <c r="E51" s="1">
        <v>18840.11</v>
      </c>
      <c r="F51" s="1">
        <v>21512.09</v>
      </c>
      <c r="G51" s="1">
        <v>29487.09</v>
      </c>
      <c r="H51" s="1">
        <v>35129.01</v>
      </c>
      <c r="I51" s="1">
        <v>41953.98</v>
      </c>
      <c r="J51" s="1">
        <v>55954.83</v>
      </c>
      <c r="K51" s="1">
        <v>73970.34</v>
      </c>
      <c r="L51" s="1">
        <v>92390.5</v>
      </c>
    </row>
    <row r="52" spans="1:12" x14ac:dyDescent="0.15">
      <c r="A52" s="1" t="s">
        <v>62</v>
      </c>
      <c r="B52" s="1"/>
      <c r="C52" s="1"/>
      <c r="D52" s="1"/>
      <c r="E52" s="1"/>
      <c r="F52" s="1"/>
      <c r="G52" s="1"/>
      <c r="H52" s="1">
        <v>147.41</v>
      </c>
      <c r="I52" s="1">
        <v>317.64</v>
      </c>
      <c r="J52" s="1">
        <v>365.15</v>
      </c>
      <c r="K52" s="1">
        <v>388.62</v>
      </c>
      <c r="L52" s="1">
        <v>443.9</v>
      </c>
    </row>
    <row r="53" spans="1:12" x14ac:dyDescent="0.15">
      <c r="A53" s="3" t="s">
        <v>63</v>
      </c>
      <c r="B53" s="1">
        <v>10317.969999999999</v>
      </c>
      <c r="C53" s="1">
        <v>12341.1</v>
      </c>
      <c r="D53" s="1">
        <v>14761.36</v>
      </c>
      <c r="E53" s="1">
        <v>18840.11</v>
      </c>
      <c r="F53" s="1">
        <v>21512.09</v>
      </c>
      <c r="G53" s="1">
        <v>29487.09</v>
      </c>
      <c r="H53" s="1">
        <v>35276.42</v>
      </c>
      <c r="I53" s="1">
        <v>42271.62</v>
      </c>
      <c r="J53" s="1">
        <v>56319.99</v>
      </c>
      <c r="K53" s="1">
        <v>74358.960000000006</v>
      </c>
      <c r="L53" s="1">
        <v>92834.4</v>
      </c>
    </row>
    <row r="54" spans="1:12" x14ac:dyDescent="0.15">
      <c r="A54" s="3" t="s">
        <v>64</v>
      </c>
      <c r="B54" s="1">
        <v>237662.66</v>
      </c>
      <c r="C54" s="1">
        <v>262902.62</v>
      </c>
      <c r="D54" s="1">
        <v>308986.01</v>
      </c>
      <c r="E54" s="1">
        <v>367735.97</v>
      </c>
      <c r="F54" s="1">
        <v>466038.95</v>
      </c>
      <c r="G54" s="1">
        <v>566775.19999999995</v>
      </c>
      <c r="H54" s="1">
        <v>655800.01</v>
      </c>
      <c r="I54" s="1">
        <v>816903.95</v>
      </c>
      <c r="J54" s="1">
        <v>977722.41</v>
      </c>
      <c r="K54" s="1">
        <v>1187452.2</v>
      </c>
      <c r="L54" s="1">
        <v>1449140.49</v>
      </c>
    </row>
    <row r="55" spans="1:12" x14ac:dyDescent="0.15">
      <c r="A55" s="1" t="s">
        <v>65</v>
      </c>
      <c r="B55" s="2" t="s">
        <v>66</v>
      </c>
      <c r="C55" s="2" t="s">
        <v>66</v>
      </c>
      <c r="D55" s="2" t="s">
        <v>66</v>
      </c>
      <c r="E55" s="2" t="s">
        <v>66</v>
      </c>
      <c r="F55" s="2" t="s">
        <v>66</v>
      </c>
      <c r="G55" s="2" t="s">
        <v>66</v>
      </c>
      <c r="H55" s="2" t="s">
        <v>66</v>
      </c>
      <c r="I55" s="2" t="s">
        <v>66</v>
      </c>
      <c r="J55" s="2" t="s">
        <v>66</v>
      </c>
      <c r="K55" s="2" t="s">
        <v>66</v>
      </c>
      <c r="L55" s="2" t="s">
        <v>66</v>
      </c>
    </row>
    <row r="56" spans="1:12" x14ac:dyDescent="0.15">
      <c r="A56" s="1" t="s">
        <v>67</v>
      </c>
      <c r="B56" s="2" t="s">
        <v>66</v>
      </c>
      <c r="C56" s="2" t="s">
        <v>66</v>
      </c>
      <c r="D56" s="2" t="s">
        <v>66</v>
      </c>
      <c r="E56" s="2" t="s">
        <v>66</v>
      </c>
      <c r="F56" s="2" t="s">
        <v>66</v>
      </c>
      <c r="G56" s="2" t="s">
        <v>66</v>
      </c>
      <c r="H56" s="2" t="s">
        <v>66</v>
      </c>
      <c r="I56" s="2" t="s">
        <v>66</v>
      </c>
      <c r="J56" s="2" t="s">
        <v>66</v>
      </c>
      <c r="K56" s="2" t="s">
        <v>66</v>
      </c>
      <c r="L56" s="2" t="s">
        <v>66</v>
      </c>
    </row>
    <row r="57" spans="1:12" x14ac:dyDescent="0.15">
      <c r="A57" s="1" t="s">
        <v>68</v>
      </c>
      <c r="B57" s="2" t="s">
        <v>69</v>
      </c>
      <c r="C57" s="2" t="s">
        <v>69</v>
      </c>
      <c r="D57" s="2" t="s">
        <v>69</v>
      </c>
      <c r="E57" s="2" t="s">
        <v>69</v>
      </c>
      <c r="F57" s="2" t="s">
        <v>69</v>
      </c>
      <c r="G57" s="2" t="s">
        <v>69</v>
      </c>
      <c r="H57" s="2" t="s">
        <v>69</v>
      </c>
      <c r="I57" s="2" t="s">
        <v>69</v>
      </c>
      <c r="J57" s="2" t="s">
        <v>69</v>
      </c>
      <c r="K57" s="2" t="s">
        <v>69</v>
      </c>
      <c r="L57" s="2" t="s">
        <v>69</v>
      </c>
    </row>
    <row r="58" spans="1:12" x14ac:dyDescent="0.15">
      <c r="A58" s="1" t="s">
        <v>70</v>
      </c>
      <c r="B58" s="2" t="s">
        <v>71</v>
      </c>
      <c r="C58" s="2" t="s">
        <v>71</v>
      </c>
      <c r="D58" s="2" t="s">
        <v>71</v>
      </c>
      <c r="E58" s="2" t="s">
        <v>71</v>
      </c>
      <c r="F58" s="2" t="s">
        <v>71</v>
      </c>
      <c r="G58" s="2" t="s">
        <v>71</v>
      </c>
      <c r="H58" s="2" t="s">
        <v>71</v>
      </c>
      <c r="I58" s="2" t="s">
        <v>71</v>
      </c>
      <c r="J58" s="2" t="s">
        <v>71</v>
      </c>
      <c r="K58" s="2" t="s">
        <v>71</v>
      </c>
      <c r="L58" s="2" t="s">
        <v>71</v>
      </c>
    </row>
    <row r="59" spans="1:12" x14ac:dyDescent="0.15">
      <c r="A59" s="1" t="s">
        <v>72</v>
      </c>
      <c r="B59" s="2" t="s">
        <v>16</v>
      </c>
      <c r="C59" s="2" t="s">
        <v>73</v>
      </c>
      <c r="D59" s="2" t="s">
        <v>73</v>
      </c>
      <c r="E59" s="2" t="s">
        <v>73</v>
      </c>
      <c r="F59" s="2" t="s">
        <v>73</v>
      </c>
      <c r="G59" s="2" t="s">
        <v>73</v>
      </c>
      <c r="H59" s="2" t="s">
        <v>73</v>
      </c>
      <c r="I59" s="2" t="s">
        <v>73</v>
      </c>
      <c r="J59" s="2" t="s">
        <v>73</v>
      </c>
      <c r="K59" s="2" t="s">
        <v>73</v>
      </c>
      <c r="L59" s="2" t="s">
        <v>73</v>
      </c>
    </row>
    <row r="60" spans="1:12" x14ac:dyDescent="0.15">
      <c r="A60" s="1" t="s">
        <v>74</v>
      </c>
      <c r="B60" s="1" t="s">
        <v>75</v>
      </c>
      <c r="C60" s="1" t="s">
        <v>75</v>
      </c>
      <c r="D60" s="1" t="s">
        <v>75</v>
      </c>
      <c r="E60" s="1" t="s">
        <v>75</v>
      </c>
      <c r="F60" s="1" t="s">
        <v>75</v>
      </c>
      <c r="G60" s="1" t="s">
        <v>75</v>
      </c>
      <c r="H60" s="1" t="s">
        <v>75</v>
      </c>
      <c r="I60" s="1" t="s">
        <v>75</v>
      </c>
      <c r="J60" s="1" t="s">
        <v>75</v>
      </c>
      <c r="K60" s="1" t="s">
        <v>75</v>
      </c>
      <c r="L60" s="1" t="s">
        <v>75</v>
      </c>
    </row>
    <row r="61" spans="1:12" x14ac:dyDescent="0.15">
      <c r="A61" s="1" t="s">
        <v>76</v>
      </c>
      <c r="B61" s="2" t="s">
        <v>77</v>
      </c>
      <c r="C61" s="2" t="s">
        <v>77</v>
      </c>
      <c r="D61" s="2" t="s">
        <v>78</v>
      </c>
      <c r="E61" s="2" t="s">
        <v>79</v>
      </c>
      <c r="F61" s="2" t="s">
        <v>80</v>
      </c>
      <c r="G61" s="2" t="s">
        <v>81</v>
      </c>
      <c r="H61" s="2" t="s">
        <v>82</v>
      </c>
      <c r="I61" s="2" t="s">
        <v>83</v>
      </c>
      <c r="J61" s="2" t="s">
        <v>83</v>
      </c>
      <c r="K61" s="2" t="s">
        <v>83</v>
      </c>
      <c r="L61" s="2" t="s">
        <v>84</v>
      </c>
    </row>
    <row r="62" spans="1:12" x14ac:dyDescent="0.15">
      <c r="A62" s="1" t="s">
        <v>85</v>
      </c>
      <c r="B62" s="2" t="s">
        <v>86</v>
      </c>
      <c r="C62" s="2" t="s">
        <v>86</v>
      </c>
      <c r="D62" s="2" t="s">
        <v>86</v>
      </c>
      <c r="E62" s="2" t="s">
        <v>86</v>
      </c>
      <c r="F62" s="2" t="s">
        <v>86</v>
      </c>
      <c r="G62" s="2" t="s">
        <v>86</v>
      </c>
      <c r="H62" s="2" t="s">
        <v>86</v>
      </c>
      <c r="I62" s="2" t="s">
        <v>86</v>
      </c>
      <c r="J62" s="2" t="s">
        <v>86</v>
      </c>
      <c r="K62" s="2" t="s">
        <v>86</v>
      </c>
      <c r="L62" s="2" t="s">
        <v>86</v>
      </c>
    </row>
    <row r="66" spans="1:1" x14ac:dyDescent="0.15">
      <c r="A66" t="s">
        <v>87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A14613.SH-资产负债表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2016-05-29T12:46:40Z</dcterms:created>
  <dcterms:modified xsi:type="dcterms:W3CDTF">2016-05-29T12:51:55Z</dcterms:modified>
</cp:coreProperties>
</file>