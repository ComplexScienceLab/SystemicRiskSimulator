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077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7" i="2" l="1"/>
  <c r="J27" i="2"/>
  <c r="K27" i="2"/>
  <c r="E27" i="2"/>
  <c r="F27" i="2"/>
  <c r="G27" i="2"/>
  <c r="H27" i="2"/>
  <c r="D27" i="2"/>
  <c r="E11" i="2"/>
  <c r="F11" i="2"/>
  <c r="G11" i="2"/>
  <c r="H11" i="2"/>
  <c r="I11" i="2"/>
  <c r="J11" i="2"/>
  <c r="K11" i="2"/>
  <c r="D11" i="2"/>
</calcChain>
</file>

<file path=xl/sharedStrings.xml><?xml version="1.0" encoding="utf-8"?>
<sst xmlns="http://schemas.openxmlformats.org/spreadsheetml/2006/main" count="192" uniqueCount="81">
  <si>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</si>
  <si>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</si>
  <si>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</si>
  <si>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</si>
  <si>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</si>
  <si>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</si>
  <si>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</si>
  <si>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</si>
  <si>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</si>
  <si>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</si>
  <si>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</si>
  <si>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</si>
  <si>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</si>
  <si>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</si>
  <si>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</si>
  <si>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</si>
  <si>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</si>
  <si>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</si>
  <si>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</si>
  <si>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</si>
  <si>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</si>
  <si>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</si>
  <si>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</si>
  <si>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</si>
  <si>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</si>
  <si>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固定资产</t>
  </si>
  <si>
    <t>　　无形资产</t>
  </si>
  <si>
    <t>　　递延所得税资产</t>
  </si>
  <si>
    <t>　　投资性房地产</t>
  </si>
  <si>
    <t>　　其他资产</t>
  </si>
  <si>
    <t>资产差额(特殊报表科目)</t>
  </si>
  <si>
    <t>资产总计</t>
  </si>
  <si>
    <t>负债：</t>
  </si>
  <si>
    <t>　　同业和其它金融机构存放款项</t>
  </si>
  <si>
    <t>　　向中央银行借款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</si>
  <si>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</si>
  <si>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</si>
  <si>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</si>
  <si>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</si>
  <si>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</si>
  <si>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</si>
  <si>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</si>
  <si>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其他负债</t>
  </si>
  <si>
    <t>　　负债差额(特殊报表科目)</t>
  </si>
  <si>
    <t>　　负债差额(合计平衡项目)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</si>
  <si>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</si>
  <si>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</si>
  <si>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</si>
  <si>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</si>
  <si>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</si>
  <si>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</si>
  <si>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</si>
  <si>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</si>
  <si>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</si>
  <si>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</si>
  <si>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</si>
  <si>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</si>
  <si>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</si>
  <si>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</si>
  <si>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</si>
  <si>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</si>
  <si>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</si>
  <si>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</si>
  <si>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</si>
  <si>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</si>
  <si>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</si>
  <si>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</si>
  <si>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</si>
  <si>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</si>
  <si>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2008-05-22</t>
  </si>
  <si>
    <t>2009-05-20</t>
  </si>
  <si>
    <t>2010-05-08</t>
  </si>
  <si>
    <t>2011-04-27</t>
  </si>
  <si>
    <t>2012-04-25</t>
  </si>
  <si>
    <t>2013-04-25</t>
  </si>
  <si>
    <t>2014-04-26</t>
  </si>
  <si>
    <t>2015-04-08</t>
  </si>
  <si>
    <t>2016-05-21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</si>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</sst>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7" fontId="0" fillId="0" borderId="0" xfId="0" applyNumberFormat="1">
      <alignment vertical="center"/>
    </xf>
    <xf numFmtId="177" fontId="0" fillId="0" borderId="0" xfId="0" quotePrefix="1" applyNumberFormat="1">
      <alignment vertical="center"/>
    </xf>
    <xf numFmtId="177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tabSelected="1" topLeftCell="B28" workbookViewId="0">
      <selection activeCell="K46" sqref="K46"/>
    </sheetView>
  </sheetViews>
  <sheetFormatPr defaultRowHeight="13.5" x14ac:dyDescent="0.15"/>
  <cols>
    <col min="1" max="1" width="34.125" style="1" bestFit="1" customWidth="1"/>
    <col min="2" max="2" width="11.625" style="1" bestFit="1" customWidth="1"/>
    <col min="3" max="11" width="15.125" style="1" bestFit="1" customWidth="1"/>
    <col min="12" max="16384" width="9" style="1"/>
  </cols>
  <sheetData>
    <row r="1" spans="1:11" x14ac:dyDescent="0.1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15">
      <c r="A2" s="1" t="s">
        <v>10</v>
      </c>
      <c r="B2" s="2" t="s">
        <v>11</v>
      </c>
      <c r="C2" s="2" t="s">
        <v>11</v>
      </c>
      <c r="D2" s="2" t="s">
        <v>11</v>
      </c>
      <c r="E2" s="2" t="s">
        <v>11</v>
      </c>
      <c r="F2" s="2" t="s">
        <v>11</v>
      </c>
      <c r="G2" s="2" t="s">
        <v>11</v>
      </c>
      <c r="H2" s="2" t="s">
        <v>11</v>
      </c>
      <c r="I2" s="2" t="s">
        <v>11</v>
      </c>
      <c r="J2" s="2" t="s">
        <v>11</v>
      </c>
      <c r="K2" s="2" t="s">
        <v>11</v>
      </c>
    </row>
    <row r="3" spans="1:11" x14ac:dyDescent="0.15">
      <c r="A3" s="1" t="s">
        <v>12</v>
      </c>
      <c r="B3" s="2" t="s">
        <v>13</v>
      </c>
      <c r="C3" s="2" t="s">
        <v>13</v>
      </c>
      <c r="D3" s="2" t="s">
        <v>13</v>
      </c>
      <c r="E3" s="2" t="s">
        <v>13</v>
      </c>
      <c r="F3" s="2" t="s">
        <v>13</v>
      </c>
      <c r="G3" s="2" t="s">
        <v>13</v>
      </c>
      <c r="H3" s="2" t="s">
        <v>13</v>
      </c>
      <c r="I3" s="2" t="s">
        <v>13</v>
      </c>
      <c r="J3" s="2" t="s">
        <v>13</v>
      </c>
      <c r="K3" s="2" t="s">
        <v>13</v>
      </c>
    </row>
    <row r="4" spans="1:11" x14ac:dyDescent="0.15">
      <c r="A4" s="3" t="s">
        <v>14</v>
      </c>
      <c r="B4" s="2" t="s">
        <v>15</v>
      </c>
      <c r="C4" s="2" t="s">
        <v>15</v>
      </c>
      <c r="D4" s="2" t="s">
        <v>15</v>
      </c>
      <c r="E4" s="2" t="s">
        <v>15</v>
      </c>
      <c r="F4" s="2" t="s">
        <v>15</v>
      </c>
      <c r="G4" s="2" t="s">
        <v>15</v>
      </c>
      <c r="H4" s="2" t="s">
        <v>15</v>
      </c>
      <c r="I4" s="2" t="s">
        <v>15</v>
      </c>
      <c r="J4" s="2" t="s">
        <v>15</v>
      </c>
      <c r="K4" s="2" t="s">
        <v>15</v>
      </c>
    </row>
    <row r="5" spans="1:11" x14ac:dyDescent="0.15">
      <c r="A5" s="1" t="s">
        <v>16</v>
      </c>
      <c r="B5" s="1">
        <v>399.23</v>
      </c>
      <c r="C5" s="1">
        <v>1699.95</v>
      </c>
      <c r="D5" s="1">
        <v>2448.4499999999998</v>
      </c>
      <c r="E5" s="1">
        <v>2180.8000000000002</v>
      </c>
      <c r="F5" s="1">
        <v>3157.03</v>
      </c>
      <c r="G5" s="1">
        <v>4934.84</v>
      </c>
      <c r="H5" s="1">
        <v>6655.11</v>
      </c>
      <c r="I5" s="1">
        <v>8020.73</v>
      </c>
      <c r="J5" s="1">
        <v>10343.719999999999</v>
      </c>
      <c r="K5" s="1">
        <v>11242.89</v>
      </c>
    </row>
    <row r="6" spans="1:11" x14ac:dyDescent="0.15">
      <c r="A6" s="1" t="s">
        <v>17</v>
      </c>
      <c r="B6" s="1">
        <v>1012.01</v>
      </c>
      <c r="C6" s="1">
        <v>961.6</v>
      </c>
      <c r="D6" s="1">
        <v>498.25</v>
      </c>
      <c r="E6" s="1">
        <v>2485.85</v>
      </c>
      <c r="F6" s="1">
        <v>1906.28</v>
      </c>
      <c r="G6" s="1">
        <v>66.8</v>
      </c>
      <c r="H6" s="1">
        <v>1117.69</v>
      </c>
      <c r="I6" s="1">
        <v>315.02</v>
      </c>
      <c r="J6" s="1">
        <v>279.82</v>
      </c>
      <c r="K6" s="1">
        <v>907.08</v>
      </c>
    </row>
    <row r="7" spans="1:11" x14ac:dyDescent="0.15">
      <c r="A7" s="1" t="s">
        <v>18</v>
      </c>
      <c r="D7" s="1">
        <v>29</v>
      </c>
      <c r="F7" s="1">
        <v>25.49</v>
      </c>
      <c r="G7" s="1">
        <v>25.49</v>
      </c>
      <c r="H7" s="1">
        <v>25.49</v>
      </c>
      <c r="I7" s="1">
        <v>25.49</v>
      </c>
      <c r="J7" s="1">
        <v>25.49</v>
      </c>
      <c r="K7" s="1">
        <v>25.49</v>
      </c>
    </row>
    <row r="8" spans="1:11" x14ac:dyDescent="0.15">
      <c r="A8" s="1" t="s">
        <v>19</v>
      </c>
      <c r="C8" s="1">
        <v>303</v>
      </c>
      <c r="D8" s="1">
        <v>150</v>
      </c>
      <c r="F8" s="1">
        <v>887.27</v>
      </c>
      <c r="G8" s="1">
        <v>2714.56</v>
      </c>
      <c r="H8" s="1">
        <v>455.92</v>
      </c>
      <c r="I8" s="1">
        <v>3286.41</v>
      </c>
      <c r="J8" s="1">
        <v>4047</v>
      </c>
      <c r="K8" s="1">
        <v>7564</v>
      </c>
    </row>
    <row r="9" spans="1:11" x14ac:dyDescent="0.15">
      <c r="A9" s="1" t="s">
        <v>20</v>
      </c>
      <c r="B9" s="1">
        <v>0.14000000000000001</v>
      </c>
      <c r="C9" s="1">
        <v>2.69</v>
      </c>
      <c r="D9" s="1">
        <v>20.309999999999999</v>
      </c>
      <c r="E9" s="1">
        <v>45.36</v>
      </c>
      <c r="F9" s="1">
        <v>86.52</v>
      </c>
      <c r="G9" s="1">
        <v>122.85</v>
      </c>
      <c r="H9" s="1">
        <v>152.22</v>
      </c>
      <c r="I9" s="1">
        <v>175.2</v>
      </c>
      <c r="J9" s="1">
        <v>204.09</v>
      </c>
      <c r="K9" s="1">
        <v>233.2</v>
      </c>
    </row>
    <row r="10" spans="1:11" x14ac:dyDescent="0.15">
      <c r="A10" s="1" t="s">
        <v>21</v>
      </c>
      <c r="D10" s="1">
        <v>4067.04</v>
      </c>
      <c r="E10" s="1">
        <v>5410.08</v>
      </c>
      <c r="F10" s="1">
        <v>6773.63</v>
      </c>
      <c r="G10" s="1">
        <v>8767.19</v>
      </c>
      <c r="H10" s="1">
        <v>11801.58</v>
      </c>
      <c r="I10" s="1">
        <v>15265.35</v>
      </c>
      <c r="J10" s="1">
        <v>21173.87</v>
      </c>
      <c r="K10" s="1">
        <v>27206.91</v>
      </c>
    </row>
    <row r="11" spans="1:11" x14ac:dyDescent="0.15">
      <c r="D11" s="1">
        <f>D9+D10</f>
        <v>4087.35</v>
      </c>
      <c r="E11" s="1">
        <f t="shared" ref="E11:K11" si="0">E9+E10</f>
        <v>5455.44</v>
      </c>
      <c r="F11" s="1">
        <f t="shared" si="0"/>
        <v>6860.1500000000005</v>
      </c>
      <c r="G11" s="1">
        <f t="shared" si="0"/>
        <v>8890.0400000000009</v>
      </c>
      <c r="H11" s="1">
        <f t="shared" si="0"/>
        <v>11953.8</v>
      </c>
      <c r="I11" s="1">
        <f t="shared" si="0"/>
        <v>15440.550000000001</v>
      </c>
      <c r="J11" s="1">
        <f t="shared" si="0"/>
        <v>21377.96</v>
      </c>
      <c r="K11" s="1">
        <f t="shared" si="0"/>
        <v>27440.11</v>
      </c>
    </row>
    <row r="12" spans="1:11" x14ac:dyDescent="0.15">
      <c r="A12" s="1" t="s">
        <v>22</v>
      </c>
      <c r="K12" s="1">
        <v>7653.14</v>
      </c>
    </row>
    <row r="13" spans="1:11" x14ac:dyDescent="0.15">
      <c r="A13" s="1" t="s">
        <v>23</v>
      </c>
      <c r="D13" s="1">
        <v>920.11</v>
      </c>
      <c r="E13" s="1">
        <v>1731.32</v>
      </c>
      <c r="F13" s="1">
        <v>3409.98</v>
      </c>
      <c r="G13" s="1">
        <v>4176.8599999999997</v>
      </c>
      <c r="H13" s="1">
        <v>4452.2700000000004</v>
      </c>
      <c r="I13" s="1">
        <v>5520.25</v>
      </c>
      <c r="J13" s="1">
        <v>6721.27</v>
      </c>
      <c r="K13" s="1">
        <v>8497.59</v>
      </c>
    </row>
    <row r="14" spans="1:11" x14ac:dyDescent="0.15">
      <c r="A14" s="1" t="s">
        <v>24</v>
      </c>
      <c r="C14" s="1">
        <v>319.66000000000003</v>
      </c>
      <c r="F14" s="1">
        <v>13</v>
      </c>
      <c r="G14" s="1">
        <v>13</v>
      </c>
      <c r="H14" s="1">
        <v>24.4</v>
      </c>
      <c r="I14" s="1">
        <v>31.4</v>
      </c>
    </row>
    <row r="15" spans="1:11" x14ac:dyDescent="0.15">
      <c r="A15" s="1" t="s">
        <v>25</v>
      </c>
      <c r="B15" s="1">
        <v>34.89</v>
      </c>
      <c r="C15" s="1">
        <v>43.81</v>
      </c>
      <c r="D15" s="1">
        <v>44.27</v>
      </c>
      <c r="E15" s="1">
        <v>47.07</v>
      </c>
      <c r="F15" s="1">
        <v>130.15</v>
      </c>
      <c r="G15" s="1">
        <v>151.44</v>
      </c>
      <c r="H15" s="1">
        <v>189.44</v>
      </c>
      <c r="I15" s="1">
        <v>432.77</v>
      </c>
      <c r="J15" s="1">
        <v>566.03</v>
      </c>
      <c r="K15" s="1">
        <v>832.41</v>
      </c>
    </row>
    <row r="16" spans="1:11" x14ac:dyDescent="0.15">
      <c r="A16" s="1" t="s">
        <v>26</v>
      </c>
      <c r="B16" s="1">
        <v>1.52</v>
      </c>
      <c r="C16" s="1">
        <v>1.21</v>
      </c>
      <c r="D16" s="1">
        <v>1.82</v>
      </c>
      <c r="E16" s="1">
        <v>1.31</v>
      </c>
      <c r="F16" s="1">
        <v>7.33</v>
      </c>
      <c r="G16" s="1">
        <v>6.89</v>
      </c>
      <c r="H16" s="1">
        <v>5.74</v>
      </c>
      <c r="I16" s="1">
        <v>5.89</v>
      </c>
      <c r="J16" s="1">
        <v>13.06</v>
      </c>
      <c r="K16" s="1">
        <v>22</v>
      </c>
    </row>
    <row r="17" spans="1:11" x14ac:dyDescent="0.15">
      <c r="A17" s="1" t="s">
        <v>27</v>
      </c>
      <c r="K17" s="1">
        <v>118.98</v>
      </c>
    </row>
    <row r="18" spans="1:11" x14ac:dyDescent="0.15">
      <c r="A18" s="1" t="s">
        <v>28</v>
      </c>
      <c r="K18" s="1">
        <v>0.08</v>
      </c>
    </row>
    <row r="19" spans="1:11" x14ac:dyDescent="0.15">
      <c r="A19" s="1" t="s">
        <v>29</v>
      </c>
      <c r="F19" s="1">
        <v>6.26</v>
      </c>
      <c r="G19" s="1">
        <v>10.82</v>
      </c>
      <c r="H19" s="1">
        <v>8.85</v>
      </c>
      <c r="I19" s="1">
        <v>15.14</v>
      </c>
      <c r="K19" s="1">
        <v>147.84</v>
      </c>
    </row>
    <row r="20" spans="1:11" x14ac:dyDescent="0.15">
      <c r="A20" s="1" t="s">
        <v>30</v>
      </c>
      <c r="D20" s="1">
        <v>93.58</v>
      </c>
      <c r="E20" s="1">
        <v>168.21</v>
      </c>
      <c r="F20" s="1">
        <v>189.26</v>
      </c>
      <c r="G20" s="1">
        <v>222.58</v>
      </c>
      <c r="H20" s="1">
        <v>231.04</v>
      </c>
      <c r="I20" s="1">
        <v>115.32</v>
      </c>
      <c r="J20" s="1">
        <v>570.20000000000005</v>
      </c>
    </row>
    <row r="21" spans="1:11" x14ac:dyDescent="0.15">
      <c r="A21" s="3" t="s">
        <v>31</v>
      </c>
      <c r="B21" s="1">
        <v>3198.2</v>
      </c>
      <c r="C21" s="1">
        <v>6012.78</v>
      </c>
      <c r="D21" s="1">
        <v>8272.83</v>
      </c>
      <c r="E21" s="1">
        <v>12070</v>
      </c>
      <c r="F21" s="1">
        <v>16592.189999999999</v>
      </c>
      <c r="G21" s="1">
        <v>21213.3</v>
      </c>
      <c r="H21" s="1">
        <v>25119.74</v>
      </c>
      <c r="I21" s="1">
        <v>33208.97</v>
      </c>
      <c r="J21" s="1">
        <v>43944.55</v>
      </c>
      <c r="K21" s="1">
        <v>64451.59</v>
      </c>
    </row>
    <row r="22" spans="1:11" x14ac:dyDescent="0.15">
      <c r="A22" s="3" t="s">
        <v>32</v>
      </c>
      <c r="B22" s="2" t="s">
        <v>15</v>
      </c>
      <c r="C22" s="2" t="s">
        <v>15</v>
      </c>
      <c r="D22" s="2" t="s">
        <v>15</v>
      </c>
      <c r="E22" s="2" t="s">
        <v>15</v>
      </c>
      <c r="F22" s="2" t="s">
        <v>15</v>
      </c>
      <c r="G22" s="2" t="s">
        <v>15</v>
      </c>
      <c r="H22" s="2" t="s">
        <v>15</v>
      </c>
      <c r="I22" s="2" t="s">
        <v>15</v>
      </c>
      <c r="J22" s="2" t="s">
        <v>15</v>
      </c>
      <c r="K22" s="2" t="s">
        <v>15</v>
      </c>
    </row>
    <row r="23" spans="1:11" x14ac:dyDescent="0.15">
      <c r="A23" s="1" t="s">
        <v>33</v>
      </c>
      <c r="B23" s="1">
        <v>4.1500000000000004</v>
      </c>
      <c r="C23" s="1">
        <v>7.23</v>
      </c>
      <c r="D23" s="1">
        <v>97.84</v>
      </c>
      <c r="E23" s="1">
        <v>590.38</v>
      </c>
      <c r="F23" s="1">
        <v>624.83000000000004</v>
      </c>
      <c r="G23" s="1">
        <v>47.07</v>
      </c>
      <c r="H23" s="1">
        <v>125.83</v>
      </c>
      <c r="I23" s="1">
        <v>33.78</v>
      </c>
      <c r="J23" s="1">
        <v>170.76</v>
      </c>
      <c r="K23" s="1">
        <v>2581.91</v>
      </c>
    </row>
    <row r="24" spans="1:11" x14ac:dyDescent="0.15">
      <c r="A24" s="1" t="s">
        <v>34</v>
      </c>
      <c r="B24" s="1">
        <v>29</v>
      </c>
      <c r="C24" s="1">
        <v>29</v>
      </c>
      <c r="D24" s="1">
        <v>29</v>
      </c>
      <c r="E24" s="1">
        <v>25.49</v>
      </c>
      <c r="F24" s="1">
        <v>25.49</v>
      </c>
      <c r="G24" s="1">
        <v>25.49</v>
      </c>
      <c r="H24" s="1">
        <v>25.49</v>
      </c>
      <c r="I24" s="1">
        <v>25.49</v>
      </c>
      <c r="J24" s="1">
        <v>125.49</v>
      </c>
      <c r="K24" s="1">
        <v>25.49</v>
      </c>
    </row>
    <row r="25" spans="1:11" x14ac:dyDescent="0.15">
      <c r="A25" s="1" t="s">
        <v>35</v>
      </c>
      <c r="G25" s="1">
        <v>1235</v>
      </c>
      <c r="H25" s="1">
        <v>850</v>
      </c>
      <c r="K25" s="1">
        <v>3846.5</v>
      </c>
    </row>
    <row r="26" spans="1:11" x14ac:dyDescent="0.15">
      <c r="A26" s="1" t="s">
        <v>36</v>
      </c>
      <c r="D26" s="1">
        <v>7363.69</v>
      </c>
      <c r="E26" s="1">
        <v>10493.87</v>
      </c>
      <c r="F26" s="1">
        <v>14627.93</v>
      </c>
      <c r="G26" s="1">
        <v>17832.72</v>
      </c>
      <c r="H26" s="1">
        <v>21842.03</v>
      </c>
      <c r="I26" s="1">
        <v>30281.67</v>
      </c>
      <c r="J26" s="1">
        <v>40043.68</v>
      </c>
      <c r="K26" s="1">
        <v>52240.959999999999</v>
      </c>
    </row>
    <row r="27" spans="1:11" x14ac:dyDescent="0.15">
      <c r="D27" s="1">
        <f>SUM(D23:D26)</f>
        <v>7490.53</v>
      </c>
      <c r="E27" s="1">
        <f t="shared" ref="E27:H27" si="1">SUM(E23:E26)</f>
        <v>11109.740000000002</v>
      </c>
      <c r="F27" s="1">
        <f t="shared" si="1"/>
        <v>15278.25</v>
      </c>
      <c r="G27" s="1">
        <f t="shared" si="1"/>
        <v>19140.280000000002</v>
      </c>
      <c r="H27" s="1">
        <f t="shared" si="1"/>
        <v>22843.35</v>
      </c>
      <c r="I27" s="1">
        <f t="shared" ref="I27" si="2">SUM(I23:I26)</f>
        <v>30340.94</v>
      </c>
      <c r="J27" s="1">
        <f t="shared" ref="J27" si="3">SUM(J23:J26)</f>
        <v>40339.93</v>
      </c>
      <c r="K27" s="1">
        <f t="shared" ref="K27" si="4">SUM(K23:K26)</f>
        <v>58694.86</v>
      </c>
    </row>
    <row r="28" spans="1:11" x14ac:dyDescent="0.15">
      <c r="A28" s="1" t="s">
        <v>37</v>
      </c>
      <c r="B28" s="1">
        <v>1.33</v>
      </c>
      <c r="C28" s="1">
        <v>1.53</v>
      </c>
      <c r="E28" s="1">
        <v>14.52</v>
      </c>
      <c r="F28" s="1">
        <v>31.53</v>
      </c>
      <c r="G28" s="1">
        <v>44.19</v>
      </c>
      <c r="H28" s="1">
        <v>15.85</v>
      </c>
      <c r="I28" s="1">
        <v>24.27</v>
      </c>
      <c r="J28" s="1">
        <v>38.479999999999997</v>
      </c>
      <c r="K28" s="1">
        <v>56.67</v>
      </c>
    </row>
    <row r="29" spans="1:11" x14ac:dyDescent="0.15">
      <c r="A29" s="1" t="s">
        <v>38</v>
      </c>
      <c r="B29" s="1">
        <v>11.04</v>
      </c>
      <c r="C29" s="1">
        <v>20.14</v>
      </c>
      <c r="D29" s="1">
        <v>47.97</v>
      </c>
      <c r="E29" s="1">
        <v>11.02</v>
      </c>
      <c r="F29" s="1">
        <v>46.3</v>
      </c>
      <c r="G29" s="1">
        <v>56.68</v>
      </c>
      <c r="H29" s="1">
        <v>49.26</v>
      </c>
      <c r="I29" s="1">
        <v>69.2</v>
      </c>
      <c r="J29" s="1">
        <v>53.95</v>
      </c>
      <c r="K29" s="1">
        <v>70.33</v>
      </c>
    </row>
    <row r="30" spans="1:11" x14ac:dyDescent="0.15">
      <c r="A30" s="1" t="s">
        <v>39</v>
      </c>
      <c r="B30" s="1">
        <v>10.57</v>
      </c>
      <c r="C30" s="1">
        <v>17.440000000000001</v>
      </c>
      <c r="D30" s="1">
        <v>42.19</v>
      </c>
      <c r="E30" s="1">
        <v>34.75</v>
      </c>
      <c r="F30" s="1">
        <v>57.81</v>
      </c>
      <c r="G30" s="1">
        <v>114.15</v>
      </c>
      <c r="H30" s="1">
        <v>194.29</v>
      </c>
      <c r="I30" s="1">
        <v>339.52</v>
      </c>
      <c r="J30" s="1">
        <v>428.35</v>
      </c>
      <c r="K30" s="1">
        <v>717.94</v>
      </c>
    </row>
    <row r="31" spans="1:11" x14ac:dyDescent="0.15">
      <c r="A31" s="1" t="s">
        <v>40</v>
      </c>
      <c r="K31" s="1">
        <v>993.05</v>
      </c>
    </row>
    <row r="32" spans="1:11" x14ac:dyDescent="0.15">
      <c r="A32" s="1" t="s">
        <v>41</v>
      </c>
      <c r="K32" s="1">
        <v>12.52</v>
      </c>
    </row>
    <row r="33" spans="1:11" x14ac:dyDescent="0.15">
      <c r="A33" s="1" t="s">
        <v>42</v>
      </c>
      <c r="F33" s="1">
        <v>0.53</v>
      </c>
      <c r="G33" s="1">
        <v>0</v>
      </c>
      <c r="H33" s="1">
        <v>0.01</v>
      </c>
      <c r="I33" s="1">
        <v>0</v>
      </c>
      <c r="J33" s="1">
        <v>0</v>
      </c>
      <c r="K33" s="1">
        <v>59.82</v>
      </c>
    </row>
    <row r="34" spans="1:11" x14ac:dyDescent="0.15">
      <c r="A34" s="1" t="s">
        <v>43</v>
      </c>
      <c r="D34" s="1">
        <v>31.39</v>
      </c>
      <c r="E34" s="1">
        <v>72.69</v>
      </c>
      <c r="F34" s="1">
        <v>91.43</v>
      </c>
      <c r="G34" s="1">
        <v>87.41</v>
      </c>
      <c r="H34" s="1">
        <v>74.64</v>
      </c>
      <c r="I34" s="1">
        <v>48.45</v>
      </c>
      <c r="J34" s="1">
        <v>50.46</v>
      </c>
    </row>
    <row r="35" spans="1:11" x14ac:dyDescent="0.15">
      <c r="A35" s="1" t="s">
        <v>44</v>
      </c>
      <c r="D35" s="1">
        <v>1.49</v>
      </c>
      <c r="G35" s="1">
        <v>338.5</v>
      </c>
    </row>
    <row r="36" spans="1:11" x14ac:dyDescent="0.15">
      <c r="A36" s="3" t="s">
        <v>45</v>
      </c>
      <c r="B36" s="1">
        <v>3038.59</v>
      </c>
      <c r="C36" s="1">
        <v>5788.83</v>
      </c>
      <c r="D36" s="1">
        <v>7613.57</v>
      </c>
      <c r="E36" s="1">
        <v>11242.71</v>
      </c>
      <c r="F36" s="1">
        <v>15505.84</v>
      </c>
      <c r="G36" s="1">
        <v>19781.21</v>
      </c>
      <c r="H36" s="1">
        <v>23177.39</v>
      </c>
      <c r="I36" s="1">
        <v>30822.37</v>
      </c>
      <c r="J36" s="1">
        <v>40911.160000000003</v>
      </c>
      <c r="K36" s="1">
        <v>60605.17</v>
      </c>
    </row>
    <row r="37" spans="1:11" x14ac:dyDescent="0.15">
      <c r="A37" s="3" t="s">
        <v>46</v>
      </c>
      <c r="B37" s="2" t="s">
        <v>15</v>
      </c>
      <c r="C37" s="2" t="s">
        <v>15</v>
      </c>
      <c r="D37" s="2" t="s">
        <v>15</v>
      </c>
      <c r="E37" s="2" t="s">
        <v>15</v>
      </c>
      <c r="F37" s="2" t="s">
        <v>15</v>
      </c>
      <c r="G37" s="2" t="s">
        <v>15</v>
      </c>
      <c r="H37" s="2" t="s">
        <v>15</v>
      </c>
      <c r="I37" s="2" t="s">
        <v>15</v>
      </c>
      <c r="J37" s="2" t="s">
        <v>15</v>
      </c>
      <c r="K37" s="2" t="s">
        <v>15</v>
      </c>
    </row>
    <row r="38" spans="1:11" x14ac:dyDescent="0.15">
      <c r="A38" s="1" t="s">
        <v>47</v>
      </c>
      <c r="B38" s="1">
        <v>133.81</v>
      </c>
      <c r="C38" s="1">
        <v>133.81</v>
      </c>
      <c r="D38" s="1">
        <v>443.1</v>
      </c>
      <c r="E38" s="1">
        <v>443.1</v>
      </c>
      <c r="F38" s="1">
        <v>679.45</v>
      </c>
      <c r="G38" s="1">
        <v>679.45</v>
      </c>
      <c r="H38" s="1">
        <v>1290.96</v>
      </c>
      <c r="I38" s="1">
        <v>1613.7</v>
      </c>
      <c r="J38" s="1">
        <v>1968.71</v>
      </c>
      <c r="K38" s="1">
        <v>2382.14</v>
      </c>
    </row>
    <row r="39" spans="1:11" x14ac:dyDescent="0.15">
      <c r="A39" s="1" t="s">
        <v>48</v>
      </c>
      <c r="B39" s="1">
        <v>0.76</v>
      </c>
      <c r="C39" s="1">
        <v>1.22</v>
      </c>
      <c r="D39" s="1">
        <v>1.67</v>
      </c>
      <c r="E39" s="1">
        <v>1.67</v>
      </c>
      <c r="F39" s="1">
        <v>1.67</v>
      </c>
      <c r="G39" s="1">
        <v>1.67</v>
      </c>
      <c r="H39" s="1">
        <v>1.67</v>
      </c>
      <c r="I39" s="1">
        <v>1.67</v>
      </c>
      <c r="J39" s="1">
        <v>1.67</v>
      </c>
    </row>
    <row r="40" spans="1:11" x14ac:dyDescent="0.15">
      <c r="A40" s="1" t="s">
        <v>49</v>
      </c>
      <c r="K40" s="1">
        <v>24.52</v>
      </c>
    </row>
    <row r="41" spans="1:11" x14ac:dyDescent="0.15">
      <c r="A41" s="1" t="s">
        <v>50</v>
      </c>
      <c r="B41" s="1">
        <v>15.61</v>
      </c>
      <c r="C41" s="1">
        <v>18.84</v>
      </c>
      <c r="D41" s="1">
        <v>40.26</v>
      </c>
      <c r="E41" s="1">
        <v>63.85</v>
      </c>
      <c r="F41" s="1">
        <v>96.56</v>
      </c>
      <c r="G41" s="1">
        <v>138.66999999999999</v>
      </c>
      <c r="H41" s="1">
        <v>189.75</v>
      </c>
      <c r="I41" s="1">
        <v>247.54</v>
      </c>
      <c r="J41" s="1">
        <v>320.75</v>
      </c>
      <c r="K41" s="1">
        <v>416.71</v>
      </c>
    </row>
    <row r="42" spans="1:11" x14ac:dyDescent="0.15">
      <c r="A42" s="1" t="s">
        <v>51</v>
      </c>
      <c r="B42" s="1">
        <v>9.44</v>
      </c>
      <c r="C42" s="1">
        <v>70.069999999999993</v>
      </c>
      <c r="D42" s="1">
        <v>94.44</v>
      </c>
      <c r="E42" s="1">
        <v>318.67</v>
      </c>
      <c r="F42" s="1">
        <v>308.67</v>
      </c>
      <c r="G42" s="1">
        <v>612.29999999999995</v>
      </c>
      <c r="H42" s="1">
        <v>459.98</v>
      </c>
      <c r="I42" s="1">
        <v>523.69000000000005</v>
      </c>
      <c r="J42" s="1">
        <v>668.22</v>
      </c>
      <c r="K42" s="1">
        <v>817.73</v>
      </c>
    </row>
    <row r="43" spans="1:11" x14ac:dyDescent="0.15">
      <c r="A43" s="1" t="s">
        <v>52</v>
      </c>
      <c r="D43" s="1">
        <v>79.8</v>
      </c>
      <c r="J43" s="1">
        <v>18.95</v>
      </c>
      <c r="K43" s="1">
        <v>128.94999999999999</v>
      </c>
    </row>
    <row r="44" spans="1:11" x14ac:dyDescent="0.15">
      <c r="A44" s="3" t="s">
        <v>53</v>
      </c>
      <c r="B44" s="1">
        <v>159.61000000000001</v>
      </c>
      <c r="C44" s="1">
        <v>223.95</v>
      </c>
      <c r="D44" s="1">
        <v>659.26</v>
      </c>
      <c r="E44" s="1">
        <v>827.29</v>
      </c>
      <c r="F44" s="1">
        <v>1086.3499999999999</v>
      </c>
      <c r="G44" s="1">
        <v>1432.09</v>
      </c>
      <c r="H44" s="1">
        <v>1942.35</v>
      </c>
      <c r="I44" s="1">
        <v>2386.6</v>
      </c>
      <c r="J44" s="1">
        <v>2978.31</v>
      </c>
      <c r="K44" s="1">
        <v>3770.05</v>
      </c>
    </row>
    <row r="45" spans="1:11" x14ac:dyDescent="0.15">
      <c r="A45" s="1" t="s">
        <v>54</v>
      </c>
      <c r="J45" s="1">
        <v>55.08</v>
      </c>
      <c r="K45" s="1">
        <v>76.37</v>
      </c>
    </row>
    <row r="46" spans="1:11" x14ac:dyDescent="0.15">
      <c r="A46" s="3" t="s">
        <v>55</v>
      </c>
      <c r="B46" s="1">
        <v>159.61000000000001</v>
      </c>
      <c r="C46" s="1">
        <v>223.95</v>
      </c>
      <c r="D46" s="1">
        <v>659.26</v>
      </c>
      <c r="E46" s="1">
        <v>827.29</v>
      </c>
      <c r="F46" s="1">
        <v>1086.3499999999999</v>
      </c>
      <c r="G46" s="1">
        <v>1432.09</v>
      </c>
      <c r="H46" s="1">
        <v>1942.35</v>
      </c>
      <c r="I46" s="1">
        <v>2386.6</v>
      </c>
      <c r="J46" s="1">
        <v>3033.39</v>
      </c>
      <c r="K46" s="1">
        <v>3846.43</v>
      </c>
    </row>
    <row r="47" spans="1:11" x14ac:dyDescent="0.15">
      <c r="A47" s="3" t="s">
        <v>56</v>
      </c>
      <c r="B47" s="1">
        <v>3198.2</v>
      </c>
      <c r="C47" s="1">
        <v>6012.78</v>
      </c>
      <c r="D47" s="1">
        <v>8272.83</v>
      </c>
      <c r="E47" s="1">
        <v>12070</v>
      </c>
      <c r="F47" s="1">
        <v>16592.189999999999</v>
      </c>
      <c r="G47" s="1">
        <v>21213.3</v>
      </c>
      <c r="H47" s="1">
        <v>25119.74</v>
      </c>
      <c r="I47" s="1">
        <v>33208.97</v>
      </c>
      <c r="J47" s="1">
        <v>43944.55</v>
      </c>
      <c r="K47" s="1">
        <v>64451.59</v>
      </c>
    </row>
    <row r="48" spans="1:11" x14ac:dyDescent="0.15">
      <c r="A48" s="1" t="s">
        <v>57</v>
      </c>
      <c r="B48" s="2" t="s">
        <v>58</v>
      </c>
      <c r="C48" s="2" t="s">
        <v>58</v>
      </c>
      <c r="D48" s="2" t="s">
        <v>58</v>
      </c>
      <c r="E48" s="2" t="s">
        <v>58</v>
      </c>
      <c r="F48" s="2" t="s">
        <v>58</v>
      </c>
      <c r="G48" s="2" t="s">
        <v>58</v>
      </c>
      <c r="H48" s="2" t="s">
        <v>58</v>
      </c>
      <c r="I48" s="2" t="s">
        <v>58</v>
      </c>
      <c r="J48" s="2" t="s">
        <v>58</v>
      </c>
      <c r="K48" s="2" t="s">
        <v>58</v>
      </c>
    </row>
    <row r="49" spans="1:11" x14ac:dyDescent="0.15">
      <c r="A49" s="1" t="s">
        <v>59</v>
      </c>
      <c r="B49" s="2" t="s">
        <v>58</v>
      </c>
      <c r="C49" s="2" t="s">
        <v>58</v>
      </c>
      <c r="D49" s="2" t="s">
        <v>58</v>
      </c>
      <c r="E49" s="2" t="s">
        <v>58</v>
      </c>
      <c r="F49" s="2" t="s">
        <v>58</v>
      </c>
      <c r="G49" s="2" t="s">
        <v>58</v>
      </c>
      <c r="H49" s="2" t="s">
        <v>58</v>
      </c>
      <c r="I49" s="2" t="s">
        <v>58</v>
      </c>
      <c r="J49" s="2" t="s">
        <v>58</v>
      </c>
      <c r="K49" s="2" t="s">
        <v>58</v>
      </c>
    </row>
    <row r="50" spans="1:11" x14ac:dyDescent="0.15">
      <c r="A50" s="1" t="s">
        <v>60</v>
      </c>
      <c r="B50" s="2" t="s">
        <v>61</v>
      </c>
      <c r="C50" s="2" t="s">
        <v>61</v>
      </c>
      <c r="D50" s="2" t="s">
        <v>61</v>
      </c>
      <c r="E50" s="2" t="s">
        <v>61</v>
      </c>
      <c r="F50" s="2" t="s">
        <v>61</v>
      </c>
      <c r="G50" s="2" t="s">
        <v>61</v>
      </c>
      <c r="H50" s="2" t="s">
        <v>61</v>
      </c>
      <c r="I50" s="2" t="s">
        <v>61</v>
      </c>
      <c r="J50" s="2" t="s">
        <v>61</v>
      </c>
      <c r="K50" s="2" t="s">
        <v>61</v>
      </c>
    </row>
    <row r="51" spans="1:11" x14ac:dyDescent="0.15">
      <c r="A51" s="1" t="s">
        <v>62</v>
      </c>
      <c r="B51" s="2" t="s">
        <v>63</v>
      </c>
      <c r="C51" s="2" t="s">
        <v>63</v>
      </c>
      <c r="D51" s="2" t="s">
        <v>63</v>
      </c>
      <c r="E51" s="2" t="s">
        <v>63</v>
      </c>
      <c r="F51" s="2" t="s">
        <v>63</v>
      </c>
      <c r="G51" s="2" t="s">
        <v>63</v>
      </c>
      <c r="H51" s="2" t="s">
        <v>63</v>
      </c>
      <c r="I51" s="2" t="s">
        <v>63</v>
      </c>
      <c r="J51" s="2" t="s">
        <v>63</v>
      </c>
      <c r="K51" s="2" t="s">
        <v>63</v>
      </c>
    </row>
    <row r="52" spans="1:11" x14ac:dyDescent="0.15">
      <c r="A52" s="1" t="s">
        <v>64</v>
      </c>
      <c r="B52" s="2" t="s">
        <v>15</v>
      </c>
      <c r="C52" s="2" t="s">
        <v>65</v>
      </c>
      <c r="D52" s="2" t="s">
        <v>65</v>
      </c>
      <c r="E52" s="2" t="s">
        <v>65</v>
      </c>
      <c r="F52" s="2" t="s">
        <v>65</v>
      </c>
      <c r="G52" s="2" t="s">
        <v>65</v>
      </c>
      <c r="H52" s="2" t="s">
        <v>65</v>
      </c>
      <c r="I52" s="2" t="s">
        <v>65</v>
      </c>
      <c r="J52" s="2" t="s">
        <v>65</v>
      </c>
      <c r="K52" s="2" t="s">
        <v>65</v>
      </c>
    </row>
    <row r="53" spans="1:11" x14ac:dyDescent="0.15">
      <c r="A53" s="1" t="s">
        <v>66</v>
      </c>
      <c r="C53" s="1" t="s">
        <v>67</v>
      </c>
      <c r="D53" s="1" t="s">
        <v>67</v>
      </c>
      <c r="E53" s="1" t="s">
        <v>67</v>
      </c>
      <c r="F53" s="1" t="s">
        <v>67</v>
      </c>
      <c r="G53" s="1" t="s">
        <v>67</v>
      </c>
      <c r="H53" s="1" t="s">
        <v>67</v>
      </c>
      <c r="I53" s="1" t="s">
        <v>67</v>
      </c>
      <c r="J53" s="1" t="s">
        <v>67</v>
      </c>
      <c r="K53" s="1" t="s">
        <v>67</v>
      </c>
    </row>
    <row r="54" spans="1:11" x14ac:dyDescent="0.15">
      <c r="A54" s="1" t="s">
        <v>68</v>
      </c>
      <c r="B54" s="2" t="s">
        <v>69</v>
      </c>
      <c r="C54" s="2" t="s">
        <v>69</v>
      </c>
      <c r="D54" s="2" t="s">
        <v>70</v>
      </c>
      <c r="E54" s="2" t="s">
        <v>71</v>
      </c>
      <c r="F54" s="2" t="s">
        <v>72</v>
      </c>
      <c r="G54" s="2" t="s">
        <v>73</v>
      </c>
      <c r="H54" s="2" t="s">
        <v>74</v>
      </c>
      <c r="I54" s="2" t="s">
        <v>75</v>
      </c>
      <c r="J54" s="2" t="s">
        <v>76</v>
      </c>
      <c r="K54" s="2" t="s">
        <v>77</v>
      </c>
    </row>
    <row r="55" spans="1:11" x14ac:dyDescent="0.15">
      <c r="A55" s="1" t="s">
        <v>78</v>
      </c>
      <c r="B55" s="2" t="s">
        <v>79</v>
      </c>
      <c r="C55" s="2" t="s">
        <v>79</v>
      </c>
      <c r="D55" s="2" t="s">
        <v>79</v>
      </c>
      <c r="E55" s="2" t="s">
        <v>79</v>
      </c>
      <c r="F55" s="2" t="s">
        <v>79</v>
      </c>
      <c r="G55" s="2" t="s">
        <v>79</v>
      </c>
      <c r="H55" s="2" t="s">
        <v>79</v>
      </c>
      <c r="I55" s="2" t="s">
        <v>79</v>
      </c>
      <c r="J55" s="2" t="s">
        <v>79</v>
      </c>
      <c r="K55" s="2" t="s">
        <v>79</v>
      </c>
    </row>
    <row r="59" spans="1:11" x14ac:dyDescent="0.15">
      <c r="A59" s="1" t="s">
        <v>80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F0200077.00-资产负债表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2016-06-09T03:12:57Z</dcterms:created>
  <dcterms:modified xsi:type="dcterms:W3CDTF">2016-06-09T03:18:27Z</dcterms:modified>
</cp:coreProperties>
</file>