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CUI\Desktop\"/>
    </mc:Choice>
  </mc:AlternateContent>
  <bookViews>
    <workbookView xWindow="0" yWindow="0" windowWidth="12615" windowHeight="8490"/>
  </bookViews>
  <sheets>
    <sheet name="F0200227.00-资产负债表" sheetId="2" r:id="rId1"/>
    <sheet name="Sheet1" sheetId="1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7" i="2" l="1"/>
  <c r="E27" i="2"/>
  <c r="F27" i="2"/>
  <c r="G27" i="2"/>
  <c r="H27" i="2"/>
  <c r="C27" i="2"/>
  <c r="C10" i="2"/>
</calcChain>
</file>

<file path=xl/sharedStrings.xml><?xml version="1.0" encoding="utf-8"?>
<sst xmlns="http://schemas.openxmlformats.org/spreadsheetml/2006/main" count="175" uniqueCount="76">
  <si>
    <t>2007-12-31</t>
  </si>
  <si>
    <t>2008-12-31</t>
  </si>
  <si>
    <t>2009-12-31</t>
  </si>
  <si>
    <t>2010-12-31</t>
  </si>
  <si>
    <t>2011-12-31</t>
  </si>
  <si>
    <t>2012-12-31</t>
  </si>
  <si>
    <t>2013-12-31</t>
  </si>
  <si>
    <t>2014-12-31</t>
  </si>
  <si>
    <t>2015-12-31</t>
  </si>
  <si>
    <t>报告期</t>
  </si>
  <si>
    <t>年报</t>
  </si>
  <si>
    <t>报表类型</t>
  </si>
  <si>
    <t>合并报表</t>
  </si>
  <si>
    <t>资产：</t>
  </si>
  <si>
    <t/>
  </si>
  <si>
    <t>　　现金及存放中央银行款项</t>
  </si>
  <si>
    <t>　　存放同业和其它金融机构款项</t>
  </si>
  <si>
    <t>　　买入返售金融资产</t>
  </si>
  <si>
    <t>　　应收利息</t>
  </si>
  <si>
    <t>　　发放贷款及垫款</t>
  </si>
  <si>
    <t>　　可供出售金融资产</t>
  </si>
  <si>
    <t>　　持有至到期投资</t>
  </si>
  <si>
    <t>　　长期股权投资</t>
  </si>
  <si>
    <t>　　应收款项类投资</t>
  </si>
  <si>
    <t>　　固定资产</t>
  </si>
  <si>
    <t>　　无形资产</t>
  </si>
  <si>
    <t>　　商誉</t>
  </si>
  <si>
    <t>　　递延所得税资产</t>
  </si>
  <si>
    <t>　　投资性房地产</t>
  </si>
  <si>
    <t>　　其他资产</t>
  </si>
  <si>
    <t>资产总计</t>
  </si>
  <si>
    <t>负债：</t>
  </si>
  <si>
    <t>　　同业和其它金融机构存放款项</t>
  </si>
  <si>
    <t>　　向中央银行借款</t>
  </si>
  <si>
    <t>　　卖出回购金融资产款</t>
  </si>
  <si>
    <t>　　吸收存款</t>
  </si>
  <si>
    <t>　　应付职工薪酬</t>
  </si>
  <si>
    <t>　　应交税费</t>
  </si>
  <si>
    <t>　　应付利息</t>
  </si>
  <si>
    <t>　　应付债券</t>
  </si>
  <si>
    <t>　　递延所得税负债</t>
  </si>
  <si>
    <t>　　其他负债</t>
  </si>
  <si>
    <t>　　负债合计</t>
  </si>
  <si>
    <t>所有者权益(或股东权益)：</t>
  </si>
  <si>
    <t>　　股本</t>
  </si>
  <si>
    <t>　　资本公积金</t>
  </si>
  <si>
    <t>　　盈余公积金</t>
  </si>
  <si>
    <t>　　未分配利润</t>
  </si>
  <si>
    <t>　　一般风险准备</t>
  </si>
  <si>
    <t>　　归属于母公司所有者权益合计</t>
  </si>
  <si>
    <t>　　所有者权益合计</t>
  </si>
  <si>
    <t>负债及股东权益总计</t>
  </si>
  <si>
    <t>显示币种</t>
  </si>
  <si>
    <t>CNY</t>
  </si>
  <si>
    <t>原始币种</t>
  </si>
  <si>
    <t>转换汇率</t>
  </si>
  <si>
    <t>1</t>
  </si>
  <si>
    <t>利率类型</t>
  </si>
  <si>
    <t>期末汇率</t>
  </si>
  <si>
    <t>审计意见(境内)</t>
  </si>
  <si>
    <t>标准无保留意见</t>
  </si>
  <si>
    <t>原始报表</t>
  </si>
  <si>
    <t>点击浏览</t>
  </si>
  <si>
    <t>公告日期</t>
  </si>
  <si>
    <t>2008-08-15</t>
  </si>
  <si>
    <t>2011-12-16</t>
  </si>
  <si>
    <t>2010-06-12</t>
  </si>
  <si>
    <t>2011-05-20</t>
  </si>
  <si>
    <t>2012-06-20</t>
  </si>
  <si>
    <t>2013-04-26</t>
  </si>
  <si>
    <t>2014-04-29</t>
  </si>
  <si>
    <t>2015-04-27</t>
  </si>
  <si>
    <t>2016-04-28</t>
  </si>
  <si>
    <t>数据来源</t>
  </si>
  <si>
    <t>公司公告值</t>
  </si>
  <si>
    <t>数据来源：Wind资讯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</si>
</sst>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###,##0.00_ "/>
  </numFmts>
  <fonts count="3" x14ac:knownFonts="1">
    <font>
      <sz val="11"/>
      <color theme="1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1" fillId="0" borderId="0" xfId="0" applyFont="1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CCE8C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5"/>
  <sheetViews>
    <sheetView tabSelected="1" topLeftCell="A34" workbookViewId="0">
      <selection activeCell="C42" sqref="C42"/>
    </sheetView>
  </sheetViews>
  <sheetFormatPr defaultRowHeight="13.5" x14ac:dyDescent="0.15"/>
  <cols>
    <col min="1" max="1" width="34.125" bestFit="1" customWidth="1"/>
    <col min="2" max="10" width="15.125" bestFit="1" customWidth="1"/>
  </cols>
  <sheetData>
    <row r="1" spans="1:10" x14ac:dyDescent="0.15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</row>
    <row r="2" spans="1:10" x14ac:dyDescent="0.15">
      <c r="A2" t="s">
        <v>9</v>
      </c>
      <c r="B2" s="3" t="s">
        <v>10</v>
      </c>
      <c r="C2" s="3" t="s">
        <v>10</v>
      </c>
      <c r="D2" s="3" t="s">
        <v>10</v>
      </c>
      <c r="E2" s="3" t="s">
        <v>10</v>
      </c>
      <c r="F2" s="3" t="s">
        <v>10</v>
      </c>
      <c r="G2" s="3" t="s">
        <v>10</v>
      </c>
      <c r="H2" s="3" t="s">
        <v>10</v>
      </c>
      <c r="I2" s="3" t="s">
        <v>10</v>
      </c>
      <c r="J2" s="3" t="s">
        <v>10</v>
      </c>
    </row>
    <row r="3" spans="1:10" x14ac:dyDescent="0.15">
      <c r="A3" t="s">
        <v>11</v>
      </c>
      <c r="B3" s="3" t="s">
        <v>12</v>
      </c>
      <c r="C3" s="3" t="s">
        <v>12</v>
      </c>
      <c r="D3" s="3" t="s">
        <v>12</v>
      </c>
      <c r="E3" s="3" t="s">
        <v>12</v>
      </c>
      <c r="F3" s="3" t="s">
        <v>12</v>
      </c>
      <c r="G3" s="3" t="s">
        <v>12</v>
      </c>
      <c r="H3" s="3" t="s">
        <v>12</v>
      </c>
      <c r="I3" s="3" t="s">
        <v>12</v>
      </c>
      <c r="J3" s="3" t="s">
        <v>12</v>
      </c>
    </row>
    <row r="4" spans="1:10" x14ac:dyDescent="0.15">
      <c r="A4" s="2" t="s">
        <v>13</v>
      </c>
      <c r="B4" s="3" t="s">
        <v>14</v>
      </c>
      <c r="C4" s="3" t="s">
        <v>14</v>
      </c>
      <c r="D4" s="3" t="s">
        <v>14</v>
      </c>
      <c r="E4" s="3" t="s">
        <v>14</v>
      </c>
      <c r="F4" s="3" t="s">
        <v>14</v>
      </c>
      <c r="G4" s="3" t="s">
        <v>14</v>
      </c>
      <c r="H4" s="3" t="s">
        <v>14</v>
      </c>
      <c r="I4" s="3" t="s">
        <v>14</v>
      </c>
      <c r="J4" s="3" t="s">
        <v>14</v>
      </c>
    </row>
    <row r="5" spans="1:10" x14ac:dyDescent="0.15">
      <c r="A5" t="s">
        <v>15</v>
      </c>
      <c r="B5" s="1">
        <v>3687.78</v>
      </c>
      <c r="C5" s="1">
        <v>4153.1499999999996</v>
      </c>
      <c r="D5" s="1">
        <v>6434.84</v>
      </c>
      <c r="E5" s="1">
        <v>8856.73</v>
      </c>
      <c r="F5" s="1">
        <v>10864.87</v>
      </c>
      <c r="G5" s="1">
        <v>13642.64</v>
      </c>
      <c r="H5" s="1">
        <v>15104.86</v>
      </c>
      <c r="I5" s="1">
        <v>16795.39</v>
      </c>
      <c r="J5" s="1">
        <v>16702.43</v>
      </c>
    </row>
    <row r="6" spans="1:10" x14ac:dyDescent="0.15">
      <c r="A6" t="s">
        <v>16</v>
      </c>
      <c r="B6" s="1">
        <v>454.09</v>
      </c>
      <c r="C6" s="1">
        <v>3595.49</v>
      </c>
      <c r="D6" s="1">
        <v>2015.54</v>
      </c>
      <c r="E6" s="1">
        <v>2301.79</v>
      </c>
      <c r="F6" s="1">
        <v>4080.22</v>
      </c>
      <c r="G6" s="1">
        <v>5383.1</v>
      </c>
      <c r="H6" s="1">
        <v>5147.7</v>
      </c>
      <c r="I6" s="1">
        <v>5599.08</v>
      </c>
      <c r="J6" s="1">
        <v>5868.35</v>
      </c>
    </row>
    <row r="7" spans="1:10" x14ac:dyDescent="0.15">
      <c r="A7" t="s">
        <v>17</v>
      </c>
      <c r="B7" s="1"/>
      <c r="C7" s="1">
        <v>500</v>
      </c>
      <c r="D7" s="1">
        <v>500</v>
      </c>
      <c r="E7" s="1">
        <v>2023.45</v>
      </c>
      <c r="F7" s="1">
        <v>308.64999999999998</v>
      </c>
      <c r="G7" s="1"/>
      <c r="H7" s="1">
        <v>1269.3399999999999</v>
      </c>
      <c r="I7" s="1"/>
      <c r="J7" s="1"/>
    </row>
    <row r="8" spans="1:10" x14ac:dyDescent="0.15">
      <c r="A8" t="s">
        <v>18</v>
      </c>
      <c r="B8" s="1"/>
      <c r="C8" s="1">
        <v>35.33</v>
      </c>
      <c r="D8" s="1">
        <v>33.36</v>
      </c>
      <c r="E8" s="1">
        <v>26.4</v>
      </c>
      <c r="F8" s="1">
        <v>48.23</v>
      </c>
      <c r="G8" s="1">
        <v>93.92</v>
      </c>
      <c r="H8" s="1">
        <v>130.44</v>
      </c>
      <c r="I8" s="1">
        <v>196.58</v>
      </c>
      <c r="J8" s="1">
        <v>286.33</v>
      </c>
    </row>
    <row r="9" spans="1:10" x14ac:dyDescent="0.15">
      <c r="A9" t="s">
        <v>19</v>
      </c>
      <c r="B9" s="1"/>
      <c r="C9" s="1">
        <v>11630.87</v>
      </c>
      <c r="D9" s="1">
        <v>19187.57</v>
      </c>
      <c r="E9" s="1">
        <v>23408.19</v>
      </c>
      <c r="F9" s="1">
        <v>27236.55</v>
      </c>
      <c r="G9" s="1">
        <v>31545.56</v>
      </c>
      <c r="H9" s="1">
        <v>36959.15</v>
      </c>
      <c r="I9" s="1">
        <v>41472.5</v>
      </c>
      <c r="J9" s="1">
        <v>45310</v>
      </c>
    </row>
    <row r="10" spans="1:10" x14ac:dyDescent="0.15">
      <c r="B10" s="1"/>
      <c r="C10" s="1">
        <f>C8+C9</f>
        <v>11666.2</v>
      </c>
      <c r="D10" s="1"/>
      <c r="E10" s="1"/>
      <c r="F10" s="1"/>
      <c r="G10" s="1"/>
      <c r="H10" s="1"/>
      <c r="I10" s="1"/>
      <c r="J10" s="1"/>
    </row>
    <row r="11" spans="1:10" x14ac:dyDescent="0.15">
      <c r="A11" t="s">
        <v>20</v>
      </c>
      <c r="B11" s="1"/>
      <c r="C11" s="1">
        <v>369.36</v>
      </c>
      <c r="D11" s="1"/>
      <c r="E11" s="1"/>
      <c r="F11" s="1"/>
      <c r="G11" s="1"/>
      <c r="H11" s="1"/>
      <c r="I11" s="1">
        <v>50</v>
      </c>
      <c r="J11" s="1"/>
    </row>
    <row r="12" spans="1:10" x14ac:dyDescent="0.15">
      <c r="A12" t="s">
        <v>21</v>
      </c>
      <c r="B12" s="1"/>
      <c r="C12" s="1">
        <v>1344.12</v>
      </c>
      <c r="D12" s="1">
        <v>5196.12</v>
      </c>
      <c r="E12" s="1">
        <v>2448.2399999999998</v>
      </c>
      <c r="F12" s="1">
        <v>2973.98</v>
      </c>
      <c r="G12" s="1">
        <v>649.61</v>
      </c>
      <c r="H12" s="1">
        <v>2005.42</v>
      </c>
      <c r="I12" s="1">
        <v>1928.93</v>
      </c>
      <c r="J12" s="1">
        <v>2825.23</v>
      </c>
    </row>
    <row r="13" spans="1:10" x14ac:dyDescent="0.15">
      <c r="A13" t="s">
        <v>22</v>
      </c>
      <c r="B13" s="1"/>
      <c r="C13" s="1"/>
      <c r="D13" s="1">
        <v>5.24</v>
      </c>
      <c r="E13" s="1">
        <v>81.08</v>
      </c>
      <c r="F13" s="1">
        <v>110.66</v>
      </c>
      <c r="G13" s="1">
        <v>131.31</v>
      </c>
      <c r="H13" s="1">
        <v>153.33000000000001</v>
      </c>
      <c r="I13" s="1">
        <v>172.05</v>
      </c>
      <c r="J13" s="1">
        <v>185.39</v>
      </c>
    </row>
    <row r="14" spans="1:10" x14ac:dyDescent="0.15">
      <c r="A14" t="s">
        <v>23</v>
      </c>
      <c r="B14" s="1"/>
      <c r="C14" s="1"/>
      <c r="D14" s="1"/>
      <c r="E14" s="1"/>
      <c r="F14" s="1"/>
      <c r="G14" s="1">
        <v>3120</v>
      </c>
      <c r="H14" s="1">
        <v>5990</v>
      </c>
      <c r="I14" s="1">
        <v>12660.99</v>
      </c>
      <c r="J14" s="1">
        <v>19354.310000000001</v>
      </c>
    </row>
    <row r="15" spans="1:10" x14ac:dyDescent="0.15">
      <c r="A15" t="s">
        <v>24</v>
      </c>
      <c r="B15" s="1"/>
      <c r="C15" s="1">
        <v>247.05</v>
      </c>
      <c r="D15" s="1">
        <v>317.79000000000002</v>
      </c>
      <c r="E15" s="1">
        <v>325.57</v>
      </c>
      <c r="F15" s="1">
        <v>469.89</v>
      </c>
      <c r="G15" s="1">
        <v>493.89</v>
      </c>
      <c r="H15" s="1">
        <v>536.87</v>
      </c>
      <c r="I15" s="1">
        <v>551.47</v>
      </c>
      <c r="J15" s="1">
        <v>697.08</v>
      </c>
    </row>
    <row r="16" spans="1:10" x14ac:dyDescent="0.15">
      <c r="A16" t="s">
        <v>25</v>
      </c>
      <c r="B16" s="1">
        <v>4.32</v>
      </c>
      <c r="C16" s="1">
        <v>7.81</v>
      </c>
      <c r="D16" s="1">
        <v>9.3000000000000007</v>
      </c>
      <c r="E16" s="1">
        <v>11.3</v>
      </c>
      <c r="F16" s="1">
        <v>14.41</v>
      </c>
      <c r="G16" s="1">
        <v>14.51</v>
      </c>
      <c r="H16" s="1">
        <v>20.79</v>
      </c>
      <c r="I16" s="1">
        <v>28.94</v>
      </c>
      <c r="J16" s="1">
        <v>26.58</v>
      </c>
    </row>
    <row r="17" spans="1:10" x14ac:dyDescent="0.15">
      <c r="A17" t="s">
        <v>26</v>
      </c>
      <c r="B17" s="1"/>
      <c r="C17" s="1"/>
      <c r="D17" s="1">
        <v>458.3</v>
      </c>
      <c r="E17" s="1">
        <v>413.3</v>
      </c>
      <c r="F17" s="1">
        <v>368.3</v>
      </c>
      <c r="G17" s="1">
        <v>276.3</v>
      </c>
      <c r="H17" s="1"/>
      <c r="I17" s="1"/>
      <c r="J17" s="1"/>
    </row>
    <row r="18" spans="1:10" x14ac:dyDescent="0.15">
      <c r="A18" t="s">
        <v>27</v>
      </c>
      <c r="B18" s="1"/>
      <c r="C18" s="1">
        <v>84.32</v>
      </c>
      <c r="D18" s="1">
        <v>164.82</v>
      </c>
      <c r="E18" s="1">
        <v>213.39</v>
      </c>
      <c r="F18" s="1">
        <v>266.27</v>
      </c>
      <c r="G18" s="1">
        <v>324.02999999999997</v>
      </c>
      <c r="H18" s="1">
        <v>438.63</v>
      </c>
      <c r="I18" s="1">
        <v>521.37</v>
      </c>
      <c r="J18" s="1">
        <v>648.49</v>
      </c>
    </row>
    <row r="19" spans="1:10" x14ac:dyDescent="0.15">
      <c r="A19" t="s">
        <v>28</v>
      </c>
      <c r="B19" s="1"/>
      <c r="C19" s="1">
        <v>156.71</v>
      </c>
      <c r="D19" s="1">
        <v>139.05000000000001</v>
      </c>
      <c r="E19" s="1">
        <v>135.04</v>
      </c>
      <c r="F19" s="1">
        <v>101.19</v>
      </c>
      <c r="G19" s="1">
        <v>98.86</v>
      </c>
      <c r="H19" s="1">
        <v>96.06</v>
      </c>
      <c r="I19" s="1">
        <v>92.87</v>
      </c>
      <c r="J19" s="1">
        <v>90.09</v>
      </c>
    </row>
    <row r="20" spans="1:10" x14ac:dyDescent="0.15">
      <c r="A20" t="s">
        <v>29</v>
      </c>
      <c r="B20" s="1">
        <v>406.46</v>
      </c>
      <c r="C20" s="1">
        <v>1092.9100000000001</v>
      </c>
      <c r="D20" s="1">
        <v>609.70000000000005</v>
      </c>
      <c r="E20" s="1">
        <v>829.07</v>
      </c>
      <c r="F20" s="1">
        <v>2092.7199999999998</v>
      </c>
      <c r="G20" s="1">
        <v>1583.5</v>
      </c>
      <c r="H20" s="1">
        <v>492.35</v>
      </c>
      <c r="I20" s="1">
        <v>544.5</v>
      </c>
      <c r="J20" s="1">
        <v>1147.1400000000001</v>
      </c>
    </row>
    <row r="21" spans="1:10" x14ac:dyDescent="0.15">
      <c r="A21" s="2" t="s">
        <v>30</v>
      </c>
      <c r="B21" s="1">
        <v>17146.650000000001</v>
      </c>
      <c r="C21" s="1">
        <v>23217.11</v>
      </c>
      <c r="D21" s="1">
        <v>35071.620000000003</v>
      </c>
      <c r="E21" s="1">
        <v>41073.56</v>
      </c>
      <c r="F21" s="1">
        <v>48935.94</v>
      </c>
      <c r="G21" s="1">
        <v>57357.23</v>
      </c>
      <c r="H21" s="1">
        <v>68344.94</v>
      </c>
      <c r="I21" s="1">
        <v>80614.66</v>
      </c>
      <c r="J21" s="1">
        <v>93141.42</v>
      </c>
    </row>
    <row r="22" spans="1:10" x14ac:dyDescent="0.15">
      <c r="A22" s="2" t="s">
        <v>31</v>
      </c>
      <c r="B22" s="3" t="s">
        <v>14</v>
      </c>
      <c r="C22" s="3" t="s">
        <v>14</v>
      </c>
      <c r="D22" s="3" t="s">
        <v>14</v>
      </c>
      <c r="E22" s="3" t="s">
        <v>14</v>
      </c>
      <c r="F22" s="3" t="s">
        <v>14</v>
      </c>
      <c r="G22" s="3" t="s">
        <v>14</v>
      </c>
      <c r="H22" s="3" t="s">
        <v>14</v>
      </c>
      <c r="I22" s="3" t="s">
        <v>14</v>
      </c>
      <c r="J22" s="3" t="s">
        <v>14</v>
      </c>
    </row>
    <row r="23" spans="1:10" x14ac:dyDescent="0.15">
      <c r="A23" t="s">
        <v>32</v>
      </c>
      <c r="B23" s="1">
        <v>0.13</v>
      </c>
      <c r="C23" s="1">
        <v>25.78</v>
      </c>
      <c r="D23" s="1">
        <v>25.61</v>
      </c>
      <c r="E23" s="1">
        <v>120.61</v>
      </c>
      <c r="F23" s="1">
        <v>14.64</v>
      </c>
      <c r="G23" s="1">
        <v>67.13</v>
      </c>
      <c r="H23" s="1">
        <v>308.25</v>
      </c>
      <c r="I23" s="1">
        <v>2425.27</v>
      </c>
      <c r="J23" s="1">
        <v>980.52</v>
      </c>
    </row>
    <row r="24" spans="1:10" x14ac:dyDescent="0.15">
      <c r="A24" t="s">
        <v>33</v>
      </c>
      <c r="B24" s="1"/>
      <c r="C24" s="1"/>
      <c r="D24" s="1"/>
      <c r="E24" s="1"/>
      <c r="F24" s="1"/>
      <c r="G24" s="1"/>
      <c r="H24" s="1"/>
      <c r="I24" s="1">
        <v>570.37</v>
      </c>
      <c r="J24" s="1">
        <v>807.8</v>
      </c>
    </row>
    <row r="25" spans="1:10" x14ac:dyDescent="0.15">
      <c r="A25" t="s">
        <v>34</v>
      </c>
      <c r="B25" s="1">
        <v>0.31</v>
      </c>
      <c r="C25" s="1"/>
      <c r="D25" s="1"/>
      <c r="E25" s="1"/>
      <c r="F25" s="1">
        <v>373.58</v>
      </c>
      <c r="G25" s="1"/>
      <c r="H25" s="1">
        <v>274.39999999999998</v>
      </c>
      <c r="I25" s="1"/>
      <c r="J25" s="1"/>
    </row>
    <row r="26" spans="1:10" x14ac:dyDescent="0.15">
      <c r="A26" t="s">
        <v>35</v>
      </c>
      <c r="B26" s="1"/>
      <c r="C26" s="1">
        <v>20321.16</v>
      </c>
      <c r="D26" s="1">
        <v>31419.759999999998</v>
      </c>
      <c r="E26" s="1">
        <v>36334.61</v>
      </c>
      <c r="F26" s="1">
        <v>42160.84</v>
      </c>
      <c r="G26" s="1">
        <v>50692.71</v>
      </c>
      <c r="H26" s="1">
        <v>59921.42</v>
      </c>
      <c r="I26" s="1">
        <v>68129.27</v>
      </c>
      <c r="J26" s="1">
        <v>80078.95</v>
      </c>
    </row>
    <row r="27" spans="1:10" x14ac:dyDescent="0.15">
      <c r="B27" s="1"/>
      <c r="C27" s="1">
        <f>SUM(C23:C26)</f>
        <v>20346.939999999999</v>
      </c>
      <c r="D27" s="1">
        <f t="shared" ref="D27:H27" si="0">SUM(D23:D26)</f>
        <v>31445.37</v>
      </c>
      <c r="E27" s="1">
        <f t="shared" si="0"/>
        <v>36455.22</v>
      </c>
      <c r="F27" s="1">
        <f t="shared" si="0"/>
        <v>42549.06</v>
      </c>
      <c r="G27" s="1">
        <f t="shared" si="0"/>
        <v>50759.839999999997</v>
      </c>
      <c r="H27" s="1">
        <f t="shared" si="0"/>
        <v>60504.07</v>
      </c>
      <c r="I27" s="1"/>
      <c r="J27" s="1"/>
    </row>
    <row r="28" spans="1:10" x14ac:dyDescent="0.15">
      <c r="A28" t="s">
        <v>36</v>
      </c>
      <c r="B28" s="1"/>
      <c r="C28" s="1">
        <v>11.64</v>
      </c>
      <c r="D28" s="1">
        <v>10.56</v>
      </c>
      <c r="E28" s="1">
        <v>4.2</v>
      </c>
      <c r="F28" s="1">
        <v>8.66</v>
      </c>
      <c r="G28" s="1">
        <v>7.95</v>
      </c>
      <c r="H28" s="1">
        <v>6.72</v>
      </c>
      <c r="I28" s="1">
        <v>5.99</v>
      </c>
      <c r="J28" s="1">
        <v>5.56</v>
      </c>
    </row>
    <row r="29" spans="1:10" x14ac:dyDescent="0.15">
      <c r="A29" t="s">
        <v>37</v>
      </c>
      <c r="B29" s="1">
        <v>46</v>
      </c>
      <c r="C29" s="1">
        <v>48.08</v>
      </c>
      <c r="D29" s="1">
        <v>58.05</v>
      </c>
      <c r="E29" s="1">
        <v>111.69</v>
      </c>
      <c r="F29" s="1">
        <v>163.34</v>
      </c>
      <c r="G29" s="1">
        <v>212.08</v>
      </c>
      <c r="H29" s="1">
        <v>181.41</v>
      </c>
      <c r="I29" s="1">
        <v>174.76</v>
      </c>
      <c r="J29" s="1">
        <v>208.71</v>
      </c>
    </row>
    <row r="30" spans="1:10" x14ac:dyDescent="0.15">
      <c r="A30" t="s">
        <v>38</v>
      </c>
      <c r="B30" s="1"/>
      <c r="C30" s="1">
        <v>191.71</v>
      </c>
      <c r="D30" s="1">
        <v>276.61</v>
      </c>
      <c r="E30" s="1">
        <v>332.12</v>
      </c>
      <c r="F30" s="1">
        <v>421.86</v>
      </c>
      <c r="G30" s="1">
        <v>742.93</v>
      </c>
      <c r="H30" s="1">
        <v>1267.27</v>
      </c>
      <c r="I30" s="1">
        <v>1660.02</v>
      </c>
      <c r="J30" s="1">
        <v>2219.4699999999998</v>
      </c>
    </row>
    <row r="31" spans="1:10" x14ac:dyDescent="0.15">
      <c r="A31" t="s">
        <v>39</v>
      </c>
      <c r="B31" s="1"/>
      <c r="C31" s="1"/>
      <c r="D31" s="1"/>
      <c r="E31" s="1"/>
      <c r="F31" s="1">
        <v>695.71</v>
      </c>
      <c r="G31" s="1">
        <v>696.02</v>
      </c>
      <c r="H31" s="1">
        <v>696.35</v>
      </c>
      <c r="I31" s="1">
        <v>696.7</v>
      </c>
      <c r="J31" s="1">
        <v>697.08</v>
      </c>
    </row>
    <row r="32" spans="1:10" x14ac:dyDescent="0.15">
      <c r="A32" t="s">
        <v>40</v>
      </c>
      <c r="B32" s="1"/>
      <c r="C32" s="1">
        <v>1.99</v>
      </c>
      <c r="D32" s="1"/>
      <c r="E32" s="1"/>
      <c r="F32" s="1"/>
      <c r="G32" s="1"/>
      <c r="H32" s="1"/>
      <c r="I32" s="1"/>
      <c r="J32" s="1"/>
    </row>
    <row r="33" spans="1:10" x14ac:dyDescent="0.15">
      <c r="A33" t="s">
        <v>41</v>
      </c>
      <c r="B33" s="1"/>
      <c r="C33" s="1">
        <v>468.36</v>
      </c>
      <c r="D33" s="1">
        <v>198.03</v>
      </c>
      <c r="E33" s="1">
        <v>147.16999999999999</v>
      </c>
      <c r="F33" s="1">
        <v>646.55999999999995</v>
      </c>
      <c r="G33" s="1">
        <v>84.8</v>
      </c>
      <c r="H33" s="1">
        <v>108.22</v>
      </c>
      <c r="I33" s="1">
        <v>100.43</v>
      </c>
      <c r="J33" s="1">
        <v>794.66</v>
      </c>
    </row>
    <row r="34" spans="1:10" x14ac:dyDescent="0.15">
      <c r="A34" s="2" t="s">
        <v>42</v>
      </c>
      <c r="B34" s="1">
        <v>16073.77</v>
      </c>
      <c r="C34" s="1">
        <v>21068.71</v>
      </c>
      <c r="D34" s="1">
        <v>31988.61</v>
      </c>
      <c r="E34" s="1">
        <v>37050.42</v>
      </c>
      <c r="F34" s="1">
        <v>44485.18</v>
      </c>
      <c r="G34" s="1">
        <v>52503.61</v>
      </c>
      <c r="H34" s="1">
        <v>62764.03</v>
      </c>
      <c r="I34" s="1">
        <v>73762.820000000007</v>
      </c>
      <c r="J34" s="1">
        <v>85792.74</v>
      </c>
    </row>
    <row r="35" spans="1:10" x14ac:dyDescent="0.15">
      <c r="A35" s="2" t="s">
        <v>43</v>
      </c>
      <c r="B35" s="3" t="s">
        <v>14</v>
      </c>
      <c r="C35" s="3" t="s">
        <v>14</v>
      </c>
      <c r="D35" s="3" t="s">
        <v>14</v>
      </c>
      <c r="E35" s="3" t="s">
        <v>14</v>
      </c>
      <c r="F35" s="3" t="s">
        <v>14</v>
      </c>
      <c r="G35" s="3" t="s">
        <v>14</v>
      </c>
      <c r="H35" s="3" t="s">
        <v>14</v>
      </c>
      <c r="I35" s="3" t="s">
        <v>14</v>
      </c>
      <c r="J35" s="3" t="s">
        <v>14</v>
      </c>
    </row>
    <row r="36" spans="1:10" x14ac:dyDescent="0.15">
      <c r="A36" t="s">
        <v>44</v>
      </c>
      <c r="B36" s="1">
        <v>790.35</v>
      </c>
      <c r="C36" s="1">
        <v>1700.35</v>
      </c>
      <c r="D36" s="1">
        <v>2200.35</v>
      </c>
      <c r="E36" s="1">
        <v>2500.35</v>
      </c>
      <c r="F36" s="1">
        <v>2500.35</v>
      </c>
      <c r="G36" s="1">
        <v>2500.35</v>
      </c>
      <c r="H36" s="1">
        <v>2700.35</v>
      </c>
      <c r="I36" s="1">
        <v>3000.35</v>
      </c>
      <c r="J36" s="1">
        <v>3000.35</v>
      </c>
    </row>
    <row r="37" spans="1:10" x14ac:dyDescent="0.15">
      <c r="A37" t="s">
        <v>45</v>
      </c>
      <c r="B37" s="1">
        <v>1.29</v>
      </c>
      <c r="C37" s="1">
        <v>7.24</v>
      </c>
      <c r="D37" s="1">
        <v>1.29</v>
      </c>
      <c r="E37" s="1">
        <v>301.29000000000002</v>
      </c>
      <c r="F37" s="1">
        <v>301.29000000000002</v>
      </c>
      <c r="G37" s="1">
        <v>301.29000000000002</v>
      </c>
      <c r="H37" s="1">
        <v>601.29</v>
      </c>
      <c r="I37" s="1">
        <v>1051.29</v>
      </c>
      <c r="J37" s="1">
        <v>1051.29</v>
      </c>
    </row>
    <row r="38" spans="1:10" x14ac:dyDescent="0.15">
      <c r="A38" t="s">
        <v>46</v>
      </c>
      <c r="B38" s="1">
        <v>94.96</v>
      </c>
      <c r="C38" s="1">
        <v>136.44999999999999</v>
      </c>
      <c r="D38" s="1">
        <v>239.81</v>
      </c>
      <c r="E38" s="1">
        <v>341.62</v>
      </c>
      <c r="F38" s="1">
        <v>457.55</v>
      </c>
      <c r="G38" s="1">
        <v>587.55999999999995</v>
      </c>
      <c r="H38" s="1">
        <v>682.46</v>
      </c>
      <c r="I38" s="1">
        <v>836.09</v>
      </c>
      <c r="J38" s="1">
        <v>979.05</v>
      </c>
    </row>
    <row r="39" spans="1:10" x14ac:dyDescent="0.15">
      <c r="A39" t="s">
        <v>47</v>
      </c>
      <c r="B39" s="1">
        <v>80.72</v>
      </c>
      <c r="C39" s="1">
        <v>181.69</v>
      </c>
      <c r="D39" s="1">
        <v>437.99</v>
      </c>
      <c r="E39" s="1">
        <v>630.15</v>
      </c>
      <c r="F39" s="1">
        <v>893.49</v>
      </c>
      <c r="G39" s="1">
        <v>937.89</v>
      </c>
      <c r="H39" s="1">
        <v>914.87</v>
      </c>
      <c r="I39" s="1">
        <v>1062.31</v>
      </c>
      <c r="J39" s="1">
        <v>1163.29</v>
      </c>
    </row>
    <row r="40" spans="1:10" x14ac:dyDescent="0.15">
      <c r="A40" t="s">
        <v>48</v>
      </c>
      <c r="B40" s="1">
        <v>105.57</v>
      </c>
      <c r="C40" s="1">
        <v>122.66</v>
      </c>
      <c r="D40" s="1">
        <v>203.57</v>
      </c>
      <c r="E40" s="1">
        <v>249.73</v>
      </c>
      <c r="F40" s="1">
        <v>298.07</v>
      </c>
      <c r="G40" s="1">
        <v>526.53</v>
      </c>
      <c r="H40" s="1">
        <v>681.94</v>
      </c>
      <c r="I40" s="1">
        <v>901.8</v>
      </c>
      <c r="J40" s="1">
        <v>1154.7</v>
      </c>
    </row>
    <row r="41" spans="1:10" x14ac:dyDescent="0.15">
      <c r="A41" s="2" t="s">
        <v>49</v>
      </c>
      <c r="B41" s="1">
        <v>1072.8800000000001</v>
      </c>
      <c r="C41" s="1">
        <v>2148.4</v>
      </c>
      <c r="D41" s="1">
        <v>3083.01</v>
      </c>
      <c r="E41" s="1">
        <v>4023.14</v>
      </c>
      <c r="F41" s="1">
        <v>4450.75</v>
      </c>
      <c r="G41" s="1">
        <v>4853.62</v>
      </c>
      <c r="H41" s="1">
        <v>5580.91</v>
      </c>
      <c r="I41" s="1">
        <v>6851.84</v>
      </c>
      <c r="J41" s="1">
        <v>7348.68</v>
      </c>
    </row>
    <row r="42" spans="1:10" x14ac:dyDescent="0.15">
      <c r="A42" s="2" t="s">
        <v>50</v>
      </c>
      <c r="B42" s="1">
        <v>1072.8800000000001</v>
      </c>
      <c r="C42" s="1">
        <v>2148.4</v>
      </c>
      <c r="D42" s="1">
        <v>3083.01</v>
      </c>
      <c r="E42" s="1">
        <v>4023.14</v>
      </c>
      <c r="F42" s="1">
        <v>4450.75</v>
      </c>
      <c r="G42" s="1">
        <v>4853.62</v>
      </c>
      <c r="H42" s="1">
        <v>5580.91</v>
      </c>
      <c r="I42" s="1">
        <v>6851.84</v>
      </c>
      <c r="J42" s="1">
        <v>7348.68</v>
      </c>
    </row>
    <row r="43" spans="1:10" x14ac:dyDescent="0.15">
      <c r="A43" s="2" t="s">
        <v>51</v>
      </c>
      <c r="B43" s="1">
        <v>17146.650000000001</v>
      </c>
      <c r="C43" s="1">
        <v>23217.11</v>
      </c>
      <c r="D43" s="1">
        <v>35071.620000000003</v>
      </c>
      <c r="E43" s="1">
        <v>41073.56</v>
      </c>
      <c r="F43" s="1">
        <v>48935.94</v>
      </c>
      <c r="G43" s="1">
        <v>57357.23</v>
      </c>
      <c r="H43" s="1">
        <v>68344.94</v>
      </c>
      <c r="I43" s="1">
        <v>80614.66</v>
      </c>
      <c r="J43" s="1">
        <v>93141.42</v>
      </c>
    </row>
    <row r="44" spans="1:10" x14ac:dyDescent="0.15">
      <c r="A44" t="s">
        <v>52</v>
      </c>
      <c r="B44" s="3" t="s">
        <v>53</v>
      </c>
      <c r="C44" s="3" t="s">
        <v>53</v>
      </c>
      <c r="D44" s="3" t="s">
        <v>53</v>
      </c>
      <c r="E44" s="3" t="s">
        <v>53</v>
      </c>
      <c r="F44" s="3" t="s">
        <v>53</v>
      </c>
      <c r="G44" s="3" t="s">
        <v>53</v>
      </c>
      <c r="H44" s="3" t="s">
        <v>53</v>
      </c>
      <c r="I44" s="3" t="s">
        <v>53</v>
      </c>
      <c r="J44" s="3" t="s">
        <v>53</v>
      </c>
    </row>
    <row r="45" spans="1:10" x14ac:dyDescent="0.15">
      <c r="A45" t="s">
        <v>54</v>
      </c>
      <c r="B45" s="3" t="s">
        <v>53</v>
      </c>
      <c r="C45" s="3" t="s">
        <v>53</v>
      </c>
      <c r="D45" s="3" t="s">
        <v>53</v>
      </c>
      <c r="E45" s="3" t="s">
        <v>53</v>
      </c>
      <c r="F45" s="3" t="s">
        <v>53</v>
      </c>
      <c r="G45" s="3" t="s">
        <v>53</v>
      </c>
      <c r="H45" s="3" t="s">
        <v>53</v>
      </c>
      <c r="I45" s="3" t="s">
        <v>53</v>
      </c>
      <c r="J45" s="3" t="s">
        <v>53</v>
      </c>
    </row>
    <row r="46" spans="1:10" x14ac:dyDescent="0.15">
      <c r="A46" t="s">
        <v>55</v>
      </c>
      <c r="B46" s="3" t="s">
        <v>56</v>
      </c>
      <c r="C46" s="3" t="s">
        <v>56</v>
      </c>
      <c r="D46" s="3" t="s">
        <v>56</v>
      </c>
      <c r="E46" s="3" t="s">
        <v>56</v>
      </c>
      <c r="F46" s="3" t="s">
        <v>56</v>
      </c>
      <c r="G46" s="3" t="s">
        <v>56</v>
      </c>
      <c r="H46" s="3" t="s">
        <v>56</v>
      </c>
      <c r="I46" s="3" t="s">
        <v>56</v>
      </c>
      <c r="J46" s="3" t="s">
        <v>56</v>
      </c>
    </row>
    <row r="47" spans="1:10" x14ac:dyDescent="0.15">
      <c r="A47" t="s">
        <v>57</v>
      </c>
      <c r="B47" s="3" t="s">
        <v>58</v>
      </c>
      <c r="C47" s="3" t="s">
        <v>58</v>
      </c>
      <c r="D47" s="3" t="s">
        <v>58</v>
      </c>
      <c r="E47" s="3" t="s">
        <v>58</v>
      </c>
      <c r="F47" s="3" t="s">
        <v>58</v>
      </c>
      <c r="G47" s="3" t="s">
        <v>58</v>
      </c>
      <c r="H47" s="3" t="s">
        <v>58</v>
      </c>
      <c r="I47" s="3" t="s">
        <v>58</v>
      </c>
      <c r="J47" s="3" t="s">
        <v>58</v>
      </c>
    </row>
    <row r="48" spans="1:10" x14ac:dyDescent="0.15">
      <c r="A48" t="s">
        <v>59</v>
      </c>
      <c r="B48" s="3" t="s">
        <v>60</v>
      </c>
      <c r="C48" s="3" t="s">
        <v>60</v>
      </c>
      <c r="D48" s="3" t="s">
        <v>60</v>
      </c>
      <c r="E48" s="3" t="s">
        <v>60</v>
      </c>
      <c r="F48" s="3" t="s">
        <v>60</v>
      </c>
      <c r="G48" s="3" t="s">
        <v>60</v>
      </c>
      <c r="H48" s="3" t="s">
        <v>60</v>
      </c>
      <c r="I48" s="3" t="s">
        <v>60</v>
      </c>
      <c r="J48" s="3" t="s">
        <v>60</v>
      </c>
    </row>
    <row r="49" spans="1:10" x14ac:dyDescent="0.15">
      <c r="A49" t="s">
        <v>61</v>
      </c>
      <c r="B49" t="s">
        <v>62</v>
      </c>
      <c r="C49" t="s">
        <v>62</v>
      </c>
      <c r="D49" t="s">
        <v>62</v>
      </c>
      <c r="E49" t="s">
        <v>62</v>
      </c>
      <c r="F49" t="s">
        <v>62</v>
      </c>
      <c r="G49" t="s">
        <v>62</v>
      </c>
      <c r="H49" t="s">
        <v>62</v>
      </c>
      <c r="I49" t="s">
        <v>62</v>
      </c>
      <c r="J49" t="s">
        <v>62</v>
      </c>
    </row>
    <row r="50" spans="1:10" x14ac:dyDescent="0.15">
      <c r="A50" t="s">
        <v>63</v>
      </c>
      <c r="B50" s="3" t="s">
        <v>64</v>
      </c>
      <c r="C50" s="3" t="s">
        <v>65</v>
      </c>
      <c r="D50" s="3" t="s">
        <v>66</v>
      </c>
      <c r="E50" s="3" t="s">
        <v>67</v>
      </c>
      <c r="F50" s="3" t="s">
        <v>68</v>
      </c>
      <c r="G50" s="3" t="s">
        <v>69</v>
      </c>
      <c r="H50" s="3" t="s">
        <v>70</v>
      </c>
      <c r="I50" s="3" t="s">
        <v>71</v>
      </c>
      <c r="J50" s="3" t="s">
        <v>72</v>
      </c>
    </row>
    <row r="51" spans="1:10" x14ac:dyDescent="0.15">
      <c r="A51" t="s">
        <v>73</v>
      </c>
      <c r="B51" s="3" t="s">
        <v>74</v>
      </c>
      <c r="C51" s="3" t="s">
        <v>74</v>
      </c>
      <c r="D51" s="3" t="s">
        <v>74</v>
      </c>
      <c r="E51" s="3" t="s">
        <v>74</v>
      </c>
      <c r="F51" s="3" t="s">
        <v>74</v>
      </c>
      <c r="G51" s="3" t="s">
        <v>74</v>
      </c>
      <c r="H51" s="3" t="s">
        <v>74</v>
      </c>
      <c r="I51" s="3" t="s">
        <v>74</v>
      </c>
      <c r="J51" s="3" t="s">
        <v>74</v>
      </c>
    </row>
    <row r="55" spans="1:10" x14ac:dyDescent="0.15">
      <c r="A55" t="s">
        <v>75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F0200227.00-资产负债表</vt:lpstr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CUI</dc:creator>
  <cp:lastModifiedBy>CUI</cp:lastModifiedBy>
  <dcterms:created xsi:type="dcterms:W3CDTF">2016-06-09T01:40:20Z</dcterms:created>
  <dcterms:modified xsi:type="dcterms:W3CDTF">2016-06-09T01:44:07Z</dcterms:modified>
</cp:coreProperties>
</file>