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832666.OC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2" l="1"/>
  <c r="G31" i="2"/>
  <c r="H31" i="2"/>
  <c r="I31" i="2"/>
  <c r="J31" i="2"/>
  <c r="K31" i="2"/>
  <c r="L31" i="2"/>
  <c r="E31" i="2"/>
  <c r="G12" i="2"/>
  <c r="H12" i="2"/>
  <c r="I12" i="2"/>
  <c r="J12" i="2"/>
  <c r="K12" i="2"/>
  <c r="L12" i="2"/>
  <c r="F12" i="2"/>
  <c r="E12" i="2"/>
</calcChain>
</file>

<file path=xl/sharedStrings.xml><?xml version="1.0" encoding="utf-8"?>
<sst xmlns="http://schemas.openxmlformats.org/spreadsheetml/2006/main" count="208" uniqueCount="84">
  <si>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</si>
  <si>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</si>
  <si>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</si>
  <si>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</si>
  <si>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</si>
  <si>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</si>
  <si>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</si>
  <si>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</si>
  <si>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</si>
  <si>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</si>
  <si>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</si>
  <si>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</si>
  <si>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</si>
  <si>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</si>
  <si>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</si>
  <si>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</si>
  <si>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</si>
  <si>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</si>
  <si>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</si>
  <si>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</si>
  <si>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</si>
  <si>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</si>
  <si>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</si>
  <si>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</si>
  <si>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</si>
  <si>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</si>
  <si>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</si>
  <si>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</si>
  <si>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</si>
  <si>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</si>
  <si>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</si>
  <si>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</si>
  <si>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</si>
  <si>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</si>
  <si>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</si>
  <si>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</si>
  <si>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</si>
  <si>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</si>
  <si>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</si>
  <si>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</si>
  <si>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</si>
  <si>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</si>
  <si>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</si>
  <si>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</si>
  <si>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</si>
  <si>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</si>
  <si>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预计负债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</si>
  <si>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</si>
  <si>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</si>
  <si>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</si>
  <si>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</si>
  <si>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</si>
  <si>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</si>
  <si>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</si>
  <si>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</si>
  <si>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</si>
  <si>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</si>
  <si>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</si>
  <si>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</si>
  <si>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</si>
  <si>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</si>
  <si>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</si>
  <si>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</si>
  <si>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</si>
  <si>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</si>
  <si>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</si>
  <si>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</si>
  <si>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</si>
  <si>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</si>
  <si>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保留意见</t>
  </si>
  <si>
    <t>带强调事项段的无保留意见</t>
  </si>
  <si>
    <t>原始报表</t>
  </si>
  <si>
    <t>点击浏览</t>
  </si>
  <si>
    <t>公告日期</t>
  </si>
  <si>
    <t>2009-12-22</t>
  </si>
  <si>
    <t>2009-04-18</t>
  </si>
  <si>
    <t>2010-04-29</t>
  </si>
  <si>
    <t>2013-04-28</t>
  </si>
  <si>
    <t>2013-04-27</t>
  </si>
  <si>
    <t>2015-06-11</t>
  </si>
  <si>
    <t>2016-03-26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</si>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</sst>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abSelected="1" topLeftCell="A31" workbookViewId="0">
      <selection activeCell="B48" sqref="B48:F48"/>
    </sheetView>
  </sheetViews>
  <sheetFormatPr defaultRowHeight="13.5" x14ac:dyDescent="0.15"/>
  <cols>
    <col min="1" max="1" width="34.125" bestFit="1" customWidth="1"/>
    <col min="2" max="2" width="11.625" bestFit="1" customWidth="1"/>
    <col min="3" max="5" width="15.125" bestFit="1" customWidth="1"/>
    <col min="6" max="6" width="11.625" bestFit="1" customWidth="1"/>
    <col min="7" max="7" width="14.375" customWidth="1"/>
    <col min="8" max="12" width="15.125" bestFit="1" customWidth="1"/>
  </cols>
  <sheetData>
    <row r="1" spans="1:12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15">
      <c r="A2" t="s">
        <v>11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</row>
    <row r="3" spans="1:12" x14ac:dyDescent="0.15">
      <c r="A3" t="s">
        <v>13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</row>
    <row r="4" spans="1:12" x14ac:dyDescent="0.15">
      <c r="A4" s="2" t="s">
        <v>15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</row>
    <row r="5" spans="1:12" x14ac:dyDescent="0.15">
      <c r="A5" t="s">
        <v>17</v>
      </c>
      <c r="B5" s="1">
        <v>2429.39</v>
      </c>
      <c r="C5" s="1">
        <v>3843.28</v>
      </c>
      <c r="D5" s="1">
        <v>5893.88</v>
      </c>
      <c r="E5" s="1">
        <v>9918.75</v>
      </c>
      <c r="F5" s="1">
        <v>8638.64</v>
      </c>
      <c r="G5" s="1">
        <v>19283.810000000001</v>
      </c>
      <c r="H5" s="1">
        <v>14757.35</v>
      </c>
      <c r="I5" s="1">
        <v>16545.98</v>
      </c>
      <c r="J5" s="1">
        <v>18496.98</v>
      </c>
      <c r="K5" s="1">
        <v>22952.73</v>
      </c>
      <c r="L5" s="1">
        <v>25868.61</v>
      </c>
    </row>
    <row r="6" spans="1:12" x14ac:dyDescent="0.15">
      <c r="A6" t="s">
        <v>18</v>
      </c>
      <c r="B6" s="1">
        <v>566.46</v>
      </c>
      <c r="C6" s="1">
        <v>341.31</v>
      </c>
      <c r="D6" s="1">
        <v>569.72</v>
      </c>
      <c r="E6" s="1">
        <v>215.55</v>
      </c>
      <c r="F6" s="1">
        <v>344.1</v>
      </c>
      <c r="G6" s="1">
        <v>305.67</v>
      </c>
      <c r="H6" s="1">
        <v>1664.52</v>
      </c>
      <c r="I6" s="1">
        <v>2228.67</v>
      </c>
      <c r="J6" s="1">
        <v>1968.72</v>
      </c>
      <c r="K6" s="1">
        <v>1688.69</v>
      </c>
      <c r="L6" s="1">
        <v>1387.22</v>
      </c>
    </row>
    <row r="7" spans="1:12" x14ac:dyDescent="0.15">
      <c r="A7" t="s">
        <v>19</v>
      </c>
      <c r="B7" s="1"/>
      <c r="C7" s="1"/>
      <c r="D7" s="1"/>
      <c r="E7" s="1">
        <v>75.180000000000007</v>
      </c>
      <c r="F7" s="1">
        <v>150.22</v>
      </c>
      <c r="G7" s="1">
        <v>162.59</v>
      </c>
      <c r="H7" s="1">
        <v>185.92</v>
      </c>
      <c r="I7" s="1">
        <v>50</v>
      </c>
      <c r="J7" s="1"/>
      <c r="K7" s="1"/>
      <c r="L7" s="1"/>
    </row>
    <row r="8" spans="1:12" x14ac:dyDescent="0.15">
      <c r="A8" t="s">
        <v>20</v>
      </c>
      <c r="B8" s="1"/>
      <c r="C8" s="1"/>
      <c r="D8" s="1"/>
      <c r="E8" s="1">
        <v>1106.6199999999999</v>
      </c>
      <c r="F8" s="1">
        <v>2480.8000000000002</v>
      </c>
      <c r="G8" s="1">
        <v>81.069999999999993</v>
      </c>
      <c r="H8" s="1">
        <v>50.24</v>
      </c>
      <c r="I8" s="1">
        <v>49.97</v>
      </c>
      <c r="J8" s="1">
        <v>425.18</v>
      </c>
      <c r="K8" s="1">
        <v>386.96</v>
      </c>
      <c r="L8" s="1">
        <v>144.31</v>
      </c>
    </row>
    <row r="9" spans="1:12" x14ac:dyDescent="0.15">
      <c r="A9" t="s">
        <v>21</v>
      </c>
      <c r="B9" s="1"/>
      <c r="C9" s="1"/>
      <c r="D9" s="1"/>
      <c r="E9" s="1">
        <v>744.56</v>
      </c>
      <c r="F9" s="1">
        <v>4452.8900000000003</v>
      </c>
      <c r="G9" s="1">
        <v>3228.79</v>
      </c>
      <c r="H9" s="1">
        <v>392.66</v>
      </c>
      <c r="I9" s="1">
        <v>360</v>
      </c>
      <c r="J9" s="1">
        <v>1816.56</v>
      </c>
      <c r="K9" s="1">
        <v>7403.1</v>
      </c>
      <c r="L9" s="1">
        <v>5130</v>
      </c>
    </row>
    <row r="10" spans="1:12" x14ac:dyDescent="0.15">
      <c r="A10" t="s">
        <v>22</v>
      </c>
      <c r="B10" s="1">
        <v>7.3</v>
      </c>
      <c r="C10" s="1">
        <v>3.56</v>
      </c>
      <c r="D10" s="1">
        <v>2.88</v>
      </c>
      <c r="E10" s="1">
        <v>187.46</v>
      </c>
      <c r="F10" s="1">
        <v>200.57</v>
      </c>
      <c r="G10" s="1">
        <v>286.17</v>
      </c>
      <c r="H10" s="1">
        <v>301.86</v>
      </c>
      <c r="I10" s="1">
        <v>314.07</v>
      </c>
      <c r="J10" s="1">
        <v>385.27</v>
      </c>
      <c r="K10" s="1">
        <v>646.1</v>
      </c>
      <c r="L10" s="1">
        <v>1043.95</v>
      </c>
    </row>
    <row r="11" spans="1:12" x14ac:dyDescent="0.15">
      <c r="A11" t="s">
        <v>23</v>
      </c>
      <c r="B11" s="1"/>
      <c r="C11" s="1"/>
      <c r="D11" s="1"/>
      <c r="E11" s="1">
        <v>27783.39</v>
      </c>
      <c r="F11" s="1">
        <v>33885.230000000003</v>
      </c>
      <c r="G11" s="1">
        <v>42629.24</v>
      </c>
      <c r="H11" s="1">
        <v>40917.699999999997</v>
      </c>
      <c r="I11" s="1">
        <v>45061.03</v>
      </c>
      <c r="J11" s="1">
        <v>51431.89</v>
      </c>
      <c r="K11" s="1">
        <v>59109.58</v>
      </c>
      <c r="L11" s="1">
        <v>66983.58</v>
      </c>
    </row>
    <row r="12" spans="1:12" x14ac:dyDescent="0.15">
      <c r="B12" s="1"/>
      <c r="C12" s="1"/>
      <c r="D12" s="1"/>
      <c r="E12" s="1">
        <f>E10+E11</f>
        <v>27970.85</v>
      </c>
      <c r="F12" s="1">
        <f>F10+F11</f>
        <v>34085.800000000003</v>
      </c>
      <c r="G12" s="1">
        <f t="shared" ref="G12:L12" si="0">G10+G11</f>
        <v>42915.409999999996</v>
      </c>
      <c r="H12" s="1">
        <f t="shared" si="0"/>
        <v>41219.56</v>
      </c>
      <c r="I12" s="1">
        <f t="shared" si="0"/>
        <v>45375.1</v>
      </c>
      <c r="J12" s="1">
        <f t="shared" si="0"/>
        <v>51817.159999999996</v>
      </c>
      <c r="K12" s="1">
        <f t="shared" si="0"/>
        <v>59755.68</v>
      </c>
      <c r="L12" s="1">
        <f t="shared" si="0"/>
        <v>68027.53</v>
      </c>
    </row>
    <row r="13" spans="1:12" x14ac:dyDescent="0.15">
      <c r="A13" t="s">
        <v>24</v>
      </c>
      <c r="B13" s="1"/>
      <c r="C13" s="1"/>
      <c r="D13" s="1"/>
      <c r="E13" s="1">
        <v>5865.45</v>
      </c>
      <c r="F13" s="1">
        <v>6924.44</v>
      </c>
      <c r="G13" s="1">
        <v>7476.48</v>
      </c>
      <c r="H13" s="1">
        <v>7628.64</v>
      </c>
      <c r="I13" s="1">
        <v>9275.48</v>
      </c>
      <c r="J13" s="1">
        <v>8283.0499999999993</v>
      </c>
      <c r="K13" s="1">
        <v>9723.42</v>
      </c>
      <c r="L13" s="1">
        <v>17491.98</v>
      </c>
    </row>
    <row r="14" spans="1:12" x14ac:dyDescent="0.15">
      <c r="A14" t="s">
        <v>25</v>
      </c>
      <c r="B14" s="1"/>
      <c r="C14" s="1"/>
      <c r="D14" s="1"/>
      <c r="E14" s="1">
        <v>1503.33</v>
      </c>
      <c r="F14" s="1">
        <v>1976.21</v>
      </c>
      <c r="G14" s="1">
        <v>6800.2</v>
      </c>
      <c r="H14" s="1">
        <v>6451.57</v>
      </c>
      <c r="I14" s="1">
        <v>5857.75</v>
      </c>
      <c r="J14" s="1">
        <v>5787.4</v>
      </c>
      <c r="K14" s="1">
        <v>13843.37</v>
      </c>
      <c r="L14" s="1">
        <v>20343.22</v>
      </c>
    </row>
    <row r="15" spans="1:12" x14ac:dyDescent="0.15">
      <c r="A15" t="s">
        <v>26</v>
      </c>
      <c r="B15" s="1"/>
      <c r="C15" s="1"/>
      <c r="D15" s="1"/>
      <c r="E15" s="1"/>
      <c r="F15" s="1"/>
      <c r="G15" s="1">
        <v>609.38</v>
      </c>
      <c r="H15" s="1">
        <v>631.38</v>
      </c>
      <c r="I15" s="1">
        <v>642.38</v>
      </c>
      <c r="J15" s="1">
        <v>756.56</v>
      </c>
      <c r="K15" s="1">
        <v>858.6</v>
      </c>
      <c r="L15" s="1">
        <v>938.27</v>
      </c>
    </row>
    <row r="16" spans="1:12" x14ac:dyDescent="0.15">
      <c r="A16" t="s">
        <v>27</v>
      </c>
      <c r="B16" s="1"/>
      <c r="C16" s="1"/>
      <c r="D16" s="1"/>
      <c r="E16" s="1">
        <v>1175.3699999999999</v>
      </c>
      <c r="F16" s="1">
        <v>1613.55</v>
      </c>
      <c r="G16" s="1">
        <v>2213.02</v>
      </c>
      <c r="H16" s="1">
        <v>1834.42</v>
      </c>
      <c r="I16" s="1">
        <v>904.66</v>
      </c>
      <c r="J16" s="1">
        <v>2244.81</v>
      </c>
      <c r="K16" s="1">
        <v>4043.22</v>
      </c>
      <c r="L16" s="1">
        <v>11411.63</v>
      </c>
    </row>
    <row r="17" spans="1:12" x14ac:dyDescent="0.15">
      <c r="A17" t="s">
        <v>28</v>
      </c>
      <c r="B17" s="1">
        <v>165.98</v>
      </c>
      <c r="C17" s="1">
        <v>592.71</v>
      </c>
      <c r="D17" s="1">
        <v>566.73</v>
      </c>
      <c r="E17" s="1">
        <v>610.24</v>
      </c>
      <c r="F17" s="1">
        <v>596.03</v>
      </c>
      <c r="G17" s="1">
        <v>586.38</v>
      </c>
      <c r="H17" s="1">
        <v>535.82000000000005</v>
      </c>
      <c r="I17" s="1">
        <v>509.46</v>
      </c>
      <c r="J17" s="1">
        <v>497.8</v>
      </c>
      <c r="K17" s="1">
        <v>642.44000000000005</v>
      </c>
      <c r="L17" s="1">
        <v>662.99</v>
      </c>
    </row>
    <row r="18" spans="1:12" x14ac:dyDescent="0.15">
      <c r="A18" t="s">
        <v>29</v>
      </c>
      <c r="B18" s="1">
        <v>3.87</v>
      </c>
      <c r="C18" s="1">
        <v>13.26</v>
      </c>
      <c r="D18" s="1">
        <v>13.68</v>
      </c>
      <c r="E18" s="1">
        <v>20.010000000000002</v>
      </c>
      <c r="F18" s="1">
        <v>48.47</v>
      </c>
      <c r="G18" s="1">
        <v>36.5</v>
      </c>
      <c r="H18" s="1">
        <v>27.37</v>
      </c>
      <c r="I18" s="1">
        <v>19.57</v>
      </c>
      <c r="J18" s="1">
        <v>16.79</v>
      </c>
      <c r="K18" s="1">
        <v>16.45</v>
      </c>
      <c r="L18" s="1">
        <v>20.6</v>
      </c>
    </row>
    <row r="19" spans="1:12" x14ac:dyDescent="0.15">
      <c r="A19" t="s">
        <v>30</v>
      </c>
      <c r="B19" s="1"/>
      <c r="C19" s="1"/>
      <c r="D19" s="1"/>
      <c r="E19" s="1">
        <v>137.19</v>
      </c>
      <c r="F19" s="1">
        <v>312.61</v>
      </c>
      <c r="G19" s="1">
        <v>947.12</v>
      </c>
      <c r="H19" s="1">
        <v>788.25</v>
      </c>
      <c r="I19" s="1">
        <v>562.55999999999995</v>
      </c>
      <c r="J19" s="1">
        <v>597.04999999999995</v>
      </c>
      <c r="K19" s="1">
        <v>611.74</v>
      </c>
      <c r="L19" s="1">
        <v>632.16999999999996</v>
      </c>
    </row>
    <row r="20" spans="1:12" x14ac:dyDescent="0.15">
      <c r="A20" t="s">
        <v>31</v>
      </c>
      <c r="B20" s="1"/>
      <c r="C20" s="1"/>
      <c r="D20" s="1"/>
      <c r="E20" s="1">
        <v>39.6</v>
      </c>
      <c r="F20" s="1">
        <v>47.55</v>
      </c>
      <c r="G20" s="1">
        <v>44.43</v>
      </c>
      <c r="H20" s="1">
        <v>41.32</v>
      </c>
      <c r="I20" s="1">
        <v>38.200000000000003</v>
      </c>
      <c r="J20" s="1">
        <v>30.46</v>
      </c>
      <c r="K20" s="1">
        <v>28.68</v>
      </c>
      <c r="L20" s="1">
        <v>26.91</v>
      </c>
    </row>
    <row r="21" spans="1:12" x14ac:dyDescent="0.15">
      <c r="A21" t="s">
        <v>32</v>
      </c>
      <c r="B21" s="1"/>
      <c r="C21" s="1"/>
      <c r="D21" s="1"/>
      <c r="E21" s="1">
        <v>145.05000000000001</v>
      </c>
      <c r="F21" s="1">
        <v>89.07</v>
      </c>
      <c r="G21" s="1">
        <v>1074.71</v>
      </c>
      <c r="H21" s="1">
        <v>1030.18</v>
      </c>
      <c r="I21" s="1">
        <v>1228.26</v>
      </c>
      <c r="J21" s="1">
        <v>1233.6300000000001</v>
      </c>
      <c r="K21" s="1">
        <v>884.64</v>
      </c>
      <c r="L21" s="1">
        <v>738.92</v>
      </c>
    </row>
    <row r="22" spans="1:12" x14ac:dyDescent="0.15">
      <c r="A22" t="s">
        <v>33</v>
      </c>
      <c r="B22" s="1"/>
      <c r="C22" s="1"/>
      <c r="D22" s="1"/>
      <c r="E22" s="1">
        <v>16.829999999999998</v>
      </c>
      <c r="F22" s="1">
        <v>28.47</v>
      </c>
      <c r="G22" s="1">
        <v>40.22</v>
      </c>
      <c r="H22" s="1">
        <v>40.18</v>
      </c>
      <c r="I22" s="1">
        <v>31.62</v>
      </c>
      <c r="J22" s="1">
        <v>31.47</v>
      </c>
      <c r="K22" s="1">
        <v>41.56</v>
      </c>
      <c r="L22" s="1">
        <v>57.13</v>
      </c>
    </row>
    <row r="23" spans="1:12" x14ac:dyDescent="0.15">
      <c r="A23" s="2" t="s">
        <v>34</v>
      </c>
      <c r="B23" s="1">
        <v>25123.68</v>
      </c>
      <c r="C23" s="1">
        <v>32408.6</v>
      </c>
      <c r="D23" s="1">
        <v>37841.19</v>
      </c>
      <c r="E23" s="1">
        <v>49544.58</v>
      </c>
      <c r="F23" s="1">
        <v>61788.86</v>
      </c>
      <c r="G23" s="1">
        <v>85805.77</v>
      </c>
      <c r="H23" s="1">
        <v>77279.39</v>
      </c>
      <c r="I23" s="1">
        <v>83679.66</v>
      </c>
      <c r="J23" s="1">
        <v>94003.63</v>
      </c>
      <c r="K23" s="1">
        <v>122881.29</v>
      </c>
      <c r="L23" s="1">
        <v>152881.49</v>
      </c>
    </row>
    <row r="24" spans="1:12" x14ac:dyDescent="0.15">
      <c r="A24" s="2" t="s">
        <v>35</v>
      </c>
      <c r="B24" s="3" t="s">
        <v>16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</row>
    <row r="25" spans="1:12" x14ac:dyDescent="0.15">
      <c r="A25" t="s">
        <v>36</v>
      </c>
      <c r="B25" s="1">
        <v>218.61</v>
      </c>
      <c r="C25" s="1">
        <v>938.52</v>
      </c>
      <c r="D25" s="1">
        <v>323.32</v>
      </c>
      <c r="E25" s="1">
        <v>1509.61</v>
      </c>
      <c r="F25" s="1">
        <v>1925.71</v>
      </c>
      <c r="G25" s="1">
        <v>1521.49</v>
      </c>
      <c r="H25" s="1">
        <v>1244.0999999999999</v>
      </c>
      <c r="I25" s="1">
        <v>1204.25</v>
      </c>
      <c r="J25" s="1">
        <v>398.06</v>
      </c>
      <c r="K25" s="1">
        <v>2105.39</v>
      </c>
      <c r="L25" s="1">
        <v>1112.48</v>
      </c>
    </row>
    <row r="26" spans="1:12" x14ac:dyDescent="0.15">
      <c r="A26" t="s">
        <v>37</v>
      </c>
      <c r="B26" s="1"/>
      <c r="C26" s="1"/>
      <c r="D26" s="1"/>
      <c r="E26" s="1"/>
      <c r="F26" s="1"/>
      <c r="G26" s="1"/>
      <c r="H26" s="1">
        <v>639.39</v>
      </c>
      <c r="I26" s="1">
        <v>489.72</v>
      </c>
      <c r="J26" s="1">
        <v>1284.51</v>
      </c>
      <c r="K26" s="1">
        <v>1</v>
      </c>
      <c r="L26" s="1">
        <v>1675.72</v>
      </c>
    </row>
    <row r="27" spans="1:12" x14ac:dyDescent="0.15">
      <c r="A27" t="s">
        <v>38</v>
      </c>
      <c r="B27" s="1"/>
      <c r="C27" s="1"/>
      <c r="D27" s="1"/>
      <c r="E27" s="1"/>
      <c r="F27" s="1">
        <v>54.63</v>
      </c>
      <c r="G27" s="1">
        <v>39.74</v>
      </c>
      <c r="H27" s="1"/>
      <c r="I27" s="1"/>
      <c r="J27" s="1"/>
      <c r="K27" s="1"/>
      <c r="L27" s="1"/>
    </row>
    <row r="28" spans="1:12" x14ac:dyDescent="0.15">
      <c r="A28" t="s">
        <v>39</v>
      </c>
      <c r="B28" s="1"/>
      <c r="C28" s="1"/>
      <c r="D28" s="1"/>
      <c r="E28" s="1"/>
      <c r="F28" s="1"/>
      <c r="G28" s="1"/>
      <c r="H28" s="1"/>
      <c r="I28" s="1"/>
      <c r="J28" s="1">
        <v>207</v>
      </c>
      <c r="K28" s="1">
        <v>186.73</v>
      </c>
      <c r="L28" s="1"/>
    </row>
    <row r="29" spans="1:12" x14ac:dyDescent="0.15">
      <c r="A29" t="s">
        <v>40</v>
      </c>
      <c r="B29" s="1"/>
      <c r="C29" s="1"/>
      <c r="D29" s="1"/>
      <c r="E29" s="1">
        <v>619.45000000000005</v>
      </c>
      <c r="F29" s="1">
        <v>39</v>
      </c>
      <c r="G29" s="1">
        <v>8877.35</v>
      </c>
      <c r="H29" s="1">
        <v>4058.08</v>
      </c>
      <c r="I29" s="1">
        <v>4194.8999999999996</v>
      </c>
      <c r="J29" s="1">
        <v>382.2</v>
      </c>
      <c r="K29" s="1">
        <v>9239.5</v>
      </c>
      <c r="L29" s="1">
        <v>13155.6</v>
      </c>
    </row>
    <row r="30" spans="1:12" x14ac:dyDescent="0.15">
      <c r="A30" t="s">
        <v>41</v>
      </c>
      <c r="B30" s="1"/>
      <c r="C30" s="1"/>
      <c r="D30" s="1"/>
      <c r="E30" s="1">
        <v>43891.47</v>
      </c>
      <c r="F30" s="1">
        <v>53660.4</v>
      </c>
      <c r="G30" s="1">
        <v>70104.53</v>
      </c>
      <c r="H30" s="1">
        <v>65122.85</v>
      </c>
      <c r="I30" s="1">
        <v>70401.2</v>
      </c>
      <c r="J30" s="1">
        <v>83284.92</v>
      </c>
      <c r="K30" s="1">
        <v>101134.93</v>
      </c>
      <c r="L30" s="1">
        <v>123327.19</v>
      </c>
    </row>
    <row r="31" spans="1:12" x14ac:dyDescent="0.15">
      <c r="B31" s="1"/>
      <c r="C31" s="1"/>
      <c r="D31" s="1"/>
      <c r="E31" s="1">
        <f>SUM(E25:E30)</f>
        <v>46020.53</v>
      </c>
      <c r="F31" s="1">
        <f t="shared" ref="F31:L31" si="1">SUM(F25:F30)</f>
        <v>55679.740000000005</v>
      </c>
      <c r="G31" s="1">
        <f t="shared" si="1"/>
        <v>80543.11</v>
      </c>
      <c r="H31" s="1">
        <f t="shared" si="1"/>
        <v>71064.42</v>
      </c>
      <c r="I31" s="1">
        <f t="shared" si="1"/>
        <v>76290.069999999992</v>
      </c>
      <c r="J31" s="1">
        <f t="shared" si="1"/>
        <v>85556.69</v>
      </c>
      <c r="K31" s="1">
        <f t="shared" si="1"/>
        <v>112667.54999999999</v>
      </c>
      <c r="L31" s="1">
        <f t="shared" si="1"/>
        <v>139270.99</v>
      </c>
    </row>
    <row r="32" spans="1:12" x14ac:dyDescent="0.15">
      <c r="A32" t="s">
        <v>42</v>
      </c>
      <c r="B32" s="1">
        <v>19.62</v>
      </c>
      <c r="C32" s="1">
        <v>35.47</v>
      </c>
      <c r="D32" s="1">
        <v>32.25</v>
      </c>
      <c r="E32" s="1">
        <v>103.2</v>
      </c>
      <c r="F32" s="1">
        <v>120.09</v>
      </c>
      <c r="G32" s="1">
        <v>181.85</v>
      </c>
      <c r="H32" s="1">
        <v>207.26</v>
      </c>
      <c r="I32" s="1">
        <v>227.1</v>
      </c>
      <c r="J32" s="1">
        <v>386.91</v>
      </c>
      <c r="K32" s="1">
        <v>433.45</v>
      </c>
      <c r="L32" s="1">
        <v>614.11</v>
      </c>
    </row>
    <row r="33" spans="1:12" x14ac:dyDescent="0.15">
      <c r="A33" t="s">
        <v>43</v>
      </c>
      <c r="B33" s="1">
        <v>108.67</v>
      </c>
      <c r="C33" s="1">
        <v>85.05</v>
      </c>
      <c r="D33" s="1">
        <v>96.03</v>
      </c>
      <c r="E33" s="1">
        <v>115.42</v>
      </c>
      <c r="F33" s="1">
        <v>145.44999999999999</v>
      </c>
      <c r="G33" s="1">
        <v>46.24</v>
      </c>
      <c r="H33" s="1">
        <v>61.41</v>
      </c>
      <c r="I33" s="1">
        <v>50.63</v>
      </c>
      <c r="J33" s="1">
        <v>65.56</v>
      </c>
      <c r="K33" s="1">
        <v>133.79</v>
      </c>
      <c r="L33" s="1">
        <v>298.23</v>
      </c>
    </row>
    <row r="34" spans="1:12" x14ac:dyDescent="0.15">
      <c r="A34" t="s">
        <v>44</v>
      </c>
      <c r="B34" s="1">
        <v>80.58</v>
      </c>
      <c r="C34" s="1">
        <v>106.83</v>
      </c>
      <c r="D34" s="1">
        <v>144.88999999999999</v>
      </c>
      <c r="E34" s="1">
        <v>270.98</v>
      </c>
      <c r="F34" s="1">
        <v>285.77999999999997</v>
      </c>
      <c r="G34" s="1">
        <v>425.59</v>
      </c>
      <c r="H34" s="1">
        <v>626.08000000000004</v>
      </c>
      <c r="I34" s="1">
        <v>690.43</v>
      </c>
      <c r="J34" s="1">
        <v>1051.25</v>
      </c>
      <c r="K34" s="1">
        <v>1145.77</v>
      </c>
      <c r="L34" s="1">
        <v>1407.34</v>
      </c>
    </row>
    <row r="35" spans="1:12" x14ac:dyDescent="0.15">
      <c r="A35" t="s">
        <v>45</v>
      </c>
      <c r="B35" s="1"/>
      <c r="C35" s="1"/>
      <c r="D35" s="1"/>
      <c r="E35" s="1"/>
      <c r="F35" s="1">
        <v>700</v>
      </c>
      <c r="G35" s="1">
        <v>700</v>
      </c>
      <c r="H35" s="1">
        <v>700</v>
      </c>
      <c r="I35" s="1">
        <v>700</v>
      </c>
      <c r="J35" s="1">
        <v>700</v>
      </c>
      <c r="K35" s="1">
        <v>997.47</v>
      </c>
      <c r="L35" s="1">
        <v>797.39</v>
      </c>
    </row>
    <row r="36" spans="1:12" x14ac:dyDescent="0.15">
      <c r="A36" t="s">
        <v>46</v>
      </c>
      <c r="B36" s="1"/>
      <c r="C36" s="1"/>
      <c r="D36" s="1"/>
      <c r="E36" s="1">
        <v>45.6</v>
      </c>
      <c r="F36" s="1">
        <v>41.84</v>
      </c>
      <c r="G36" s="1">
        <v>40.25</v>
      </c>
      <c r="H36" s="1">
        <v>39.909999999999997</v>
      </c>
      <c r="I36" s="1">
        <v>93.1</v>
      </c>
      <c r="J36" s="1"/>
      <c r="K36" s="1">
        <v>53.39</v>
      </c>
      <c r="L36" s="1">
        <v>25.05</v>
      </c>
    </row>
    <row r="37" spans="1:12" x14ac:dyDescent="0.15">
      <c r="A37" t="s">
        <v>47</v>
      </c>
      <c r="B37" s="1"/>
      <c r="C37" s="1"/>
      <c r="D37" s="1"/>
      <c r="E37" s="1">
        <v>318.3</v>
      </c>
      <c r="F37" s="1">
        <v>2001.32</v>
      </c>
      <c r="G37" s="1">
        <v>242.46</v>
      </c>
      <c r="H37" s="1">
        <v>178.94</v>
      </c>
      <c r="I37" s="1">
        <v>300.8</v>
      </c>
      <c r="J37" s="1">
        <v>241.63</v>
      </c>
      <c r="K37" s="1">
        <v>226.07</v>
      </c>
      <c r="L37" s="1">
        <v>416.86</v>
      </c>
    </row>
    <row r="38" spans="1:12" x14ac:dyDescent="0.15">
      <c r="A38" s="2" t="s">
        <v>48</v>
      </c>
      <c r="B38" s="1">
        <v>23766.38</v>
      </c>
      <c r="C38" s="1">
        <v>30559.46</v>
      </c>
      <c r="D38" s="1">
        <v>35845.25</v>
      </c>
      <c r="E38" s="1">
        <v>46874.03</v>
      </c>
      <c r="F38" s="1">
        <v>58974.22</v>
      </c>
      <c r="G38" s="1">
        <v>82179.509999999995</v>
      </c>
      <c r="H38" s="1">
        <v>72878.009999999995</v>
      </c>
      <c r="I38" s="1">
        <v>78352.13</v>
      </c>
      <c r="J38" s="1">
        <v>88002.03</v>
      </c>
      <c r="K38" s="1">
        <v>115657.49</v>
      </c>
      <c r="L38" s="1">
        <v>142829.98000000001</v>
      </c>
    </row>
    <row r="39" spans="1:12" x14ac:dyDescent="0.15">
      <c r="A39" s="2" t="s">
        <v>49</v>
      </c>
      <c r="B39" s="3" t="s">
        <v>16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</row>
    <row r="40" spans="1:12" x14ac:dyDescent="0.15">
      <c r="A40" t="s">
        <v>50</v>
      </c>
      <c r="B40" s="1">
        <v>1157.1600000000001</v>
      </c>
      <c r="C40" s="1">
        <v>1500</v>
      </c>
      <c r="D40" s="1">
        <v>1500</v>
      </c>
      <c r="E40" s="1">
        <v>1668.75</v>
      </c>
      <c r="F40" s="1">
        <v>1668.75</v>
      </c>
      <c r="G40" s="1">
        <v>2368.75</v>
      </c>
      <c r="H40" s="1">
        <v>2368.75</v>
      </c>
      <c r="I40" s="1">
        <v>2368.75</v>
      </c>
      <c r="J40" s="1">
        <v>2368.75</v>
      </c>
      <c r="K40" s="1">
        <v>2368.75</v>
      </c>
      <c r="L40" s="1">
        <v>2840.75</v>
      </c>
    </row>
    <row r="41" spans="1:12" x14ac:dyDescent="0.15">
      <c r="A41" t="s">
        <v>51</v>
      </c>
      <c r="B41" s="1">
        <v>25.53</v>
      </c>
      <c r="C41" s="1">
        <v>80.38</v>
      </c>
      <c r="D41" s="1">
        <v>80.38</v>
      </c>
      <c r="E41" s="1">
        <v>406.36</v>
      </c>
      <c r="F41" s="1">
        <v>150.61000000000001</v>
      </c>
      <c r="G41" s="1">
        <v>1542.88</v>
      </c>
      <c r="H41" s="1">
        <v>1505.77</v>
      </c>
      <c r="I41" s="1">
        <v>1571.65</v>
      </c>
      <c r="J41" s="1">
        <v>1621.58</v>
      </c>
      <c r="K41" s="1">
        <v>1628.71</v>
      </c>
      <c r="L41" s="1">
        <v>2658.39</v>
      </c>
    </row>
    <row r="42" spans="1:12" x14ac:dyDescent="0.15">
      <c r="A42" t="s">
        <v>52</v>
      </c>
      <c r="B42" s="1"/>
      <c r="C42" s="1"/>
      <c r="D42" s="1"/>
      <c r="E42" s="1"/>
      <c r="F42" s="1"/>
      <c r="G42" s="1"/>
      <c r="H42" s="1"/>
      <c r="I42" s="1"/>
      <c r="J42" s="1">
        <v>-311.73</v>
      </c>
      <c r="K42" s="1">
        <v>44.05</v>
      </c>
      <c r="L42" s="1">
        <v>403.8</v>
      </c>
    </row>
    <row r="43" spans="1:12" x14ac:dyDescent="0.15">
      <c r="A43" t="s">
        <v>53</v>
      </c>
      <c r="B43" s="1">
        <v>94.11</v>
      </c>
      <c r="C43" s="1">
        <v>115.03</v>
      </c>
      <c r="D43" s="1">
        <v>143.58000000000001</v>
      </c>
      <c r="E43" s="1">
        <v>219.77</v>
      </c>
      <c r="F43" s="1">
        <v>303.83</v>
      </c>
      <c r="G43" s="1">
        <v>184.66</v>
      </c>
      <c r="H43" s="1">
        <v>209.11</v>
      </c>
      <c r="I43" s="1">
        <v>295.38</v>
      </c>
      <c r="J43" s="1">
        <v>403.53</v>
      </c>
      <c r="K43" s="1">
        <v>512.02</v>
      </c>
      <c r="L43" s="1">
        <v>629.91</v>
      </c>
    </row>
    <row r="44" spans="1:12" x14ac:dyDescent="0.15">
      <c r="A44" t="s">
        <v>54</v>
      </c>
      <c r="B44" s="1">
        <v>80.5</v>
      </c>
      <c r="C44" s="1">
        <v>153.72</v>
      </c>
      <c r="D44" s="1">
        <v>271.98</v>
      </c>
      <c r="E44" s="1">
        <v>298.87</v>
      </c>
      <c r="F44" s="1">
        <v>332.76</v>
      </c>
      <c r="G44" s="1">
        <v>-546.82000000000005</v>
      </c>
      <c r="H44" s="1">
        <v>8.16</v>
      </c>
      <c r="I44" s="1">
        <v>413.21</v>
      </c>
      <c r="J44" s="1">
        <v>1031.42</v>
      </c>
      <c r="K44" s="1">
        <v>1412.74</v>
      </c>
      <c r="L44" s="1">
        <v>1740.8</v>
      </c>
    </row>
    <row r="45" spans="1:12" x14ac:dyDescent="0.15">
      <c r="A45" t="s">
        <v>55</v>
      </c>
      <c r="B45" s="1"/>
      <c r="C45" s="1"/>
      <c r="D45" s="1"/>
      <c r="E45" s="1">
        <v>76.8</v>
      </c>
      <c r="F45" s="1">
        <v>358.7</v>
      </c>
      <c r="G45" s="1">
        <v>76.8</v>
      </c>
      <c r="H45" s="1">
        <v>286.87</v>
      </c>
      <c r="I45" s="1">
        <v>657.01</v>
      </c>
      <c r="J45" s="1">
        <v>864.42</v>
      </c>
      <c r="K45" s="1">
        <v>1228.97</v>
      </c>
      <c r="L45" s="1">
        <v>1685.91</v>
      </c>
    </row>
    <row r="46" spans="1:12" x14ac:dyDescent="0.15">
      <c r="A46" s="2" t="s">
        <v>56</v>
      </c>
      <c r="B46" s="1">
        <v>1357.3</v>
      </c>
      <c r="C46" s="1">
        <v>1849.13</v>
      </c>
      <c r="D46" s="1">
        <v>1995.94</v>
      </c>
      <c r="E46" s="1">
        <v>2670.55</v>
      </c>
      <c r="F46" s="1">
        <v>2814.64</v>
      </c>
      <c r="G46" s="1">
        <v>3626.26</v>
      </c>
      <c r="H46" s="1">
        <v>4378.6499999999996</v>
      </c>
      <c r="I46" s="1">
        <v>5306</v>
      </c>
      <c r="J46" s="1">
        <v>5977.97</v>
      </c>
      <c r="K46" s="1">
        <v>7195.23</v>
      </c>
      <c r="L46" s="1">
        <v>9959.57</v>
      </c>
    </row>
    <row r="47" spans="1:12" x14ac:dyDescent="0.15">
      <c r="A47" t="s">
        <v>57</v>
      </c>
      <c r="B47" s="1"/>
      <c r="C47" s="1"/>
      <c r="D47" s="1"/>
      <c r="E47" s="1"/>
      <c r="F47" s="1"/>
      <c r="G47" s="1"/>
      <c r="H47" s="1">
        <v>22.73</v>
      </c>
      <c r="I47" s="1">
        <v>21.54</v>
      </c>
      <c r="J47" s="1">
        <v>23.63</v>
      </c>
      <c r="K47" s="1">
        <v>28.57</v>
      </c>
      <c r="L47" s="1">
        <v>91.94</v>
      </c>
    </row>
    <row r="48" spans="1:12" x14ac:dyDescent="0.15">
      <c r="A48" s="2" t="s">
        <v>58</v>
      </c>
      <c r="B48" s="1">
        <v>1357.3</v>
      </c>
      <c r="C48" s="1">
        <v>1849.13</v>
      </c>
      <c r="D48" s="1">
        <v>1995.94</v>
      </c>
      <c r="E48" s="1">
        <v>2670.55</v>
      </c>
      <c r="F48" s="1">
        <v>2814.64</v>
      </c>
      <c r="G48" s="1">
        <v>3626.26</v>
      </c>
      <c r="H48" s="1">
        <v>4401.38</v>
      </c>
      <c r="I48" s="1">
        <v>5327.54</v>
      </c>
      <c r="J48" s="1">
        <v>6001.6</v>
      </c>
      <c r="K48" s="1">
        <v>7223.8</v>
      </c>
      <c r="L48" s="1">
        <v>10051.52</v>
      </c>
    </row>
    <row r="49" spans="1:12" x14ac:dyDescent="0.15">
      <c r="A49" s="2" t="s">
        <v>59</v>
      </c>
      <c r="B49" s="1">
        <v>25123.68</v>
      </c>
      <c r="C49" s="1">
        <v>32408.6</v>
      </c>
      <c r="D49" s="1">
        <v>37841.19</v>
      </c>
      <c r="E49" s="1">
        <v>49544.58</v>
      </c>
      <c r="F49" s="1">
        <v>61788.86</v>
      </c>
      <c r="G49" s="1">
        <v>85805.77</v>
      </c>
      <c r="H49" s="1">
        <v>77279.39</v>
      </c>
      <c r="I49" s="1">
        <v>83679.66</v>
      </c>
      <c r="J49" s="1">
        <v>94003.63</v>
      </c>
      <c r="K49" s="1">
        <v>122881.29</v>
      </c>
      <c r="L49" s="1">
        <v>152881.49</v>
      </c>
    </row>
    <row r="50" spans="1:12" x14ac:dyDescent="0.15">
      <c r="A50" t="s">
        <v>60</v>
      </c>
      <c r="B50" s="3" t="s">
        <v>61</v>
      </c>
      <c r="C50" s="3" t="s">
        <v>61</v>
      </c>
      <c r="D50" s="3" t="s">
        <v>61</v>
      </c>
      <c r="E50" s="3" t="s">
        <v>61</v>
      </c>
      <c r="F50" s="3" t="s">
        <v>61</v>
      </c>
      <c r="G50" s="3" t="s">
        <v>61</v>
      </c>
      <c r="H50" s="3" t="s">
        <v>61</v>
      </c>
      <c r="I50" s="3" t="s">
        <v>61</v>
      </c>
      <c r="J50" s="3" t="s">
        <v>61</v>
      </c>
      <c r="K50" s="3" t="s">
        <v>61</v>
      </c>
      <c r="L50" s="3" t="s">
        <v>61</v>
      </c>
    </row>
    <row r="51" spans="1:12" x14ac:dyDescent="0.15">
      <c r="A51" t="s">
        <v>62</v>
      </c>
      <c r="B51" s="3" t="s">
        <v>61</v>
      </c>
      <c r="C51" s="3" t="s">
        <v>61</v>
      </c>
      <c r="D51" s="3" t="s">
        <v>61</v>
      </c>
      <c r="E51" s="3" t="s">
        <v>61</v>
      </c>
      <c r="F51" s="3" t="s">
        <v>61</v>
      </c>
      <c r="G51" s="3" t="s">
        <v>61</v>
      </c>
      <c r="H51" s="3" t="s">
        <v>61</v>
      </c>
      <c r="I51" s="3" t="s">
        <v>61</v>
      </c>
      <c r="J51" s="3" t="s">
        <v>61</v>
      </c>
      <c r="K51" s="3" t="s">
        <v>61</v>
      </c>
      <c r="L51" s="3" t="s">
        <v>61</v>
      </c>
    </row>
    <row r="52" spans="1:12" x14ac:dyDescent="0.15">
      <c r="A52" t="s">
        <v>63</v>
      </c>
      <c r="B52" s="3" t="s">
        <v>64</v>
      </c>
      <c r="C52" s="3" t="s">
        <v>64</v>
      </c>
      <c r="D52" s="3" t="s">
        <v>64</v>
      </c>
      <c r="E52" s="3" t="s">
        <v>64</v>
      </c>
      <c r="F52" s="3" t="s">
        <v>64</v>
      </c>
      <c r="G52" s="3" t="s">
        <v>64</v>
      </c>
      <c r="H52" s="3" t="s">
        <v>64</v>
      </c>
      <c r="I52" s="3" t="s">
        <v>64</v>
      </c>
      <c r="J52" s="3" t="s">
        <v>64</v>
      </c>
      <c r="K52" s="3" t="s">
        <v>64</v>
      </c>
      <c r="L52" s="3" t="s">
        <v>64</v>
      </c>
    </row>
    <row r="53" spans="1:12" x14ac:dyDescent="0.15">
      <c r="A53" t="s">
        <v>65</v>
      </c>
      <c r="B53" s="3" t="s">
        <v>66</v>
      </c>
      <c r="C53" s="3" t="s">
        <v>66</v>
      </c>
      <c r="D53" s="3" t="s">
        <v>66</v>
      </c>
      <c r="E53" s="3" t="s">
        <v>66</v>
      </c>
      <c r="F53" s="3" t="s">
        <v>66</v>
      </c>
      <c r="G53" s="3" t="s">
        <v>66</v>
      </c>
      <c r="H53" s="3" t="s">
        <v>66</v>
      </c>
      <c r="I53" s="3" t="s">
        <v>66</v>
      </c>
      <c r="J53" s="3" t="s">
        <v>66</v>
      </c>
      <c r="K53" s="3" t="s">
        <v>66</v>
      </c>
      <c r="L53" s="3" t="s">
        <v>66</v>
      </c>
    </row>
    <row r="54" spans="1:12" x14ac:dyDescent="0.15">
      <c r="A54" t="s">
        <v>67</v>
      </c>
      <c r="B54" s="3" t="s">
        <v>16</v>
      </c>
      <c r="C54" s="3" t="s">
        <v>68</v>
      </c>
      <c r="D54" s="3" t="s">
        <v>68</v>
      </c>
      <c r="E54" s="3" t="s">
        <v>68</v>
      </c>
      <c r="F54" s="3" t="s">
        <v>69</v>
      </c>
      <c r="G54" s="3" t="s">
        <v>70</v>
      </c>
      <c r="H54" s="3" t="s">
        <v>68</v>
      </c>
      <c r="I54" s="3" t="s">
        <v>68</v>
      </c>
      <c r="J54" s="3" t="s">
        <v>68</v>
      </c>
      <c r="K54" s="3" t="s">
        <v>68</v>
      </c>
      <c r="L54" s="3" t="s">
        <v>68</v>
      </c>
    </row>
    <row r="55" spans="1:12" x14ac:dyDescent="0.15">
      <c r="A55" t="s">
        <v>71</v>
      </c>
      <c r="C55" t="s">
        <v>72</v>
      </c>
      <c r="D55" t="s">
        <v>72</v>
      </c>
      <c r="E55" t="s">
        <v>72</v>
      </c>
      <c r="F55" t="s">
        <v>72</v>
      </c>
      <c r="G55" t="s">
        <v>72</v>
      </c>
      <c r="H55" t="s">
        <v>72</v>
      </c>
      <c r="I55" t="s">
        <v>72</v>
      </c>
      <c r="J55" t="s">
        <v>72</v>
      </c>
      <c r="K55" t="s">
        <v>72</v>
      </c>
      <c r="L55" t="s">
        <v>72</v>
      </c>
    </row>
    <row r="56" spans="1:12" x14ac:dyDescent="0.15">
      <c r="A56" t="s">
        <v>73</v>
      </c>
      <c r="B56" s="3" t="s">
        <v>74</v>
      </c>
      <c r="C56" s="3" t="s">
        <v>74</v>
      </c>
      <c r="D56" s="3" t="s">
        <v>74</v>
      </c>
      <c r="E56" s="3" t="s">
        <v>75</v>
      </c>
      <c r="F56" s="3" t="s">
        <v>76</v>
      </c>
      <c r="G56" s="3" t="s">
        <v>77</v>
      </c>
      <c r="H56" s="3" t="s">
        <v>78</v>
      </c>
      <c r="I56" s="3" t="s">
        <v>77</v>
      </c>
      <c r="J56" s="3" t="s">
        <v>79</v>
      </c>
      <c r="K56" s="3" t="s">
        <v>79</v>
      </c>
      <c r="L56" s="3" t="s">
        <v>80</v>
      </c>
    </row>
    <row r="57" spans="1:12" x14ac:dyDescent="0.15">
      <c r="A57" t="s">
        <v>81</v>
      </c>
      <c r="B57" s="3" t="s">
        <v>82</v>
      </c>
      <c r="C57" s="3" t="s">
        <v>82</v>
      </c>
      <c r="D57" s="3" t="s">
        <v>82</v>
      </c>
      <c r="E57" s="3" t="s">
        <v>82</v>
      </c>
      <c r="F57" s="3" t="s">
        <v>82</v>
      </c>
      <c r="G57" s="3" t="s">
        <v>82</v>
      </c>
      <c r="H57" s="3" t="s">
        <v>82</v>
      </c>
      <c r="I57" s="3" t="s">
        <v>82</v>
      </c>
      <c r="J57" s="3" t="s">
        <v>82</v>
      </c>
      <c r="K57" s="3" t="s">
        <v>82</v>
      </c>
      <c r="L57" s="3" t="s">
        <v>82</v>
      </c>
    </row>
    <row r="61" spans="1:12" x14ac:dyDescent="0.15">
      <c r="A61" t="s">
        <v>83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832666.OC-资产负债表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2016-05-31T11:10:04Z</dcterms:created>
  <dcterms:modified xsi:type="dcterms:W3CDTF">2016-05-31T11:15:13Z</dcterms:modified>
</cp:coreProperties>
</file>